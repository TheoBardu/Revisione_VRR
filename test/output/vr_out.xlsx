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8410" windowHeight="13995" tabRatio="969" firstSheet="14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Tab-Mis (3)" sheetId="2" state="visible" r:id="rId2"/>
    <sheet xmlns:r="http://schemas.openxmlformats.org/officeDocument/2006/relationships" name="Tab-Mis" sheetId="3" state="visible" r:id="rId3"/>
    <sheet xmlns:r="http://schemas.openxmlformats.org/officeDocument/2006/relationships" name="Scheda 1" sheetId="4" state="visible" r:id="rId4"/>
    <sheet xmlns:r="http://schemas.openxmlformats.org/officeDocument/2006/relationships" name="Scheda 2" sheetId="5" state="visible" r:id="rId5"/>
    <sheet xmlns:r="http://schemas.openxmlformats.org/officeDocument/2006/relationships" name="Scheda 3" sheetId="6" state="visible" r:id="rId6"/>
    <sheet xmlns:r="http://schemas.openxmlformats.org/officeDocument/2006/relationships" name="Scheda 4" sheetId="7" state="visible" r:id="rId7"/>
    <sheet xmlns:r="http://schemas.openxmlformats.org/officeDocument/2006/relationships" name="Scheda 5" sheetId="8" state="visible" r:id="rId8"/>
    <sheet xmlns:r="http://schemas.openxmlformats.org/officeDocument/2006/relationships" name="Scheda 6" sheetId="9" state="visible" r:id="rId9"/>
    <sheet xmlns:r="http://schemas.openxmlformats.org/officeDocument/2006/relationships" name="Scheda 7" sheetId="10" state="visible" r:id="rId10"/>
    <sheet xmlns:r="http://schemas.openxmlformats.org/officeDocument/2006/relationships" name="Scheda 8" sheetId="11" state="visible" r:id="rId11"/>
    <sheet xmlns:r="http://schemas.openxmlformats.org/officeDocument/2006/relationships" name="Scheda 9" sheetId="12" state="visible" r:id="rId12"/>
    <sheet xmlns:r="http://schemas.openxmlformats.org/officeDocument/2006/relationships" name="Scheda 10" sheetId="13" state="visible" r:id="rId13"/>
    <sheet xmlns:r="http://schemas.openxmlformats.org/officeDocument/2006/relationships" name="Scheda 11" sheetId="14" state="visible" r:id="rId14"/>
    <sheet xmlns:r="http://schemas.openxmlformats.org/officeDocument/2006/relationships" name="Scheda 12" sheetId="15" state="visible" r:id="rId15"/>
    <sheet xmlns:r="http://schemas.openxmlformats.org/officeDocument/2006/relationships" name="Scheda 13" sheetId="16" state="visible" r:id="rId16"/>
    <sheet xmlns:r="http://schemas.openxmlformats.org/officeDocument/2006/relationships" name="Scheda 14" sheetId="17" state="visible" r:id="rId17"/>
    <sheet xmlns:r="http://schemas.openxmlformats.org/officeDocument/2006/relationships" name="Scheda 15" sheetId="18" state="visible" r:id="rId18"/>
    <sheet xmlns:r="http://schemas.openxmlformats.org/officeDocument/2006/relationships" name="Scheda 16" sheetId="19" state="visible" r:id="rId19"/>
    <sheet xmlns:r="http://schemas.openxmlformats.org/officeDocument/2006/relationships" name="Scheda 17" sheetId="20" state="visible" r:id="rId20"/>
    <sheet xmlns:r="http://schemas.openxmlformats.org/officeDocument/2006/relationships" name="Scheda 18" sheetId="21" state="visible" r:id="rId21"/>
    <sheet xmlns:r="http://schemas.openxmlformats.org/officeDocument/2006/relationships" name="Scheda 19" sheetId="22" state="visible" r:id="rId22"/>
    <sheet xmlns:r="http://schemas.openxmlformats.org/officeDocument/2006/relationships" name="Scheda 20" sheetId="23" state="visible" r:id="rId23"/>
    <sheet xmlns:r="http://schemas.openxmlformats.org/officeDocument/2006/relationships" name="Scheda 21" sheetId="24" state="visible" r:id="rId24"/>
    <sheet xmlns:r="http://schemas.openxmlformats.org/officeDocument/2006/relationships" name="Scheda 22" sheetId="25" state="visible" r:id="rId25"/>
    <sheet xmlns:r="http://schemas.openxmlformats.org/officeDocument/2006/relationships" name="Scheda 23" sheetId="26" state="visible" r:id="rId26"/>
    <sheet xmlns:r="http://schemas.openxmlformats.org/officeDocument/2006/relationships" name="Scheda 24" sheetId="27" state="visible" r:id="rId27"/>
    <sheet xmlns:r="http://schemas.openxmlformats.org/officeDocument/2006/relationships" name="9612_week  (2)" sheetId="28" state="visible" r:id="rId28"/>
    <sheet xmlns:r="http://schemas.openxmlformats.org/officeDocument/2006/relationships" name="9612_week  (3)" sheetId="29" state="visible" r:id="rId29"/>
    <sheet xmlns:r="http://schemas.openxmlformats.org/officeDocument/2006/relationships" name="DPI art.191" sheetId="30" state="visible" r:id="rId30"/>
    <sheet xmlns:r="http://schemas.openxmlformats.org/officeDocument/2006/relationships" name="Foglio1" sheetId="31" state="visible" r:id="rId31"/>
  </sheets>
  <externalReferences>
    <externalReference xmlns:r="http://schemas.openxmlformats.org/officeDocument/2006/relationships" r:id="rId32"/>
    <externalReference xmlns:r="http://schemas.openxmlformats.org/officeDocument/2006/relationships" r:id="rId33"/>
  </externalReferences>
  <definedNames>
    <definedName name="Elenco_Misure">'Tab-Mis'!$B$5:$B$184</definedName>
    <definedName name="Misure_Campionate">'Tab-Mis'!$B$5:$P$184</definedName>
    <definedName name="MisureRumore">'Tab-Mis'!#REF!</definedName>
    <definedName name="NumeroRumore">'Tab-Mis'!#REF!</definedName>
    <definedName name="TdiR">'Tab-Mis'!$L$20:$L$24</definedName>
    <definedName name="Elenco_Misure" localSheetId="0">#REF!</definedName>
    <definedName name="Misure_Campionate" localSheetId="0">#REF!</definedName>
    <definedName name="_xlnm.Print_Area" localSheetId="0">'Riepilogo'!$A$4:$O$57</definedName>
    <definedName name="_ftn1" localSheetId="1">'Tab-Mis (3)'!#REF!</definedName>
    <definedName name="_ftn2" localSheetId="1">'Tab-Mis (3)'!#REF!</definedName>
    <definedName name="_ftn3" localSheetId="1">'Tab-Mis (3)'!#REF!</definedName>
    <definedName name="_ftn4" localSheetId="1">'Tab-Mis (3)'!#REF!</definedName>
    <definedName name="_ftn5" localSheetId="1">'Tab-Mis (3)'!#REF!</definedName>
    <definedName name="_ftnref1" localSheetId="1">'Tab-Mis (3)'!#REF!</definedName>
    <definedName name="_ftnref2" localSheetId="1">'Tab-Mis (3)'!#REF!</definedName>
    <definedName name="_ftnref3" localSheetId="1">'Tab-Mis (3)'!#REF!</definedName>
    <definedName name="_ftnref4" localSheetId="1">'Tab-Mis (3)'!#REF!</definedName>
    <definedName name="_ftnref5" localSheetId="1">'Tab-Mis (3)'!#REF!</definedName>
    <definedName name="Elenco_Misure" localSheetId="1">'Tab-Mis (3)'!$B$5:$B$184</definedName>
    <definedName name="Misure_Campionate" localSheetId="1">'Tab-Mis (3)'!$B$5:$P$184</definedName>
    <definedName name="MisureRumore" localSheetId="1">'Tab-Mis (3)'!#REF!</definedName>
    <definedName name="NumeroRumore" localSheetId="1">'Tab-Mis (3)'!#REF!</definedName>
    <definedName name="TdiR" localSheetId="1">'Tab-Mis (3)'!$L$20:$L$24</definedName>
    <definedName name="_xlnm.Print_Titles" localSheetId="1">'Tab-Mis (3)'!$1:$4</definedName>
    <definedName name="_xlnm.Print_Area" localSheetId="1">'Tab-Mis (3)'!$A$1:$BF$97</definedName>
    <definedName name="_ftn1" localSheetId="2">'Tab-Mis'!#REF!</definedName>
    <definedName name="_ftn2" localSheetId="2">'Tab-Mis'!#REF!</definedName>
    <definedName name="_ftn3" localSheetId="2">'Tab-Mis'!#REF!</definedName>
    <definedName name="_ftn4" localSheetId="2">'Tab-Mis'!#REF!</definedName>
    <definedName name="_ftn5" localSheetId="2">'Tab-Mis'!#REF!</definedName>
    <definedName name="_ftnref1" localSheetId="2">'Tab-Mis'!#REF!</definedName>
    <definedName name="_ftnref2" localSheetId="2">'Tab-Mis'!#REF!</definedName>
    <definedName name="_ftnref3" localSheetId="2">'Tab-Mis'!#REF!</definedName>
    <definedName name="_ftnref4" localSheetId="2">'Tab-Mis'!#REF!</definedName>
    <definedName name="_ftnref5" localSheetId="2">'Tab-Mis'!#REF!</definedName>
    <definedName name="_xlnm.Print_Titles" localSheetId="2">'Tab-Mis'!$1:$4</definedName>
    <definedName name="_xlnm.Print_Area" localSheetId="2">'Tab-Mis'!$A$1:$BO$97</definedName>
    <definedName name="_xlnm.Print_Area" localSheetId="3">'Scheda 1'!$C$1:$Q$68</definedName>
    <definedName name="_xlnm.Print_Area" localSheetId="4">'Scheda 2'!$C$1:$Q$68</definedName>
    <definedName name="_xlnm.Print_Area" localSheetId="5">'Scheda 3'!$C$1:$Q$68</definedName>
    <definedName name="_xlnm.Print_Area" localSheetId="6">'Scheda 4'!$C$1:$Q$68</definedName>
    <definedName name="_xlnm.Print_Area" localSheetId="7">'Scheda 5'!$C$1:$Q$68</definedName>
    <definedName name="_xlnm.Print_Area" localSheetId="8">'Scheda 6'!$C$1:$Q$68</definedName>
    <definedName name="_xlnm.Print_Area" localSheetId="9">'Scheda 7'!$C$1:$Q$68</definedName>
    <definedName name="_xlnm.Print_Area" localSheetId="10">'Scheda 8'!$C$1:$Q$68</definedName>
    <definedName name="_xlnm.Print_Area" localSheetId="11">'Scheda 9'!$C$1:$Q$68</definedName>
    <definedName name="_xlnm.Print_Area" localSheetId="12">'Scheda 10'!$C$1:$Q$68</definedName>
    <definedName name="_xlnm.Print_Area" localSheetId="13">'Scheda 11'!$C$1:$Q$68</definedName>
    <definedName name="_xlnm.Print_Area" localSheetId="14">'Scheda 12'!$C$1:$Q$68</definedName>
    <definedName name="_xlnm.Print_Area" localSheetId="15">'Scheda 13'!$C$1:$Q$68</definedName>
    <definedName name="_xlnm.Print_Area" localSheetId="16">'Scheda 14'!$C$1:$Q$68</definedName>
    <definedName name="_xlnm.Print_Area" localSheetId="17">'Scheda 15'!$C$1:$Q$68</definedName>
    <definedName name="_xlnm.Print_Area" localSheetId="18">'Scheda 16'!$C$1:$Q$68</definedName>
    <definedName name="_xlnm.Print_Area" localSheetId="19">'Scheda 17'!$C$1:$Q$68</definedName>
    <definedName name="_xlnm.Print_Area" localSheetId="20">'Scheda 18'!$C$1:$Q$68</definedName>
    <definedName name="_xlnm.Print_Area" localSheetId="21">'Scheda 19'!$C$1:$Q$76</definedName>
    <definedName name="_xlnm.Print_Area" localSheetId="22">'Scheda 20'!$C$1:$Q$68</definedName>
    <definedName name="_xlnm.Print_Area" localSheetId="23">'Scheda 21'!$C$1:$Q$68</definedName>
    <definedName name="_xlnm.Print_Area" localSheetId="24">'Scheda 22'!$C$1:$Q$68</definedName>
    <definedName name="_xlnm.Print_Area" localSheetId="25">'Scheda 23'!$C$1:$Q$68</definedName>
    <definedName name="_xlnm.Print_Area" localSheetId="26">'Scheda 24'!$C$1:$Q$68</definedName>
    <definedName name="_xlnm.Print_Area" localSheetId="27">'9612_week  (2)'!$E$8:$CD$113</definedName>
    <definedName name="_xlnm.Print_Area" localSheetId="28">'9612_week  (3)'!$E$8:$CD$113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"/>
    <numFmt numFmtId="166" formatCode="0.000000"/>
    <numFmt numFmtId="167" formatCode="0.0000E+00"/>
    <numFmt numFmtId="168" formatCode="0.000E+00"/>
    <numFmt numFmtId="169" formatCode="&quot;€&quot;\ #,##0.00"/>
  </numFmts>
  <fonts count="107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Tahoma"/>
      <family val="2"/>
      <b val="1"/>
      <color indexed="81"/>
      <sz val="14"/>
    </font>
    <font>
      <name val="Arial"/>
      <family val="2"/>
      <b val="1"/>
      <sz val="22"/>
    </font>
    <font>
      <name val="Arial"/>
      <family val="2"/>
      <sz val="22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2"/>
      <vertAlign val="subscript"/>
    </font>
    <font>
      <name val="Arial"/>
      <family val="2"/>
      <b val="1"/>
      <sz val="14"/>
    </font>
    <font>
      <name val="Arial"/>
      <family val="2"/>
      <b val="1"/>
      <sz val="14"/>
      <vertAlign val="subscript"/>
    </font>
    <font>
      <name val="Arial"/>
      <family val="2"/>
      <b val="1"/>
      <color indexed="9"/>
      <sz val="10"/>
    </font>
    <font>
      <name val="Arial"/>
      <family val="2"/>
      <b val="1"/>
      <sz val="10"/>
      <vertAlign val="subscript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b val="1"/>
      <i val="1"/>
      <sz val="14"/>
    </font>
    <font>
      <name val="Arial"/>
      <family val="2"/>
      <b val="1"/>
      <i val="1"/>
      <color indexed="9"/>
      <sz val="14"/>
    </font>
    <font>
      <name val="Arial"/>
      <family val="2"/>
      <sz val="14"/>
    </font>
    <font>
      <name val="Arial"/>
      <family val="2"/>
      <b val="1"/>
      <color indexed="9"/>
      <sz val="12"/>
    </font>
    <font>
      <name val="Arial"/>
      <family val="2"/>
      <b val="1"/>
      <color indexed="9"/>
      <sz val="12"/>
      <vertAlign val="subscript"/>
    </font>
    <font>
      <name val="Arial"/>
      <family val="2"/>
      <b val="1"/>
      <i val="1"/>
      <sz val="12"/>
    </font>
    <font>
      <name val="Arial"/>
      <family val="2"/>
      <i val="1"/>
      <sz val="12"/>
    </font>
    <font>
      <name val="Arial"/>
      <family val="2"/>
      <sz val="12"/>
    </font>
    <font>
      <name val="Arial"/>
      <family val="2"/>
      <b val="1"/>
      <color indexed="10"/>
      <sz val="12"/>
    </font>
    <font>
      <name val="Arial"/>
      <family val="2"/>
      <i val="1"/>
      <sz val="10"/>
    </font>
    <font>
      <name val="Arial"/>
      <family val="2"/>
      <b val="1"/>
      <color indexed="18"/>
      <sz val="14"/>
      <u val="single"/>
    </font>
    <font>
      <name val="Arial"/>
      <family val="2"/>
      <color indexed="18"/>
      <sz val="14"/>
    </font>
    <font>
      <name val="Arial"/>
      <family val="2"/>
      <color indexed="18"/>
      <sz val="14"/>
      <vertAlign val="subscript"/>
    </font>
    <font>
      <name val="Arial"/>
      <family val="2"/>
      <b val="1"/>
      <i val="1"/>
      <color indexed="62"/>
      <sz val="10"/>
    </font>
    <font>
      <name val="Arial"/>
      <family val="2"/>
      <b val="1"/>
      <color indexed="60"/>
      <sz val="14"/>
    </font>
    <font>
      <name val="Arial"/>
      <family val="2"/>
      <b val="1"/>
      <i val="1"/>
      <color indexed="18"/>
      <sz val="12"/>
      <u val="single"/>
    </font>
    <font>
      <name val="Arial"/>
      <family val="2"/>
      <b val="1"/>
      <color indexed="10"/>
      <sz val="18"/>
    </font>
    <font>
      <name val="Arial"/>
      <family val="2"/>
      <color indexed="10"/>
      <sz val="12"/>
    </font>
    <font>
      <name val="Arial"/>
      <family val="2"/>
      <color indexed="10"/>
      <sz val="18"/>
    </font>
    <font>
      <name val="Arial"/>
      <family val="2"/>
      <b val="1"/>
      <color indexed="10"/>
      <sz val="18"/>
      <vertAlign val="subscript"/>
    </font>
    <font>
      <name val="Arial"/>
      <family val="2"/>
      <i val="1"/>
      <sz val="14"/>
    </font>
    <font>
      <name val="Arial"/>
      <family val="2"/>
      <b val="1"/>
      <sz val="18"/>
    </font>
    <font>
      <name val="Arial"/>
      <family val="2"/>
      <sz val="18"/>
    </font>
    <font>
      <name val="Arial"/>
      <family val="2"/>
      <b val="1"/>
      <color indexed="10"/>
      <sz val="16"/>
      <u val="single"/>
    </font>
    <font>
      <name val="Arial"/>
      <family val="2"/>
      <b val="1"/>
      <color indexed="18"/>
      <sz val="16"/>
    </font>
    <font>
      <name val="Arial"/>
      <family val="2"/>
      <b val="1"/>
      <color indexed="18"/>
      <sz val="16"/>
      <vertAlign val="subscript"/>
    </font>
    <font>
      <name val="Arial"/>
      <family val="2"/>
      <b val="1"/>
      <color indexed="17"/>
      <sz val="16"/>
    </font>
    <font>
      <name val="Arial"/>
      <family val="2"/>
      <b val="1"/>
      <color indexed="17"/>
      <sz val="16"/>
      <vertAlign val="subscript"/>
    </font>
    <font>
      <name val="Arial"/>
      <family val="2"/>
      <color indexed="17"/>
      <sz val="16"/>
    </font>
    <font>
      <name val="Arial"/>
      <family val="2"/>
      <b val="1"/>
      <color indexed="18"/>
      <sz val="14"/>
    </font>
    <font>
      <name val="Arial"/>
      <family val="2"/>
      <b val="1"/>
      <color indexed="9"/>
      <sz val="16"/>
    </font>
    <font>
      <name val="Arial"/>
      <family val="2"/>
      <b val="1"/>
      <sz val="13"/>
    </font>
    <font>
      <name val="Arial"/>
      <family val="2"/>
      <b val="1"/>
      <color indexed="9"/>
      <sz val="14"/>
    </font>
    <font>
      <name val="Arial"/>
      <family val="2"/>
      <b val="1"/>
      <color indexed="9"/>
      <sz val="14"/>
      <vertAlign val="subscript"/>
    </font>
    <font>
      <name val="Arial"/>
      <family val="2"/>
      <b val="1"/>
      <sz val="16"/>
      <vertAlign val="subscript"/>
    </font>
    <font>
      <name val="Arial"/>
      <family val="2"/>
      <i val="1"/>
      <sz val="12"/>
      <vertAlign val="subscript"/>
    </font>
    <font>
      <name val="Arial"/>
      <family val="2"/>
      <color indexed="18"/>
      <sz val="14"/>
      <vertAlign val="superscript"/>
    </font>
    <font>
      <name val="Arial"/>
      <family val="2"/>
      <i val="1"/>
      <color indexed="18"/>
      <sz val="14"/>
      <vertAlign val="subscript"/>
    </font>
    <font>
      <name val="Arial"/>
      <family val="2"/>
      <b val="1"/>
      <color indexed="18"/>
      <sz val="14"/>
      <vertAlign val="subscript"/>
    </font>
    <font>
      <name val="Arial"/>
      <family val="2"/>
      <color indexed="18"/>
      <sz val="14"/>
      <u val="single"/>
    </font>
    <font>
      <name val="Arial"/>
      <family val="2"/>
      <b val="1"/>
      <sz val="15"/>
    </font>
    <font>
      <name val="Arial"/>
      <family val="2"/>
      <b val="1"/>
      <sz val="15"/>
      <vertAlign val="subscript"/>
    </font>
    <font>
      <name val="Arial"/>
      <family val="2"/>
      <b val="1"/>
      <color indexed="18"/>
      <sz val="15"/>
    </font>
    <font>
      <name val="Arial"/>
      <family val="2"/>
      <b val="1"/>
      <color indexed="18"/>
      <sz val="15"/>
      <vertAlign val="subscript"/>
    </font>
    <font>
      <name val="Arial"/>
      <family val="2"/>
      <sz val="15"/>
    </font>
    <font>
      <name val="Arial"/>
      <family val="2"/>
      <b val="1"/>
      <color indexed="17"/>
      <sz val="15"/>
    </font>
    <font>
      <name val="Arial"/>
      <family val="2"/>
      <b val="1"/>
      <color indexed="17"/>
      <sz val="15"/>
      <vertAlign val="subscript"/>
    </font>
    <font>
      <name val="Arial"/>
      <family val="2"/>
      <b val="1"/>
      <color indexed="10"/>
      <sz val="14"/>
      <vertAlign val="subscript"/>
    </font>
    <font>
      <name val="Arial"/>
      <family val="2"/>
      <b val="1"/>
      <color indexed="20"/>
      <sz val="14"/>
      <vertAlign val="subscript"/>
    </font>
    <font>
      <name val="Arial"/>
      <family val="2"/>
      <i val="1"/>
      <sz val="11"/>
    </font>
    <font>
      <name val="Arial"/>
      <family val="2"/>
      <b val="1"/>
      <color indexed="8"/>
      <sz val="16"/>
    </font>
    <font>
      <name val="Arial"/>
      <family val="2"/>
      <i val="1"/>
      <sz val="15"/>
    </font>
    <font>
      <name val="Arial"/>
      <family val="2"/>
      <b val="1"/>
      <i val="1"/>
      <sz val="11"/>
    </font>
    <font>
      <name val="Arial"/>
      <family val="2"/>
      <b val="1"/>
      <sz val="11"/>
      <vertAlign val="subscript"/>
    </font>
    <font>
      <name val="Arial"/>
      <family val="2"/>
      <color indexed="10"/>
      <sz val="22"/>
    </font>
    <font>
      <name val="Arial"/>
      <family val="2"/>
      <i val="1"/>
      <sz val="22"/>
    </font>
    <font>
      <name val="Arial"/>
      <family val="2"/>
      <i val="1"/>
      <color indexed="10"/>
      <sz val="20"/>
    </font>
    <font>
      <name val="Arial"/>
      <family val="2"/>
      <b val="1"/>
      <color indexed="56"/>
      <sz val="12"/>
      <vertAlign val="subscript"/>
    </font>
    <font>
      <name val="Arial"/>
      <family val="2"/>
      <b val="1"/>
      <sz val="24"/>
    </font>
    <font>
      <name val="Arial"/>
      <family val="2"/>
      <i val="1"/>
      <color indexed="17"/>
      <sz val="20"/>
    </font>
    <font>
      <name val="Arial"/>
      <family val="2"/>
      <b val="1"/>
      <color indexed="9"/>
      <sz val="11"/>
      <vertAlign val="subscript"/>
    </font>
    <font>
      <name val="Arial"/>
      <family val="2"/>
      <b val="1"/>
      <color indexed="8"/>
      <sz val="16"/>
      <vertAlign val="superscript"/>
    </font>
    <font>
      <name val="Arial"/>
      <family val="2"/>
      <i val="1"/>
      <sz val="20"/>
    </font>
    <font>
      <name val="Arial"/>
      <family val="2"/>
      <b val="1"/>
      <i val="1"/>
      <color indexed="10"/>
      <sz val="18"/>
      <u val="single"/>
    </font>
    <font>
      <name val="Arial"/>
      <family val="2"/>
      <i val="1"/>
      <sz val="18"/>
    </font>
    <font>
      <name val="Arial"/>
      <family val="2"/>
      <color indexed="18"/>
      <sz val="16"/>
    </font>
    <font>
      <name val="Arial"/>
      <family val="2"/>
      <color indexed="18"/>
      <sz val="16"/>
      <vertAlign val="subscript"/>
    </font>
    <font>
      <name val="Wingdings"/>
      <charset val="2"/>
      <sz val="18"/>
    </font>
    <font>
      <name val="Wingdings"/>
      <charset val="2"/>
      <i val="1"/>
      <sz val="22"/>
    </font>
    <font>
      <name val="Wingdings"/>
      <charset val="2"/>
      <sz val="22"/>
    </font>
    <font>
      <name val="Arial"/>
      <family val="2"/>
      <b val="1"/>
      <color indexed="9"/>
      <sz val="16"/>
      <vertAlign val="subscript"/>
    </font>
    <font>
      <name val="Arial"/>
      <family val="2"/>
      <b val="1"/>
      <color indexed="58"/>
      <sz val="16"/>
      <vertAlign val="subscript"/>
    </font>
    <font>
      <name val="Arial"/>
      <family val="2"/>
      <b val="1"/>
      <color indexed="9"/>
      <sz val="22"/>
    </font>
    <font>
      <name val="Arial"/>
      <family val="2"/>
      <color indexed="9"/>
      <sz val="22"/>
    </font>
    <font>
      <name val="Arial"/>
      <family val="2"/>
      <b val="1"/>
      <i val="1"/>
      <color indexed="9"/>
      <sz val="22"/>
    </font>
    <font>
      <name val="Arial"/>
      <family val="2"/>
      <b val="1"/>
      <color theme="0"/>
      <sz val="14"/>
    </font>
    <font>
      <name val="Arial"/>
      <family val="2"/>
      <b val="1"/>
      <color rgb="FF002060"/>
      <sz val="12"/>
    </font>
    <font>
      <name val="Arial"/>
      <family val="2"/>
      <b val="1"/>
      <color rgb="FF002060"/>
      <sz val="14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rgb="FF003300"/>
      <sz val="16"/>
    </font>
    <font>
      <name val="Arial"/>
      <family val="2"/>
      <i val="1"/>
      <color rgb="FF003300"/>
      <sz val="14"/>
    </font>
    <font>
      <name val="Arial"/>
      <family val="2"/>
      <b val="1"/>
      <color theme="0"/>
      <sz val="22"/>
    </font>
    <font>
      <name val="Arial"/>
      <family val="2"/>
      <b val="1"/>
      <color rgb="FFFF0000"/>
      <sz val="14"/>
    </font>
    <font>
      <name val="Arial"/>
      <family val="2"/>
      <b val="1"/>
      <color theme="1"/>
      <sz val="16"/>
    </font>
    <font>
      <name val="Times New Roman"/>
      <family val="1"/>
      <sz val="12"/>
    </font>
    <font>
      <name val="Arial"/>
      <family val="2"/>
      <sz val="8"/>
    </font>
    <font>
      <name val="Arial"/>
      <family val="2"/>
      <color rgb="FF000000"/>
      <sz val="8"/>
    </font>
    <font>
      <name val="Arial"/>
      <family val="2"/>
      <color rgb="FFFF0000"/>
      <sz val="10"/>
    </font>
    <font>
      <name val="Arial"/>
      <family val="2"/>
      <color theme="0"/>
      <sz val="8"/>
    </font>
    <font>
      <name val="Arial"/>
      <family val="2"/>
      <color rgb="FF000000"/>
      <sz val="7"/>
    </font>
  </fonts>
  <fills count="31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6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101" fillId="0" borderId="0" applyAlignment="1">
      <alignment vertical="center"/>
    </xf>
  </cellStyleXfs>
  <cellXfs count="49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164" fontId="14" fillId="2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" fontId="14" fillId="4" borderId="1" applyAlignment="1" pivotButton="0" quotePrefix="0" xfId="0">
      <alignment horizontal="center" vertical="center"/>
    </xf>
    <xf numFmtId="1" fontId="14" fillId="6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6" fillId="8" borderId="3" applyAlignment="1" pivotButton="0" quotePrefix="0" xfId="0">
      <alignment horizontal="center" vertical="center"/>
    </xf>
    <xf numFmtId="1" fontId="6" fillId="0" borderId="3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15" fillId="4" borderId="2" applyAlignment="1" pivotButton="0" quotePrefix="0" xfId="0">
      <alignment horizontal="center" vertical="center"/>
    </xf>
    <xf numFmtId="0" fontId="2" fillId="9" borderId="0" pivotButton="0" quotePrefix="0" xfId="0"/>
    <xf numFmtId="0" fontId="17" fillId="9" borderId="0" pivotButton="0" quotePrefix="0" xfId="0"/>
    <xf numFmtId="0" fontId="18" fillId="5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 wrapText="1"/>
    </xf>
    <xf numFmtId="164" fontId="20" fillId="9" borderId="1" applyAlignment="1" pivotButton="0" quotePrefix="0" xfId="0">
      <alignment horizontal="center" vertical="center" wrapText="1"/>
    </xf>
    <xf numFmtId="164" fontId="21" fillId="9" borderId="4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2" fontId="21" fillId="9" borderId="0" applyAlignment="1" pivotButton="0" quotePrefix="0" xfId="0">
      <alignment horizontal="left"/>
    </xf>
    <xf numFmtId="0" fontId="21" fillId="9" borderId="0" applyAlignment="1" pivotButton="0" quotePrefix="0" xfId="0">
      <alignment horizontal="center" wrapText="1"/>
    </xf>
    <xf numFmtId="0" fontId="22" fillId="9" borderId="0" pivotButton="0" quotePrefix="0" xfId="0"/>
    <xf numFmtId="9" fontId="23" fillId="9" borderId="0" applyAlignment="1" pivotButton="0" quotePrefix="0" xfId="0">
      <alignment horizontal="center" wrapText="1"/>
    </xf>
    <xf numFmtId="0" fontId="24" fillId="9" borderId="0" applyAlignment="1" pivotButton="0" quotePrefix="0" xfId="0">
      <alignment horizontal="center" wrapText="1"/>
    </xf>
    <xf numFmtId="0" fontId="24" fillId="9" borderId="0" applyAlignment="1" pivotButton="0" quotePrefix="0" xfId="0">
      <alignment horizontal="right" wrapText="1"/>
    </xf>
    <xf numFmtId="0" fontId="7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right"/>
    </xf>
    <xf numFmtId="0" fontId="26" fillId="9" borderId="0" applyAlignment="1" pivotButton="0" quotePrefix="0" xfId="0">
      <alignment horizontal="right"/>
    </xf>
    <xf numFmtId="164" fontId="9" fillId="10" borderId="0" applyAlignment="1" pivotButton="0" quotePrefix="0" xfId="0">
      <alignment horizontal="right"/>
    </xf>
    <xf numFmtId="0" fontId="9" fillId="10" borderId="0" applyAlignment="1" pivotButton="0" quotePrefix="0" xfId="0">
      <alignment horizontal="center"/>
    </xf>
    <xf numFmtId="2" fontId="9" fillId="10" borderId="0" applyAlignment="1" pivotButton="0" quotePrefix="0" xfId="0">
      <alignment horizontal="left"/>
    </xf>
    <xf numFmtId="0" fontId="9" fillId="10" borderId="0" applyAlignment="1" pivotButton="0" quotePrefix="0" xfId="0">
      <alignment horizontal="right"/>
    </xf>
    <xf numFmtId="164" fontId="9" fillId="10" borderId="5" applyAlignment="1" pivotButton="0" quotePrefix="0" xfId="0">
      <alignment horizontal="center" wrapText="1"/>
    </xf>
    <xf numFmtId="0" fontId="17" fillId="10" borderId="6" pivotButton="0" quotePrefix="0" xfId="0"/>
    <xf numFmtId="0" fontId="17" fillId="10" borderId="0" pivotButton="0" quotePrefix="0" xfId="0"/>
    <xf numFmtId="164" fontId="28" fillId="9" borderId="0" applyAlignment="1" pivotButton="0" quotePrefix="0" xfId="0">
      <alignment horizontal="center" wrapText="1"/>
    </xf>
    <xf numFmtId="164" fontId="30" fillId="9" borderId="0" applyAlignment="1" pivotButton="0" quotePrefix="0" xfId="0">
      <alignment horizontal="center" wrapText="1"/>
    </xf>
    <xf numFmtId="164" fontId="13" fillId="9" borderId="0" applyAlignment="1" pivotButton="0" quotePrefix="0" xfId="0">
      <alignment horizontal="center"/>
    </xf>
    <xf numFmtId="0" fontId="35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/>
    </xf>
    <xf numFmtId="0" fontId="43" fillId="9" borderId="0" pivotButton="0" quotePrefix="0" xfId="0"/>
    <xf numFmtId="164" fontId="9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shrinkToFit="1"/>
    </xf>
    <xf numFmtId="0" fontId="9" fillId="9" borderId="0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/>
    </xf>
    <xf numFmtId="0" fontId="35" fillId="9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/>
    </xf>
    <xf numFmtId="0" fontId="37" fillId="9" borderId="0" applyAlignment="1" pivotButton="0" quotePrefix="0" xfId="0">
      <alignment horizontal="center" vertical="center"/>
    </xf>
    <xf numFmtId="0" fontId="41" fillId="9" borderId="8" applyAlignment="1" pivotButton="0" quotePrefix="0" xfId="0">
      <alignment horizontal="center" vertical="center"/>
    </xf>
    <xf numFmtId="164" fontId="9" fillId="6" borderId="8" applyAlignment="1" pivotButton="0" quotePrefix="0" xfId="0">
      <alignment horizontal="center" vertical="center"/>
    </xf>
    <xf numFmtId="0" fontId="45" fillId="9" borderId="0" applyAlignment="1" pivotButton="0" quotePrefix="0" xfId="0">
      <alignment horizontal="center" vertical="center" wrapText="1" shrinkToFit="1"/>
    </xf>
    <xf numFmtId="0" fontId="13" fillId="9" borderId="0" applyAlignment="1" pivotButton="0" quotePrefix="0" xfId="0">
      <alignment horizontal="right"/>
    </xf>
    <xf numFmtId="164" fontId="9" fillId="3" borderId="1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5" fontId="2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5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6" fillId="14" borderId="3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9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center" vertical="center" wrapText="1"/>
    </xf>
    <xf numFmtId="164" fontId="46" fillId="3" borderId="0" applyAlignment="1" pivotButton="0" quotePrefix="0" xfId="0">
      <alignment horizontal="center" vertical="center" wrapText="1"/>
    </xf>
    <xf numFmtId="164" fontId="46" fillId="4" borderId="0" applyAlignment="1" pivotButton="0" quotePrefix="0" xfId="0">
      <alignment horizontal="center" vertical="center" wrapText="1"/>
    </xf>
    <xf numFmtId="0" fontId="47" fillId="15" borderId="1" applyAlignment="1" pivotButton="0" quotePrefix="0" xfId="0">
      <alignment horizontal="center" vertical="center" wrapText="1"/>
    </xf>
    <xf numFmtId="0" fontId="90" fillId="15" borderId="1" applyAlignment="1" pivotButton="0" quotePrefix="0" xfId="0">
      <alignment horizontal="center" vertical="center" wrapText="1"/>
    </xf>
    <xf numFmtId="2" fontId="47" fillId="15" borderId="0" applyAlignment="1" pivotButton="0" quotePrefix="0" xfId="0">
      <alignment horizontal="center" vertical="center" wrapText="1"/>
    </xf>
    <xf numFmtId="2" fontId="18" fillId="15" borderId="0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right" vertical="center"/>
    </xf>
    <xf numFmtId="1" fontId="25" fillId="9" borderId="0" applyAlignment="1" pivotButton="0" quotePrefix="0" xfId="0">
      <alignment horizontal="left" vertical="center" wrapText="1"/>
    </xf>
    <xf numFmtId="164" fontId="25" fillId="9" borderId="0" applyAlignment="1" pivotButton="0" quotePrefix="0" xfId="0">
      <alignment horizontal="left" vertical="center" wrapText="1"/>
    </xf>
    <xf numFmtId="2" fontId="54" fillId="9" borderId="0" applyAlignment="1" pivotButton="0" quotePrefix="0" xfId="0">
      <alignment horizontal="left" vertical="center" wrapText="1"/>
    </xf>
    <xf numFmtId="0" fontId="44" fillId="9" borderId="0" applyAlignment="1" pivotButton="0" quotePrefix="0" xfId="0">
      <alignment horizontal="right"/>
    </xf>
    <xf numFmtId="0" fontId="21" fillId="9" borderId="13" pivotButton="0" quotePrefix="0" xfId="0"/>
    <xf numFmtId="0" fontId="21" fillId="0" borderId="4" pivotButton="0" quotePrefix="0" xfId="0"/>
    <xf numFmtId="164" fontId="7" fillId="0" borderId="0" applyAlignment="1" pivotButton="0" quotePrefix="0" xfId="0">
      <alignment horizontal="left"/>
    </xf>
    <xf numFmtId="164" fontId="7" fillId="0" borderId="11" applyAlignment="1" pivotButton="0" quotePrefix="0" xfId="0">
      <alignment horizontal="left"/>
    </xf>
    <xf numFmtId="0" fontId="21" fillId="9" borderId="13" applyAlignment="1" pivotButton="0" quotePrefix="0" xfId="0">
      <alignment horizontal="right"/>
    </xf>
    <xf numFmtId="2" fontId="7" fillId="0" borderId="14" applyAlignment="1" pivotButton="0" quotePrefix="0" xfId="0">
      <alignment horizontal="left"/>
    </xf>
    <xf numFmtId="0" fontId="21" fillId="9" borderId="4" applyAlignment="1" pivotButton="0" quotePrefix="0" xfId="0">
      <alignment horizontal="right"/>
    </xf>
    <xf numFmtId="2" fontId="7" fillId="0" borderId="3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/>
    </xf>
    <xf numFmtId="164" fontId="21" fillId="9" borderId="1" applyAlignment="1" pivotButton="0" quotePrefix="0" xfId="0">
      <alignment horizontal="center" vertical="center" wrapText="1"/>
    </xf>
    <xf numFmtId="164" fontId="55" fillId="6" borderId="8" applyAlignment="1" pivotButton="0" quotePrefix="0" xfId="0">
      <alignment horizontal="center" vertical="center"/>
    </xf>
    <xf numFmtId="0" fontId="60" fillId="9" borderId="8" applyAlignment="1" pivotButton="0" quotePrefix="0" xfId="0">
      <alignment horizontal="center" vertical="center"/>
    </xf>
    <xf numFmtId="2" fontId="9" fillId="11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" fontId="13" fillId="11" borderId="1" applyAlignment="1" pivotButton="0" quotePrefix="0" xfId="0">
      <alignment horizontal="center" vertical="center"/>
    </xf>
    <xf numFmtId="1" fontId="13" fillId="4" borderId="1" applyAlignment="1" pivotButton="0" quotePrefix="0" xfId="0">
      <alignment horizontal="center" vertical="center"/>
    </xf>
    <xf numFmtId="164" fontId="55" fillId="0" borderId="1" applyAlignment="1" pivotButton="0" quotePrefix="0" xfId="0">
      <alignment horizontal="center" vertical="center"/>
    </xf>
    <xf numFmtId="0" fontId="21" fillId="9" borderId="0" applyAlignment="1" pivotButton="0" quotePrefix="0" xfId="0">
      <alignment horizontal="right"/>
    </xf>
    <xf numFmtId="0" fontId="21" fillId="9" borderId="15" applyAlignment="1" pivotButton="0" quotePrefix="0" xfId="0">
      <alignment horizontal="left"/>
    </xf>
    <xf numFmtId="0" fontId="21" fillId="9" borderId="10" applyAlignment="1" pivotButton="0" quotePrefix="0" xfId="0">
      <alignment horizontal="right"/>
    </xf>
    <xf numFmtId="0" fontId="21" fillId="9" borderId="13" applyAlignment="1" pivotButton="0" quotePrefix="0" xfId="0">
      <alignment horizontal="left"/>
    </xf>
    <xf numFmtId="0" fontId="21" fillId="9" borderId="4" applyAlignment="1" pivotButton="0" quotePrefix="0" xfId="0">
      <alignment horizontal="left"/>
    </xf>
    <xf numFmtId="0" fontId="21" fillId="9" borderId="11" applyAlignment="1" pivotButton="0" quotePrefix="0" xfId="0">
      <alignment horizontal="right"/>
    </xf>
    <xf numFmtId="0" fontId="17" fillId="9" borderId="16" applyAlignment="1" pivotButton="0" quotePrefix="0" xfId="0">
      <alignment horizontal="center" vertical="center"/>
    </xf>
    <xf numFmtId="0" fontId="17" fillId="9" borderId="17" applyAlignment="1" pivotButton="0" quotePrefix="0" xfId="0">
      <alignment horizontal="center" vertical="center"/>
    </xf>
    <xf numFmtId="0" fontId="9" fillId="9" borderId="2" applyAlignment="1" pivotButton="0" quotePrefix="0" xfId="0">
      <alignment horizontal="right" vertical="center"/>
    </xf>
    <xf numFmtId="0" fontId="17" fillId="9" borderId="18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9" fillId="9" borderId="19" applyAlignment="1" pivotButton="0" quotePrefix="0" xfId="0">
      <alignment horizontal="center" vertical="center"/>
    </xf>
    <xf numFmtId="164" fontId="66" fillId="9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pivotButton="0" quotePrefix="0" xfId="0"/>
    <xf numFmtId="164" fontId="6" fillId="16" borderId="3" applyAlignment="1" pivotButton="0" quotePrefix="0" xfId="0">
      <alignment horizontal="center" vertical="center"/>
    </xf>
    <xf numFmtId="0" fontId="2" fillId="16" borderId="16" applyAlignment="1" pivotButton="0" quotePrefix="0" xfId="0">
      <alignment vertical="center"/>
    </xf>
    <xf numFmtId="0" fontId="14" fillId="9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64" fillId="9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4" fillId="0" borderId="0" pivotButton="0" quotePrefix="0" xfId="0"/>
    <xf numFmtId="0" fontId="64" fillId="9" borderId="0" applyAlignment="1" pivotButton="0" quotePrefix="0" xfId="0">
      <alignment horizontal="right" vertical="center"/>
    </xf>
    <xf numFmtId="0" fontId="67" fillId="6" borderId="0" applyAlignment="1" pivotButton="0" quotePrefix="0" xfId="0">
      <alignment horizontal="center" vertical="center"/>
    </xf>
    <xf numFmtId="1" fontId="67" fillId="11" borderId="0" applyAlignment="1" pivotButton="0" quotePrefix="0" xfId="0">
      <alignment horizontal="center" vertical="center"/>
    </xf>
    <xf numFmtId="1" fontId="67" fillId="17" borderId="0" applyAlignment="1" pivotButton="0" quotePrefix="0" xfId="0">
      <alignment horizontal="center" vertical="center"/>
    </xf>
    <xf numFmtId="1" fontId="0" fillId="0" borderId="0" pivotButton="0" quotePrefix="0" xfId="0"/>
    <xf numFmtId="0" fontId="67" fillId="9" borderId="0" applyAlignment="1" pivotButton="0" quotePrefix="0" xfId="0">
      <alignment horizontal="right" vertical="center"/>
    </xf>
    <xf numFmtId="0" fontId="7" fillId="16" borderId="9" applyAlignment="1" pivotButton="0" quotePrefix="0" xfId="0">
      <alignment horizontal="center" vertical="center"/>
    </xf>
    <xf numFmtId="164" fontId="21" fillId="9" borderId="9" applyAlignment="1" pivotButton="0" quotePrefix="0" xfId="0">
      <alignment horizontal="center" vertical="center" wrapText="1"/>
    </xf>
    <xf numFmtId="0" fontId="91" fillId="14" borderId="20" applyAlignment="1" pivotButton="0" quotePrefix="0" xfId="0">
      <alignment horizontal="center" vertical="center" wrapText="1"/>
    </xf>
    <xf numFmtId="0" fontId="91" fillId="14" borderId="8" applyAlignment="1" pivotButton="0" quotePrefix="0" xfId="0">
      <alignment horizontal="center" vertical="center" wrapText="1"/>
    </xf>
    <xf numFmtId="0" fontId="92" fillId="14" borderId="0" applyAlignment="1" pivotButton="0" quotePrefix="0" xfId="0">
      <alignment horizontal="center" vertical="center" wrapText="1"/>
    </xf>
    <xf numFmtId="0" fontId="91" fillId="14" borderId="2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92" fillId="14" borderId="22" applyAlignment="1" pivotButton="0" quotePrefix="0" xfId="0">
      <alignment horizontal="center" vertical="center" wrapText="1"/>
    </xf>
    <xf numFmtId="0" fontId="92" fillId="14" borderId="11" applyAlignment="1" pivotButton="0" quotePrefix="0" xfId="0">
      <alignment horizontal="center" vertical="center" wrapText="1"/>
    </xf>
    <xf numFmtId="0" fontId="92" fillId="14" borderId="6" applyAlignment="1" pivotButton="0" quotePrefix="0" xfId="0">
      <alignment horizontal="center" vertical="center" wrapText="1"/>
    </xf>
    <xf numFmtId="0" fontId="92" fillId="14" borderId="5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93" fillId="18" borderId="1" applyAlignment="1" pivotButton="0" quotePrefix="0" xfId="0">
      <alignment horizontal="center" vertical="center"/>
    </xf>
    <xf numFmtId="0" fontId="93" fillId="19" borderId="1" applyAlignment="1" pivotButton="0" quotePrefix="0" xfId="0">
      <alignment horizontal="center" vertical="center"/>
    </xf>
    <xf numFmtId="164" fontId="9" fillId="10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/>
    </xf>
    <xf numFmtId="0" fontId="1" fillId="9" borderId="17" pivotButton="0" quotePrefix="0" xfId="0"/>
    <xf numFmtId="0" fontId="1" fillId="9" borderId="2" pivotButton="0" quotePrefix="0" xfId="0"/>
    <xf numFmtId="0" fontId="1" fillId="9" borderId="10" pivotButton="0" quotePrefix="0" xfId="0"/>
    <xf numFmtId="0" fontId="1" fillId="9" borderId="12" pivotButton="0" quotePrefix="0" xfId="0"/>
    <xf numFmtId="0" fontId="1" fillId="9" borderId="11" pivotButton="0" quotePrefix="0" xfId="0"/>
    <xf numFmtId="0" fontId="1" fillId="9" borderId="14" pivotButton="0" quotePrefix="0" xfId="0"/>
    <xf numFmtId="0" fontId="1" fillId="9" borderId="3" pivotButton="0" quotePrefix="0" xfId="0"/>
    <xf numFmtId="164" fontId="1" fillId="9" borderId="0" pivotButton="0" quotePrefix="0" xfId="0"/>
    <xf numFmtId="0" fontId="9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wrapText="1"/>
    </xf>
    <xf numFmtId="166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0" borderId="0" applyProtection="1" pivotButton="0" quotePrefix="0" xfId="0">
      <protection locked="1" hidden="1"/>
    </xf>
    <xf numFmtId="0" fontId="5" fillId="9" borderId="0" applyAlignment="1" pivotButton="0" quotePrefix="0" xfId="0">
      <alignment horizontal="right"/>
    </xf>
    <xf numFmtId="0" fontId="5" fillId="9" borderId="0" applyAlignment="1" pivotButton="0" quotePrefix="0" xfId="0">
      <alignment horizontal="left"/>
    </xf>
    <xf numFmtId="167" fontId="1" fillId="9" borderId="0" pivotButton="0" quotePrefix="0" xfId="0"/>
    <xf numFmtId="168" fontId="1" fillId="9" borderId="0" pivotButton="0" quotePrefix="0" xfId="0"/>
    <xf numFmtId="0" fontId="1" fillId="9" borderId="0" applyAlignment="1" pivotButton="0" quotePrefix="0" xfId="0">
      <alignment horizontal="right"/>
    </xf>
    <xf numFmtId="0" fontId="1" fillId="9" borderId="0" applyAlignment="1" pivotButton="0" quotePrefix="0" xfId="0">
      <alignment shrinkToFit="1"/>
    </xf>
    <xf numFmtId="0" fontId="1" fillId="0" borderId="23" pivotButton="0" quotePrefix="0" xfId="0"/>
    <xf numFmtId="0" fontId="1" fillId="0" borderId="1" applyAlignment="1" pivotButton="0" quotePrefix="0" xfId="0">
      <alignment horizontal="center" vertical="center" wrapText="1"/>
    </xf>
    <xf numFmtId="0" fontId="17" fillId="9" borderId="24" applyAlignment="1" pivotButton="0" quotePrefix="0" xfId="0">
      <alignment horizontal="center" vertical="center"/>
    </xf>
    <xf numFmtId="0" fontId="21" fillId="9" borderId="23" applyAlignment="1" pivotButton="0" quotePrefix="0" xfId="0">
      <alignment horizontal="right" vertical="center"/>
    </xf>
    <xf numFmtId="0" fontId="21" fillId="9" borderId="17" applyAlignment="1" pivotButton="0" quotePrefix="0" xfId="0">
      <alignment horizontal="right" vertical="center"/>
    </xf>
    <xf numFmtId="164" fontId="38" fillId="9" borderId="0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37" fillId="9" borderId="0" pivotButton="0" quotePrefix="0" xfId="0"/>
    <xf numFmtId="0" fontId="77" fillId="9" borderId="0" pivotButton="0" quotePrefix="0" xfId="0"/>
    <xf numFmtId="164" fontId="9" fillId="10" borderId="1" applyAlignment="1" pivotButton="0" quotePrefix="0" xfId="0">
      <alignment horizontal="center" wrapText="1"/>
    </xf>
    <xf numFmtId="164" fontId="7" fillId="9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right" vertical="center"/>
    </xf>
    <xf numFmtId="0" fontId="80" fillId="9" borderId="0" applyAlignment="1" pivotButton="0" quotePrefix="0" xfId="0">
      <alignment horizontal="right"/>
    </xf>
    <xf numFmtId="2" fontId="54" fillId="9" borderId="0" applyAlignment="1" pivotButton="0" quotePrefix="0" xfId="0">
      <alignment horizontal="center" vertical="center" wrapText="1"/>
    </xf>
    <xf numFmtId="0" fontId="18" fillId="5" borderId="24" applyAlignment="1" pivotButton="0" quotePrefix="0" xfId="0">
      <alignment horizontal="center" vertical="center" wrapText="1"/>
    </xf>
    <xf numFmtId="0" fontId="1" fillId="9" borderId="5" pivotButton="0" quotePrefix="0" xfId="0"/>
    <xf numFmtId="0" fontId="18" fillId="5" borderId="20" applyAlignment="1" pivotButton="0" quotePrefix="0" xfId="0">
      <alignment horizontal="center" vertical="center" wrapText="1"/>
    </xf>
    <xf numFmtId="0" fontId="18" fillId="5" borderId="8" applyAlignment="1" pivotButton="0" quotePrefix="0" xfId="0">
      <alignment horizontal="center" vertical="center" wrapText="1"/>
    </xf>
    <xf numFmtId="0" fontId="18" fillId="5" borderId="25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/>
    </xf>
    <xf numFmtId="0" fontId="13" fillId="20" borderId="0" applyAlignment="1" pivotButton="0" quotePrefix="0" xfId="0">
      <alignment horizontal="center" vertical="center"/>
    </xf>
    <xf numFmtId="0" fontId="1" fillId="20" borderId="0" pivotButton="0" quotePrefix="0" xfId="0"/>
    <xf numFmtId="164" fontId="7" fillId="20" borderId="0" applyAlignment="1" pivotButton="0" quotePrefix="0" xfId="0">
      <alignment horizontal="center" vertical="center" wrapText="1"/>
    </xf>
    <xf numFmtId="0" fontId="37" fillId="20" borderId="0" applyAlignment="1" pivotButton="0" quotePrefix="0" xfId="0">
      <alignment horizontal="center" vertical="center"/>
    </xf>
    <xf numFmtId="0" fontId="17" fillId="20" borderId="0" applyAlignment="1" pivotButton="0" quotePrefix="0" xfId="0">
      <alignment horizontal="left" vertical="center" wrapText="1"/>
    </xf>
    <xf numFmtId="0" fontId="1" fillId="20" borderId="0" applyAlignment="1" pivotButton="0" quotePrefix="0" xfId="0">
      <alignment shrinkToFit="1"/>
    </xf>
    <xf numFmtId="0" fontId="9" fillId="20" borderId="0" applyAlignment="1" pivotButton="0" quotePrefix="0" xfId="0">
      <alignment horizontal="center" vertical="center"/>
    </xf>
    <xf numFmtId="164" fontId="38" fillId="20" borderId="0" applyAlignment="1" pivotButton="0" quotePrefix="0" xfId="0">
      <alignment horizontal="center" vertical="center"/>
    </xf>
    <xf numFmtId="164" fontId="46" fillId="20" borderId="0" applyAlignment="1" pivotButton="0" quotePrefix="0" xfId="0">
      <alignment horizontal="center" vertical="center" wrapText="1"/>
    </xf>
    <xf numFmtId="0" fontId="13" fillId="20" borderId="0" applyAlignment="1" pivotButton="0" quotePrefix="0" xfId="0">
      <alignment shrinkToFit="1"/>
    </xf>
    <xf numFmtId="0" fontId="93" fillId="18" borderId="3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 wrapText="1"/>
    </xf>
    <xf numFmtId="0" fontId="21" fillId="21" borderId="9" applyAlignment="1" pivotButton="0" quotePrefix="0" xfId="0">
      <alignment horizontal="center" vertical="center" wrapText="1"/>
    </xf>
    <xf numFmtId="164" fontId="54" fillId="9" borderId="0" applyAlignment="1" pivotButton="0" quotePrefix="0" xfId="0">
      <alignment horizontal="center" vertical="center" wrapText="1"/>
    </xf>
    <xf numFmtId="2" fontId="22" fillId="9" borderId="0" applyAlignment="1" pivotButton="0" quotePrefix="0" xfId="0">
      <alignment horizontal="left"/>
    </xf>
    <xf numFmtId="164" fontId="9" fillId="10" borderId="26" applyAlignment="1" pivotButton="0" quotePrefix="0" xfId="0">
      <alignment horizontal="center"/>
    </xf>
    <xf numFmtId="0" fontId="9" fillId="10" borderId="26" applyAlignment="1" pivotButton="0" quotePrefix="0" xfId="0">
      <alignment horizontal="center"/>
    </xf>
    <xf numFmtId="2" fontId="9" fillId="10" borderId="26" applyAlignment="1" pivotButton="0" quotePrefix="0" xfId="0">
      <alignment horizontal="left"/>
    </xf>
    <xf numFmtId="0" fontId="5" fillId="9" borderId="26" applyAlignment="1" pivotButton="0" quotePrefix="0" xfId="0">
      <alignment horizontal="right"/>
    </xf>
    <xf numFmtId="0" fontId="1" fillId="9" borderId="26" pivotButton="0" quotePrefix="0" xfId="0"/>
    <xf numFmtId="0" fontId="9" fillId="10" borderId="26" applyAlignment="1" pivotButton="0" quotePrefix="0" xfId="0">
      <alignment horizontal="right"/>
    </xf>
    <xf numFmtId="164" fontId="9" fillId="10" borderId="27" applyAlignment="1" pivotButton="0" quotePrefix="0" xfId="0">
      <alignment horizontal="center" wrapText="1"/>
    </xf>
    <xf numFmtId="0" fontId="17" fillId="10" borderId="28" pivotButton="0" quotePrefix="0" xfId="0"/>
    <xf numFmtId="0" fontId="17" fillId="10" borderId="29" pivotButton="0" quotePrefix="0" xfId="0"/>
    <xf numFmtId="0" fontId="9" fillId="10" borderId="29" applyAlignment="1" pivotButton="0" quotePrefix="0" xfId="0">
      <alignment horizontal="right"/>
    </xf>
    <xf numFmtId="164" fontId="9" fillId="10" borderId="30" applyAlignment="1" pivotButton="0" quotePrefix="0" xfId="0">
      <alignment horizontal="center" wrapText="1"/>
    </xf>
    <xf numFmtId="0" fontId="9" fillId="17" borderId="1" applyAlignment="1" pivotButton="0" quotePrefix="0" xfId="0">
      <alignment horizontal="center" vertical="center" wrapText="1"/>
    </xf>
    <xf numFmtId="0" fontId="21" fillId="9" borderId="23" applyAlignment="1" pivotButton="0" quotePrefix="0" xfId="0">
      <alignment horizontal="right"/>
    </xf>
    <xf numFmtId="164" fontId="7" fillId="0" borderId="0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" fontId="7" fillId="0" borderId="2" applyAlignment="1" pivotButton="0" quotePrefix="0" xfId="0">
      <alignment horizontal="center"/>
    </xf>
    <xf numFmtId="0" fontId="6" fillId="18" borderId="1" applyAlignment="1" pivotButton="0" quotePrefix="0" xfId="0">
      <alignment horizontal="center" vertical="center" wrapText="1"/>
    </xf>
    <xf numFmtId="2" fontId="6" fillId="18" borderId="3" applyAlignment="1" pivotButton="0" quotePrefix="0" xfId="0">
      <alignment horizontal="center" vertical="center" wrapText="1"/>
    </xf>
    <xf numFmtId="2" fontId="6" fillId="18" borderId="2" applyAlignment="1" pivotButton="0" quotePrefix="0" xfId="0">
      <alignment horizontal="center" vertical="center" wrapText="1"/>
    </xf>
    <xf numFmtId="2" fontId="6" fillId="18" borderId="1" applyAlignment="1" pivotButton="0" quotePrefix="0" xfId="0">
      <alignment horizontal="center" vertical="center" wrapText="1"/>
    </xf>
    <xf numFmtId="2" fontId="6" fillId="18" borderId="3" applyAlignment="1" pivotButton="0" quotePrefix="0" xfId="0">
      <alignment horizontal="center" vertical="center"/>
    </xf>
    <xf numFmtId="2" fontId="6" fillId="18" borderId="1" applyAlignment="1" pivotButton="0" quotePrefix="0" xfId="0">
      <alignment horizontal="center" vertical="center"/>
    </xf>
    <xf numFmtId="2" fontId="14" fillId="18" borderId="1" applyAlignment="1" pivotButton="0" quotePrefix="0" xfId="0">
      <alignment horizontal="center" vertical="center"/>
    </xf>
    <xf numFmtId="2" fontId="15" fillId="18" borderId="1" applyAlignment="1" pivotButton="0" quotePrefix="0" xfId="0">
      <alignment horizontal="center" vertical="center"/>
    </xf>
    <xf numFmtId="0" fontId="14" fillId="18" borderId="3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2" fillId="18" borderId="23" applyAlignment="1" pivotButton="0" quotePrefix="0" xfId="0">
      <alignment horizontal="center" vertical="center" wrapText="1"/>
    </xf>
    <xf numFmtId="0" fontId="91" fillId="18" borderId="14" applyAlignment="1" pivotButton="0" quotePrefix="0" xfId="0">
      <alignment horizontal="center" vertical="center" wrapText="1"/>
    </xf>
    <xf numFmtId="0" fontId="91" fillId="18" borderId="13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vertical="center"/>
    </xf>
    <xf numFmtId="164" fontId="35" fillId="14" borderId="4" applyAlignment="1" pivotButton="0" quotePrefix="0" xfId="0">
      <alignment horizontal="center" vertical="center" wrapText="1"/>
    </xf>
    <xf numFmtId="0" fontId="82" fillId="9" borderId="0" pivotButton="0" quotePrefix="0" xfId="0"/>
    <xf numFmtId="164" fontId="83" fillId="9" borderId="4" applyAlignment="1" pivotButton="0" quotePrefix="0" xfId="0">
      <alignment horizontal="center" vertical="center" wrapText="1"/>
    </xf>
    <xf numFmtId="0" fontId="84" fillId="9" borderId="0" pivotButton="0" quotePrefix="0" xfId="0"/>
    <xf numFmtId="0" fontId="18" fillId="19" borderId="1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164" fontId="9" fillId="3" borderId="9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4" fontId="20" fillId="9" borderId="9" applyAlignment="1" pivotButton="0" quotePrefix="0" xfId="0">
      <alignment horizontal="center" vertical="center" wrapText="1"/>
    </xf>
    <xf numFmtId="2" fontId="47" fillId="15" borderId="31" applyAlignment="1" pivotButton="0" quotePrefix="0" xfId="0">
      <alignment horizontal="center" vertical="center" wrapText="1"/>
    </xf>
    <xf numFmtId="2" fontId="18" fillId="15" borderId="31" applyAlignment="1" pivotButton="0" quotePrefix="0" xfId="0">
      <alignment horizontal="center" vertical="center" wrapText="1"/>
    </xf>
    <xf numFmtId="164" fontId="84" fillId="9" borderId="4" applyAlignment="1" pivotButton="0" quotePrefix="0" xfId="0">
      <alignment horizontal="center" vertical="center" wrapText="1"/>
    </xf>
    <xf numFmtId="164" fontId="15" fillId="22" borderId="3" applyAlignment="1" pivotButton="0" quotePrefix="0" xfId="0">
      <alignment horizontal="center" vertical="center"/>
    </xf>
    <xf numFmtId="0" fontId="45" fillId="15" borderId="32" applyAlignment="1" pivotButton="0" quotePrefix="0" xfId="0">
      <alignment horizontal="center" vertical="center" wrapText="1"/>
    </xf>
    <xf numFmtId="0" fontId="95" fillId="15" borderId="32" applyAlignment="1" pivotButton="0" quotePrefix="0" xfId="0">
      <alignment horizontal="center" vertical="center" wrapText="1"/>
    </xf>
    <xf numFmtId="0" fontId="96" fillId="23" borderId="1" applyAlignment="1" pivotButton="0" quotePrefix="0" xfId="0">
      <alignment horizontal="center" vertical="center" wrapText="1"/>
    </xf>
    <xf numFmtId="0" fontId="96" fillId="22" borderId="1" applyAlignment="1" pivotButton="0" quotePrefix="0" xfId="0">
      <alignment horizontal="center" vertical="center" wrapText="1"/>
    </xf>
    <xf numFmtId="0" fontId="47" fillId="15" borderId="31" applyAlignment="1" pivotButton="0" quotePrefix="0" xfId="0">
      <alignment horizontal="center" vertical="center" wrapText="1"/>
    </xf>
    <xf numFmtId="0" fontId="47" fillId="15" borderId="0" applyAlignment="1" pivotButton="0" quotePrefix="0" xfId="0">
      <alignment horizontal="center" vertical="center" wrapText="1"/>
    </xf>
    <xf numFmtId="164" fontId="97" fillId="14" borderId="4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8" fillId="24" borderId="33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center" vertical="center" wrapText="1"/>
    </xf>
    <xf numFmtId="166" fontId="94" fillId="0" borderId="0" applyAlignment="1" pivotButton="0" quotePrefix="0" xfId="0">
      <alignment horizontal="center" vertical="center"/>
    </xf>
    <xf numFmtId="0" fontId="1" fillId="25" borderId="0" pivotButton="0" quotePrefix="0" xfId="0"/>
    <xf numFmtId="0" fontId="84" fillId="25" borderId="0" pivotButton="0" quotePrefix="0" xfId="0"/>
    <xf numFmtId="0" fontId="1" fillId="25" borderId="0" applyAlignment="1" pivotButton="0" quotePrefix="0" xfId="0">
      <alignment horizontal="center" vertical="center" wrapText="1"/>
    </xf>
    <xf numFmtId="0" fontId="21" fillId="25" borderId="0" applyAlignment="1" pivotButton="0" quotePrefix="0" xfId="0">
      <alignment horizontal="center" vertical="center" wrapText="1"/>
    </xf>
    <xf numFmtId="0" fontId="7" fillId="25" borderId="0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center" vertical="center"/>
    </xf>
    <xf numFmtId="2" fontId="1" fillId="9" borderId="0" pivotButton="0" quotePrefix="0" xfId="0"/>
    <xf numFmtId="2" fontId="1" fillId="9" borderId="1" pivotButton="0" quotePrefix="0" xfId="0"/>
    <xf numFmtId="0" fontId="21" fillId="21" borderId="2" applyAlignment="1" pivotButton="0" quotePrefix="0" xfId="0">
      <alignment horizontal="center" vertical="center" wrapText="1"/>
    </xf>
    <xf numFmtId="0" fontId="21" fillId="21" borderId="3" applyAlignment="1" pivotButton="0" quotePrefix="0" xfId="0">
      <alignment horizontal="center" vertical="center" wrapText="1"/>
    </xf>
    <xf numFmtId="166" fontId="1" fillId="14" borderId="1" applyAlignment="1" pivotButton="0" quotePrefix="0" xfId="0">
      <alignment horizontal="center" vertical="center"/>
    </xf>
    <xf numFmtId="164" fontId="1" fillId="14" borderId="1" applyAlignment="1" pivotButton="0" quotePrefix="0" xfId="0">
      <alignment horizontal="center" vertical="center"/>
    </xf>
    <xf numFmtId="2" fontId="1" fillId="14" borderId="1" applyAlignment="1" pivotButton="0" quotePrefix="0" xfId="0">
      <alignment horizontal="center" vertical="center"/>
    </xf>
    <xf numFmtId="165" fontId="1" fillId="14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98" fillId="0" borderId="15" applyAlignment="1" pivotButton="0" quotePrefix="0" xfId="0">
      <alignment horizontal="center" vertical="center" wrapText="1"/>
    </xf>
    <xf numFmtId="2" fontId="9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5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8" fillId="19" borderId="23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 wrapText="1"/>
    </xf>
    <xf numFmtId="0" fontId="35" fillId="9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" fillId="0" borderId="0" pivotButton="0" quotePrefix="0" xfId="5"/>
    <xf numFmtId="0" fontId="1" fillId="17" borderId="0" pivotButton="0" quotePrefix="0" xfId="5"/>
    <xf numFmtId="0" fontId="1" fillId="0" borderId="0" applyAlignment="1" pivotButton="0" quotePrefix="0" xfId="5">
      <alignment horizontal="center"/>
    </xf>
    <xf numFmtId="0" fontId="1" fillId="19" borderId="0" pivotButton="0" quotePrefix="0" xfId="5"/>
    <xf numFmtId="0" fontId="102" fillId="0" borderId="1" applyAlignment="1" applyProtection="1" pivotButton="0" quotePrefix="0" xfId="6">
      <alignment horizontal="center" vertical="center" wrapText="1"/>
      <protection locked="0" hidden="0"/>
    </xf>
    <xf numFmtId="49" fontId="102" fillId="0" borderId="1" applyAlignment="1" pivotButton="0" quotePrefix="0" xfId="5">
      <alignment vertical="center" wrapText="1"/>
    </xf>
    <xf numFmtId="0" fontId="102" fillId="0" borderId="1" applyAlignment="1" pivotButton="0" quotePrefix="0" xfId="5">
      <alignment horizontal="center" vertical="center"/>
    </xf>
    <xf numFmtId="164" fontId="102" fillId="0" borderId="1" applyAlignment="1" pivotButton="0" quotePrefix="0" xfId="5">
      <alignment horizontal="center" vertical="center"/>
    </xf>
    <xf numFmtId="2" fontId="102" fillId="0" borderId="1" applyAlignment="1" pivotButton="0" quotePrefix="0" xfId="5">
      <alignment horizontal="center" vertical="center"/>
    </xf>
    <xf numFmtId="0" fontId="102" fillId="19" borderId="1" applyAlignment="1" pivotButton="0" quotePrefix="0" xfId="5">
      <alignment horizontal="center" vertical="center"/>
    </xf>
    <xf numFmtId="0" fontId="103" fillId="0" borderId="1" applyAlignment="1" pivotButton="0" quotePrefix="0" xfId="0">
      <alignment horizontal="center" vertical="center"/>
    </xf>
    <xf numFmtId="0" fontId="104" fillId="0" borderId="0" pivotButton="0" quotePrefix="0" xfId="5"/>
    <xf numFmtId="0" fontId="102" fillId="29" borderId="1" applyAlignment="1" pivotButton="0" quotePrefix="0" xfId="5">
      <alignment horizontal="center" vertical="center"/>
    </xf>
    <xf numFmtId="0" fontId="105" fillId="0" borderId="1" applyAlignment="1" pivotButton="0" quotePrefix="0" xfId="5">
      <alignment horizontal="center" vertical="center"/>
    </xf>
    <xf numFmtId="0" fontId="102" fillId="30" borderId="1" applyAlignment="1" pivotButton="0" quotePrefix="0" xfId="5">
      <alignment horizontal="center" vertical="center"/>
    </xf>
    <xf numFmtId="0" fontId="102" fillId="14" borderId="1" applyAlignment="1" pivotButton="0" quotePrefix="0" xfId="5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7" borderId="23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6" borderId="22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164" fontId="45" fillId="5" borderId="24" applyAlignment="1" pivotButton="0" quotePrefix="0" xfId="0">
      <alignment horizontal="center" vertical="center"/>
    </xf>
    <xf numFmtId="0" fontId="1" fillId="0" borderId="1" pivotButton="0" quotePrefix="0" xfId="0"/>
    <xf numFmtId="0" fontId="44" fillId="9" borderId="1" applyAlignment="1" pivotButton="0" quotePrefix="0" xfId="0">
      <alignment horizontal="center" vertical="center"/>
    </xf>
    <xf numFmtId="0" fontId="1" fillId="0" borderId="8" pivotButton="0" quotePrefix="0" xfId="0"/>
    <xf numFmtId="164" fontId="9" fillId="3" borderId="1" applyAlignment="1" pivotButton="0" quotePrefix="0" xfId="0">
      <alignment horizontal="center" vertical="center" wrapText="1"/>
    </xf>
    <xf numFmtId="164" fontId="9" fillId="3" borderId="19" applyAlignment="1" pivotButton="0" quotePrefix="0" xfId="0">
      <alignment horizontal="center" vertical="center" wrapText="1"/>
    </xf>
    <xf numFmtId="0" fontId="45" fillId="5" borderId="20" applyAlignment="1" pivotButton="0" quotePrefix="0" xfId="0">
      <alignment horizontal="center" vertical="center" wrapText="1" shrinkToFit="1"/>
    </xf>
    <xf numFmtId="164" fontId="9" fillId="4" borderId="8" applyAlignment="1" pivotButton="0" quotePrefix="0" xfId="0">
      <alignment horizontal="center" vertical="center" wrapText="1"/>
    </xf>
    <xf numFmtId="164" fontId="9" fillId="4" borderId="25" applyAlignment="1" pivotButton="0" quotePrefix="0" xfId="0">
      <alignment horizontal="center" vertical="center" wrapText="1"/>
    </xf>
    <xf numFmtId="0" fontId="99" fillId="27" borderId="35" applyAlignment="1" pivotButton="0" quotePrefix="0" xfId="0">
      <alignment horizontal="center" vertical="center"/>
    </xf>
    <xf numFmtId="0" fontId="99" fillId="27" borderId="36" applyAlignment="1" pivotButton="0" quotePrefix="0" xfId="0">
      <alignment horizontal="center" vertical="center"/>
    </xf>
    <xf numFmtId="0" fontId="99" fillId="27" borderId="37" applyAlignment="1" pivotButton="0" quotePrefix="0" xfId="0">
      <alignment horizontal="center" vertical="center"/>
    </xf>
    <xf numFmtId="2" fontId="9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64" fontId="38" fillId="9" borderId="19" applyAlignment="1" pivotButton="0" quotePrefix="0" xfId="0">
      <alignment horizontal="center" vertical="center"/>
    </xf>
    <xf numFmtId="0" fontId="1" fillId="0" borderId="19" pivotButton="0" quotePrefix="0" xfId="0"/>
    <xf numFmtId="0" fontId="13" fillId="6" borderId="2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7" fillId="9" borderId="23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169" fontId="17" fillId="9" borderId="23" applyAlignment="1" pivotButton="0" quotePrefix="0" xfId="0">
      <alignment horizontal="center" vertical="center" wrapText="1"/>
    </xf>
    <xf numFmtId="169" fontId="17" fillId="9" borderId="2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wrapText="1"/>
    </xf>
    <xf numFmtId="0" fontId="44" fillId="9" borderId="38" applyAlignment="1" pivotButton="0" quotePrefix="0" xfId="0">
      <alignment horizontal="center" vertical="center" wrapText="1"/>
    </xf>
    <xf numFmtId="0" fontId="1" fillId="0" borderId="39" pivotButton="0" quotePrefix="0" xfId="0"/>
    <xf numFmtId="0" fontId="1" fillId="0" borderId="40" pivotButton="0" quotePrefix="0" xfId="0"/>
    <xf numFmtId="0" fontId="9" fillId="9" borderId="1" applyAlignment="1" pivotButton="0" quotePrefix="0" xfId="0">
      <alignment horizontal="center" vertical="center"/>
    </xf>
    <xf numFmtId="0" fontId="44" fillId="28" borderId="24" applyAlignment="1" pivotButton="0" quotePrefix="0" xfId="0">
      <alignment horizontal="center" vertical="center"/>
    </xf>
    <xf numFmtId="0" fontId="1" fillId="28" borderId="1" pivotButton="0" quotePrefix="0" xfId="0"/>
    <xf numFmtId="0" fontId="1" fillId="28" borderId="19" pivotButton="0" quotePrefix="0" xfId="0"/>
    <xf numFmtId="164" fontId="78" fillId="9" borderId="1" applyAlignment="1" pivotButton="0" quotePrefix="0" xfId="0">
      <alignment horizontal="center" vertical="center"/>
    </xf>
    <xf numFmtId="0" fontId="79" fillId="0" borderId="1" pivotButton="0" quotePrefix="0" xfId="0"/>
    <xf numFmtId="0" fontId="79" fillId="0" borderId="19" pivotButton="0" quotePrefix="0" xfId="0"/>
    <xf numFmtId="0" fontId="9" fillId="9" borderId="24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57" fillId="9" borderId="1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/>
    </xf>
    <xf numFmtId="0" fontId="7" fillId="14" borderId="23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7" fillId="15" borderId="11" applyAlignment="1" pivotButton="0" quotePrefix="0" xfId="0">
      <alignment horizontal="center" vertical="center" wrapText="1"/>
    </xf>
    <xf numFmtId="0" fontId="18" fillId="19" borderId="23" applyAlignment="1" pivotButton="0" quotePrefix="0" xfId="0">
      <alignment horizontal="center" vertical="center" wrapText="1"/>
    </xf>
    <xf numFmtId="0" fontId="1" fillId="19" borderId="2" applyAlignment="1" pivotButton="0" quotePrefix="0" xfId="0">
      <alignment horizontal="center" vertical="center" wrapText="1"/>
    </xf>
    <xf numFmtId="0" fontId="9" fillId="4" borderId="41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1" fillId="0" borderId="42" applyAlignment="1" pivotButton="0" quotePrefix="0" xfId="0">
      <alignment horizontal="center"/>
    </xf>
    <xf numFmtId="0" fontId="29" fillId="2" borderId="7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31" fillId="1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1" fillId="12" borderId="0" applyAlignment="1" pivotButton="0" quotePrefix="0" xfId="0">
      <alignment horizontal="right"/>
    </xf>
    <xf numFmtId="164" fontId="31" fillId="1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6" fillId="1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100" fillId="0" borderId="23" applyAlignment="1" pivotButton="0" quotePrefix="0" xfId="0">
      <alignment horizontal="center" vertical="center"/>
    </xf>
    <xf numFmtId="0" fontId="10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6" borderId="28" applyAlignment="1" pivotButton="0" quotePrefix="0" xfId="0">
      <alignment horizontal="justify" vertical="center" wrapText="1"/>
    </xf>
    <xf numFmtId="0" fontId="1" fillId="0" borderId="29" pivotButton="0" quotePrefix="0" xfId="0"/>
    <xf numFmtId="0" fontId="1" fillId="0" borderId="30" pivotButton="0" quotePrefix="0" xfId="0"/>
    <xf numFmtId="0" fontId="15" fillId="9" borderId="15" applyAlignment="1" pivotButton="0" quotePrefix="0" xfId="0">
      <alignment horizontal="center"/>
    </xf>
    <xf numFmtId="0" fontId="15" fillId="0" borderId="10" applyAlignment="1" pivotButton="0" quotePrefix="0" xfId="0">
      <alignment horizontal="center"/>
    </xf>
    <xf numFmtId="0" fontId="15" fillId="9" borderId="15" applyAlignment="1" pivotButton="0" quotePrefix="0" xfId="0">
      <alignment vertical="center"/>
    </xf>
    <xf numFmtId="0" fontId="15" fillId="9" borderId="12" applyAlignment="1" pivotButton="0" quotePrefix="0" xfId="0">
      <alignment vertical="center"/>
    </xf>
    <xf numFmtId="0" fontId="15" fillId="9" borderId="17" applyAlignment="1" pivotButton="0" quotePrefix="0" xfId="0">
      <alignment horizontal="center" vertical="center"/>
    </xf>
    <xf numFmtId="0" fontId="9" fillId="6" borderId="7" applyAlignment="1" pivotButton="0" quotePrefix="0" xfId="0">
      <alignment horizontal="justify" vertical="center" wrapText="1"/>
    </xf>
    <xf numFmtId="0" fontId="1" fillId="0" borderId="26" pivotButton="0" quotePrefix="0" xfId="0"/>
    <xf numFmtId="0" fontId="1" fillId="0" borderId="27" pivotButton="0" quotePrefix="0" xfId="0"/>
    <xf numFmtId="0" fontId="29" fillId="2" borderId="26" applyAlignment="1" pivotButton="0" quotePrefix="0" xfId="0">
      <alignment horizontal="center" vertical="center" wrapText="1"/>
    </xf>
    <xf numFmtId="0" fontId="29" fillId="2" borderId="27" applyAlignment="1" pivotButton="0" quotePrefix="0" xfId="0">
      <alignment horizontal="center" vertical="center" wrapText="1"/>
    </xf>
    <xf numFmtId="0" fontId="29" fillId="2" borderId="28" applyAlignment="1" pivotButton="0" quotePrefix="0" xfId="0">
      <alignment horizontal="center" vertical="center" wrapText="1"/>
    </xf>
    <xf numFmtId="0" fontId="29" fillId="2" borderId="29" applyAlignment="1" pivotButton="0" quotePrefix="0" xfId="0">
      <alignment horizontal="center" vertical="center" wrapText="1"/>
    </xf>
    <xf numFmtId="0" fontId="29" fillId="2" borderId="30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8" fillId="5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100" fillId="20" borderId="23" applyAlignment="1" pivotButton="0" quotePrefix="0" xfId="0">
      <alignment horizontal="center" vertical="center"/>
    </xf>
    <xf numFmtId="0" fontId="100" fillId="20" borderId="2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45" fillId="15" borderId="31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/>
    </xf>
    <xf numFmtId="0" fontId="106" fillId="0" borderId="0" applyAlignment="1" pivotButton="0" quotePrefix="0" xfId="0">
      <alignment horizontal="justify" vertical="center"/>
    </xf>
    <xf numFmtId="0" fontId="5" fillId="0" borderId="17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" pivotButton="0" quotePrefix="0" xfId="0"/>
    <xf numFmtId="0" fontId="9" fillId="0" borderId="16" applyAlignment="1" pivotButton="0" quotePrefix="0" xfId="0">
      <alignment horizontal="center" vertical="center" wrapText="1"/>
    </xf>
    <xf numFmtId="0" fontId="0" fillId="0" borderId="9" pivotButton="0" quotePrefix="0" xfId="0"/>
    <xf numFmtId="165" fontId="0" fillId="0" borderId="1" applyAlignment="1" pivotButton="0" quotePrefix="0" xfId="0">
      <alignment horizontal="center" vertical="center"/>
    </xf>
    <xf numFmtId="0" fontId="15" fillId="9" borderId="16" applyAlignment="1" pivotButton="0" quotePrefix="0" xfId="0">
      <alignment vertical="center"/>
    </xf>
    <xf numFmtId="0" fontId="7" fillId="14" borderId="1" applyAlignment="1" pivotButton="0" quotePrefix="0" xfId="0">
      <alignment horizontal="center" vertical="center"/>
    </xf>
    <xf numFmtId="0" fontId="100" fillId="0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9" fillId="4" borderId="46" applyAlignment="1" pivotButton="0" quotePrefix="0" xfId="0">
      <alignment horizontal="center"/>
    </xf>
    <xf numFmtId="0" fontId="0" fillId="0" borderId="31" pivotButton="0" quotePrefix="0" xfId="0"/>
    <xf numFmtId="0" fontId="0" fillId="0" borderId="42" pivotButton="0" quotePrefix="0" xfId="0"/>
    <xf numFmtId="0" fontId="29" fillId="2" borderId="46" applyAlignment="1" pivotButton="0" quotePrefix="0" xfId="0">
      <alignment horizontal="center" vertical="center" wrapText="1"/>
    </xf>
    <xf numFmtId="167" fontId="1" fillId="9" borderId="0" pivotButton="0" quotePrefix="0" xfId="0"/>
    <xf numFmtId="168" fontId="1" fillId="9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9" fillId="6" borderId="45" applyAlignment="1" pivotButton="0" quotePrefix="0" xfId="0">
      <alignment horizontal="justify" vertical="center" wrapText="1"/>
    </xf>
    <xf numFmtId="0" fontId="9" fillId="6" borderId="44" applyAlignment="1" pivotButton="0" quotePrefix="0" xfId="0">
      <alignment horizontal="justify" vertical="center" wrapText="1"/>
    </xf>
    <xf numFmtId="0" fontId="0" fillId="0" borderId="36" pivotButton="0" quotePrefix="0" xfId="0"/>
    <xf numFmtId="0" fontId="0" fillId="0" borderId="50" pivotButton="0" quotePrefix="0" xfId="0"/>
    <xf numFmtId="0" fontId="0" fillId="0" borderId="47" pivotButton="0" quotePrefix="0" xfId="0"/>
    <xf numFmtId="0" fontId="0" fillId="0" borderId="48" pivotButton="0" quotePrefix="0" xfId="0"/>
    <xf numFmtId="0" fontId="99" fillId="27" borderId="5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53" pivotButton="0" quotePrefix="0" xfId="0"/>
    <xf numFmtId="0" fontId="1" fillId="26" borderId="54" applyAlignment="1" pivotButton="0" quotePrefix="0" xfId="0">
      <alignment horizontal="center" vertical="center"/>
    </xf>
    <xf numFmtId="0" fontId="0" fillId="0" borderId="34" pivotButton="0" quotePrefix="0" xfId="0"/>
    <xf numFmtId="169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45" applyAlignment="1" pivotButton="0" quotePrefix="0" xfId="0">
      <alignment horizontal="center" vertical="center" wrapText="1"/>
    </xf>
    <xf numFmtId="166" fontId="94" fillId="0" borderId="0" applyAlignment="1" pivotButton="0" quotePrefix="0" xfId="0">
      <alignment horizontal="center" vertical="center"/>
    </xf>
    <xf numFmtId="0" fontId="100" fillId="20" borderId="1" applyAlignment="1" pivotButton="0" quotePrefix="0" xfId="0">
      <alignment horizontal="center" vertical="center"/>
    </xf>
    <xf numFmtId="166" fontId="1" fillId="14" borderId="1" applyAlignment="1" pivotButton="0" quotePrefix="0" xfId="0">
      <alignment horizontal="center" vertical="center"/>
    </xf>
    <xf numFmtId="165" fontId="1" fillId="14" borderId="1" applyAlignment="1" pivotButton="0" quotePrefix="0" xfId="0">
      <alignment horizontal="center" vertical="center"/>
    </xf>
  </cellXfs>
  <cellStyles count="7">
    <cellStyle name="Normale" xfId="0" builtinId="0"/>
    <cellStyle name="Euro" xfId="1"/>
    <cellStyle name="Euro 2" xfId="2"/>
    <cellStyle name="Euro 3" xfId="3"/>
    <cellStyle name="Euro 4" xfId="4"/>
    <cellStyle name="Normale 2" xfId="5"/>
    <cellStyle name="Normale_Z_ELENC 2" xfId="6"/>
  </cellStyles>
  <dxfs count="1254">
    <dxf>
      <font>
        <b val="1"/>
        <color rgb="FF003300"/>
      </font>
      <fill>
        <patternFill>
          <bgColor theme="9"/>
        </patternFill>
      </fill>
    </dxf>
    <dxf>
      <fill>
        <patternFill>
          <bgColor theme="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color rgb="FF003300"/>
      </font>
      <fill>
        <patternFill>
          <bgColor theme="9"/>
        </patternFill>
      </fill>
    </dxf>
    <dxf>
      <fill>
        <patternFill>
          <bgColor theme="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90">
          <stop position="0">
            <color theme="0"/>
          </stop>
          <stop position="1">
            <color rgb="FF28F846"/>
          </stop>
        </gradientFill>
      </fill>
    </dxf>
    <dxf>
      <fill>
        <gradientFill type="linear" degree="90">
          <stop position="0">
            <color theme="0"/>
          </stop>
          <stop position="1">
            <color rgb="FF1D72EF"/>
          </stop>
        </gradient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9FF99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theme="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theme="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 patternType="solid">
          <fgColor indexed="64"/>
          <bgColor rgb="FF0080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externalLink" Target="/xl/externalLinks/externalLink2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it-IT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rgbClr val="00FF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cat>
            <strRef>
              <f>'Tab-Mis (3)'!$Q$3:$AA$3</f>
              <strCache>
                <ptCount val="11"/>
                <pt idx="0">
                  <v>MISURA n°1</v>
                </pt>
                <pt idx="6">
                  <v>MISURA n°2</v>
                </pt>
                <pt idx="10">
                  <v>MISURA n°3</v>
                </pt>
              </strCache>
            </strRef>
          </cat>
          <val>
            <numRef>
              <f>'Tab-Mis'!#REF!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3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it-IT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it-IT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rgbClr val="00FF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cat>
            <strRef>
              <f>'Tab-Mis'!$Q$3:$AA$3</f>
              <strCache>
                <ptCount val="11"/>
                <pt idx="0">
                  <v>MISURA n°1</v>
                </pt>
                <pt idx="6">
                  <v>MISURA n°2</v>
                </pt>
                <pt idx="10">
                  <v>MISURA n°3</v>
                </pt>
              </strCache>
            </strRef>
          </cat>
          <val>
            <numRef>
              <f>'Tab-Mis'!#REF!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3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it-IT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3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4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5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6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7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8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9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0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1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2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3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4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5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6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7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8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19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0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1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2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3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4.xml><?xml version="1.0" encoding="utf-8"?>
<comments xmlns="http://schemas.openxmlformats.org/spreadsheetml/2006/main">
  <authors>
    <author>polistd</author>
  </authors>
  <commentList>
    <comment ref="H63" authorId="0" shapeId="0">
      <text>
        <t>Braghin M.:
Facoltativo, leggasi paragrafo DPI della relazione</t>
      </text>
    </comment>
  </commentList>
</comments>
</file>

<file path=xl/comments/comment25.xml><?xml version="1.0" encoding="utf-8"?>
<comments xmlns="http://schemas.openxmlformats.org/spreadsheetml/2006/main">
  <authors>
    <author>polistd</author>
  </authors>
  <commentList>
    <comment ref="H66" authorId="0" shapeId="0">
      <text>
        <t>Braghin M.:
Facoltativo, leggasi paragrafo DPI della relazione</t>
      </text>
    </comment>
  </commentList>
</comments>
</file>

<file path=xl/comments/comment26.xml><?xml version="1.0" encoding="utf-8"?>
<comments xmlns="http://schemas.openxmlformats.org/spreadsheetml/2006/main">
  <authors>
    <author>polistd</author>
  </authors>
  <commentList>
    <comment ref="H66" authorId="0" shapeId="0">
      <text>
        <t>Braghin M.:
Facoltativo, leggasi paragrafo DPI della relazione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5</row>
      <rowOff>0</rowOff>
    </from>
    <to>
      <col>0</col>
      <colOff>0</colOff>
      <row>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5</row>
      <rowOff>0</rowOff>
    </from>
    <to>
      <col>0</col>
      <colOff>0</colOff>
      <row>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Scheda%2025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ERVERMES\home\Drive\LAVORO_ERMES\195\929-LUXORY_LIVING\DV_RUM_LUXORY_LIVING_202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a 2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epilogo (3)"/>
      <sheetName val="Riepilogo (2)"/>
      <sheetName val="Riepilogo"/>
      <sheetName val="Tab-Mis"/>
      <sheetName val="Scheda 1"/>
      <sheetName val="Scheda 2"/>
      <sheetName val="Scheda 3"/>
      <sheetName val="Scheda 4"/>
      <sheetName val="Scheda 5"/>
      <sheetName val="Scheda 6"/>
      <sheetName val="Scheda 7"/>
      <sheetName val="Scheda 8"/>
      <sheetName val="Scheda 9"/>
      <sheetName val="Scheda 10"/>
      <sheetName val="Scheda 11"/>
      <sheetName val="Scheda 12"/>
      <sheetName val="Scheda 13"/>
      <sheetName val="Scheda 14"/>
      <sheetName val="Scheda 15"/>
      <sheetName val="Scheda 16"/>
      <sheetName val="Scheda 17"/>
      <sheetName val="Scheda 18"/>
      <sheetName val="Scheda 19"/>
      <sheetName val="Scheda 20"/>
      <sheetName val="Scheda 21"/>
      <sheetName val="Scheda 22"/>
      <sheetName val="Scheda 23"/>
      <sheetName val="Scheda 24"/>
      <sheetName val="Scheda 25"/>
      <sheetName val="Scheda 26"/>
      <sheetName val="Scheda 27"/>
      <sheetName val="Scheda 28"/>
      <sheetName val="Scheda 29"/>
      <sheetName val="Scheda 30"/>
      <sheetName val="Scheda 31"/>
      <sheetName val="Scheda 32"/>
      <sheetName val="Scheda 33"/>
      <sheetName val="Scheda 34"/>
      <sheetName val="Scheda 35"/>
      <sheetName val="Scheda 36"/>
      <sheetName val="Scheda 37"/>
      <sheetName val="Scheda 38"/>
      <sheetName val="Scheda 39"/>
      <sheetName val="Scheda 40"/>
      <sheetName val="Scheda 41"/>
      <sheetName val="Scheda 42"/>
      <sheetName val="Scheda 43"/>
      <sheetName val="Scheda 44"/>
      <sheetName val="Scheda 45"/>
      <sheetName val="Scheda 46"/>
      <sheetName val="Scheda 47"/>
      <sheetName val="Scheda 48"/>
      <sheetName val="Scheda 49"/>
      <sheetName val="Scheda 50"/>
      <sheetName val="9612_week  (1)"/>
      <sheetName val="9612_week  (2)"/>
      <sheetName val="DPI art.19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4">
          <cell r="H44" t="str">
            <v>LEX,8h</v>
          </cell>
        </row>
      </sheetData>
      <sheetData sheetId="8">
        <row r="44">
          <cell r="H44" t="str">
            <v>LEX,8h</v>
          </cell>
        </row>
      </sheetData>
      <sheetData sheetId="9">
        <row r="44">
          <cell r="H44" t="str">
            <v>LEX,8h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1">
          <cell r="AM11">
            <v>-9.6432746655328714E-16</v>
          </cell>
        </row>
        <row r="41">
          <cell r="T41">
            <v>0</v>
          </cell>
        </row>
        <row r="44">
          <cell r="H44" t="str">
            <v>LEX,8h</v>
          </cell>
          <cell r="I44">
            <v>62.280177874691525</v>
          </cell>
          <cell r="K44">
            <v>1.9898905977545351</v>
          </cell>
          <cell r="O44">
            <v>64.270068472446056</v>
          </cell>
        </row>
        <row r="45">
          <cell r="O45">
            <v>120.36204993518133</v>
          </cell>
        </row>
      </sheetData>
      <sheetData sheetId="29">
        <row r="8">
          <cell r="F8" t="str">
            <v xml:space="preserve">BALZELLA 54/56 - ADDETTO IMBALLO </v>
          </cell>
        </row>
        <row r="11">
          <cell r="AM11">
            <v>66.277210537979613</v>
          </cell>
        </row>
        <row r="41">
          <cell r="T41">
            <v>0</v>
          </cell>
        </row>
        <row r="44">
          <cell r="H44" t="str">
            <v>LEX,8h</v>
          </cell>
          <cell r="I44">
            <v>78.580351523720466</v>
          </cell>
          <cell r="K44">
            <v>2.8291433795904939</v>
          </cell>
          <cell r="O44">
            <v>81.409494903310957</v>
          </cell>
        </row>
        <row r="45">
          <cell r="O45">
            <v>120.46204993518134</v>
          </cell>
        </row>
      </sheetData>
      <sheetData sheetId="30">
        <row r="8">
          <cell r="F8" t="str">
            <v xml:space="preserve">BALZELLA 54/56 - RESPONSABILE LOGISTICA </v>
          </cell>
        </row>
        <row r="11">
          <cell r="AM11">
            <v>36.602432951548906</v>
          </cell>
        </row>
        <row r="41">
          <cell r="T41">
            <v>0</v>
          </cell>
        </row>
        <row r="44">
          <cell r="H44" t="str">
            <v>LEX,8h</v>
          </cell>
          <cell r="I44">
            <v>55.246143676247684</v>
          </cell>
          <cell r="K44">
            <v>2.3579862684178496</v>
          </cell>
          <cell r="O44">
            <v>57.60412994466553</v>
          </cell>
        </row>
        <row r="45">
          <cell r="O45">
            <v>102.66204993518133</v>
          </cell>
        </row>
      </sheetData>
      <sheetData sheetId="31">
        <row r="8">
          <cell r="F8" t="str">
            <v>BALZELLA 54/56 - ADDETTO PULIZIE</v>
          </cell>
        </row>
        <row r="11">
          <cell r="AM11">
            <v>46.640819318894813</v>
          </cell>
        </row>
        <row r="41">
          <cell r="T41">
            <v>0</v>
          </cell>
        </row>
        <row r="44">
          <cell r="H44" t="str">
            <v>LEX,8h</v>
          </cell>
          <cell r="I44">
            <v>66.318727768684013</v>
          </cell>
          <cell r="K44">
            <v>2.5350751028210556</v>
          </cell>
          <cell r="O44">
            <v>68.853802871505067</v>
          </cell>
        </row>
        <row r="45">
          <cell r="O45">
            <v>113.06204993518134</v>
          </cell>
        </row>
      </sheetData>
      <sheetData sheetId="32">
        <row r="8">
          <cell r="F8" t="str">
            <v>BALZELLA, 71 - ADD.FALEGNAMERIA/CUSCINATURA/INCOLLAGGIO/CARRELLO</v>
          </cell>
        </row>
        <row r="11">
          <cell r="AM11">
            <v>59.788425477088111</v>
          </cell>
        </row>
        <row r="41">
          <cell r="T41">
            <v>132.41204993518133</v>
          </cell>
        </row>
        <row r="44">
          <cell r="H44" t="str">
            <v>LEX,8h</v>
          </cell>
          <cell r="I44">
            <v>84.922743634620431</v>
          </cell>
          <cell r="K44">
            <v>1.4395604185791204</v>
          </cell>
          <cell r="O44">
            <v>86.362304053199551</v>
          </cell>
        </row>
        <row r="45">
          <cell r="O45">
            <v>144.66204993518133</v>
          </cell>
        </row>
      </sheetData>
      <sheetData sheetId="33">
        <row r="8">
          <cell r="F8" t="str">
            <v xml:space="preserve">FACTORY 2  - SALES ASSISTANT/STORE MANAGER </v>
          </cell>
        </row>
        <row r="11">
          <cell r="AM11">
            <v>41.874199980319716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4">
        <row r="8">
          <cell r="F8" t="str">
            <v xml:space="preserve">FACTORY 2  - ADDETTO UFFICIO STILE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57.418554503441086</v>
          </cell>
          <cell r="K44">
            <v>4.3208829646029345</v>
          </cell>
          <cell r="O44">
            <v>61.739437468044024</v>
          </cell>
        </row>
        <row r="45">
          <cell r="O45">
            <v>86.562049935181335</v>
          </cell>
        </row>
      </sheetData>
      <sheetData sheetId="35">
        <row r="8">
          <cell r="F8" t="str">
            <v xml:space="preserve">FACTORY 1 - SALES ASSISTANT/STORE MANAGER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6">
        <row r="8">
          <cell r="F8" t="str">
            <v xml:space="preserve">CAMPO DEI FIORI - ADDETTO MAGAZZINO/CARRELLISTA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68.521612838157665</v>
          </cell>
          <cell r="K44">
            <v>3.7338309223612396</v>
          </cell>
          <cell r="O44">
            <v>72.255443760518901</v>
          </cell>
        </row>
        <row r="45">
          <cell r="O45">
            <v>116.06204993518134</v>
          </cell>
        </row>
      </sheetData>
      <sheetData sheetId="37">
        <row r="8">
          <cell r="F8" t="str">
            <v xml:space="preserve">ANTICO ACQUEDOTTO LOTTO A - ADDETTO COMMERCIALE </v>
          </cell>
        </row>
        <row r="11">
          <cell r="AM11">
            <v>41.134154421290525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8">
        <row r="8">
          <cell r="F8" t="str">
            <v xml:space="preserve">ANTICO ACQUEDOTTO LOTTO A - RESPONSABILE COMMERCIALE </v>
          </cell>
        </row>
        <row r="11">
          <cell r="AM11">
            <v>41.874199980319716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9">
        <row r="8">
          <cell r="F8" t="str">
            <v>BELLENGHI 1 - ADDETTO MAGAZZINO/CARRELLISTA</v>
          </cell>
        </row>
        <row r="11">
          <cell r="AM11">
            <v>27.612118990269018</v>
          </cell>
        </row>
        <row r="41">
          <cell r="T41">
            <v>0</v>
          </cell>
        </row>
        <row r="44">
          <cell r="H44" t="str">
            <v>LEX,8h</v>
          </cell>
          <cell r="I44">
            <v>71.757587157917314</v>
          </cell>
          <cell r="K44">
            <v>3.5688540483296207</v>
          </cell>
          <cell r="O44">
            <v>75.32644120624694</v>
          </cell>
        </row>
        <row r="45">
          <cell r="O45">
            <v>116.06204993518134</v>
          </cell>
        </row>
      </sheetData>
      <sheetData sheetId="40">
        <row r="8">
          <cell r="F8" t="str">
            <v>BELLENGHI 1 - ADDETTO UFFICIO STILE</v>
          </cell>
        </row>
        <row r="11">
          <cell r="AM11">
            <v>0</v>
          </cell>
        </row>
        <row r="41">
          <cell r="T41">
            <v>0</v>
          </cell>
        </row>
        <row r="44">
          <cell r="I44">
            <v>57.418554503441086</v>
          </cell>
          <cell r="K44">
            <v>4.3208829646029345</v>
          </cell>
          <cell r="O44">
            <v>61.739437468044024</v>
          </cell>
        </row>
        <row r="45">
          <cell r="O45">
            <v>86.562049935181335</v>
          </cell>
        </row>
      </sheetData>
      <sheetData sheetId="41">
        <row r="8">
          <cell r="F8" t="str">
            <v>BELLENGHI 2 - ADDETTO MAGAZZINO/CARRELLISTA</v>
          </cell>
        </row>
        <row r="11">
          <cell r="AM11">
            <v>0</v>
          </cell>
        </row>
        <row r="44">
          <cell r="I44">
            <v>74.429177364145588</v>
          </cell>
          <cell r="K44">
            <v>3.7615135939613382</v>
          </cell>
          <cell r="O44">
            <v>78.190690958106927</v>
          </cell>
        </row>
        <row r="45">
          <cell r="O45">
            <v>113.66204993518133</v>
          </cell>
        </row>
      </sheetData>
      <sheetData sheetId="42">
        <row r="8">
          <cell r="F8" t="str">
            <v>BELLENGHI 2 - AUTISTA/FIERE</v>
          </cell>
        </row>
        <row r="11">
          <cell r="AM11">
            <v>0</v>
          </cell>
        </row>
        <row r="41">
          <cell r="T41">
            <v>0</v>
          </cell>
        </row>
        <row r="44">
          <cell r="I44">
            <v>62.167036358140891</v>
          </cell>
          <cell r="K44">
            <v>1.8889980270925697</v>
          </cell>
          <cell r="O44">
            <v>64.05603438523346</v>
          </cell>
        </row>
        <row r="45">
          <cell r="O45">
            <v>100.06204993518134</v>
          </cell>
        </row>
      </sheetData>
      <sheetData sheetId="43">
        <row r="8">
          <cell r="F8" t="str">
            <v>BELLENGHI 2 - ADDETTO MONTAGGI</v>
          </cell>
        </row>
        <row r="11">
          <cell r="AM11">
            <v>63.966308234138189</v>
          </cell>
        </row>
        <row r="41">
          <cell r="T41">
            <v>0</v>
          </cell>
        </row>
        <row r="44">
          <cell r="H44" t="str">
            <v>LEX,8h</v>
          </cell>
          <cell r="I44">
            <v>73.448154031921518</v>
          </cell>
          <cell r="K44">
            <v>1.7423026559660371</v>
          </cell>
          <cell r="O44">
            <v>75.190456687887561</v>
          </cell>
        </row>
        <row r="45">
          <cell r="O45">
            <v>120.46204993518134</v>
          </cell>
        </row>
      </sheetData>
      <sheetData sheetId="44">
        <row r="8">
          <cell r="F8" t="str">
            <v xml:space="preserve">BELLENGHI 2 - RESPONSABILE SERVIZI GENERALI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59.97370269650942</v>
          </cell>
          <cell r="K44">
            <v>3.7241762583863496</v>
          </cell>
          <cell r="O44">
            <v>63.697878954895771</v>
          </cell>
        </row>
        <row r="45">
          <cell r="O45">
            <v>107.36204993518133</v>
          </cell>
        </row>
      </sheetData>
      <sheetData sheetId="45">
        <row r="8">
          <cell r="F8" t="str">
            <v xml:space="preserve">BELLENGHI 2 - ADDETTO MANUTENZIONE ELETTRICA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69.143918491232455</v>
          </cell>
          <cell r="K44">
            <v>1.6566370968874946</v>
          </cell>
          <cell r="O44">
            <v>70.800555588119948</v>
          </cell>
        </row>
        <row r="45">
          <cell r="O45">
            <v>120.36204993518133</v>
          </cell>
        </row>
      </sheetData>
      <sheetData sheetId="46">
        <row r="8">
          <cell r="F8" t="str">
            <v>BELLENGHI 2 - ADDETTO MANUTENZIONE MECCANICA/EDILE</v>
          </cell>
        </row>
        <row r="11">
          <cell r="AM11">
            <v>53.88087428098661</v>
          </cell>
        </row>
        <row r="41">
          <cell r="T41">
            <v>0</v>
          </cell>
        </row>
        <row r="44">
          <cell r="H44" t="str">
            <v>LEX,8h</v>
          </cell>
          <cell r="I44">
            <v>69.7864427567051</v>
          </cell>
          <cell r="K44">
            <v>1.4604229442226562</v>
          </cell>
          <cell r="O44">
            <v>71.246865700927756</v>
          </cell>
        </row>
        <row r="45">
          <cell r="O45">
            <v>120.36204993518133</v>
          </cell>
        </row>
      </sheetData>
      <sheetData sheetId="47">
        <row r="8">
          <cell r="F8" t="str">
            <v xml:space="preserve">CORSO DIAZ  - ADDETTO MARKETING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48">
        <row r="8">
          <cell r="F8" t="str">
            <v>CORSO DIAZ - ADDETTO CUSTODE/AUTISTA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58.585109593197743</v>
          </cell>
          <cell r="K44">
            <v>1.6829242600251673</v>
          </cell>
          <cell r="O44">
            <v>60.26803385322291</v>
          </cell>
        </row>
        <row r="45">
          <cell r="O45">
            <v>96.862049935181332</v>
          </cell>
        </row>
      </sheetData>
      <sheetData sheetId="49">
        <row r="8">
          <cell r="F8" t="str">
            <v xml:space="preserve">VIALE MATTEOTTI - SALES ASSISTANT/STORE MANAGER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0">
        <row r="8">
          <cell r="F8" t="str">
            <v xml:space="preserve">AREA MILANO  - ADDETTO CRM </v>
          </cell>
        </row>
        <row r="11">
          <cell r="AM11">
            <v>39.111562273181086</v>
          </cell>
        </row>
        <row r="41">
          <cell r="T41">
            <v>0</v>
          </cell>
        </row>
        <row r="44">
          <cell r="H44" t="str">
            <v>LEX,8h</v>
          </cell>
          <cell r="I44">
            <v>55.336755128894524</v>
          </cell>
          <cell r="K44">
            <v>2.7729091514192579</v>
          </cell>
          <cell r="O44">
            <v>58.10966428031378</v>
          </cell>
        </row>
        <row r="45">
          <cell r="O45">
            <v>95.662049935181329</v>
          </cell>
        </row>
      </sheetData>
      <sheetData sheetId="51">
        <row r="8">
          <cell r="F8" t="str">
            <v xml:space="preserve">AREA MILANO  - ADDETTO CONTROLLO QUALITA' (MI)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64.921173835612464</v>
          </cell>
          <cell r="K44">
            <v>2.1655875222635812</v>
          </cell>
          <cell r="O44">
            <v>67.086761357876043</v>
          </cell>
        </row>
        <row r="45">
          <cell r="O45">
            <v>107.46204993518134</v>
          </cell>
        </row>
      </sheetData>
      <sheetData sheetId="52">
        <row r="8">
          <cell r="F8" t="str">
            <v xml:space="preserve">AREA MILANO  - ADDETTO COMMERCIALE (MI)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3">
        <row r="8">
          <cell r="F8" t="str">
            <v xml:space="preserve">AREA MILANO  - ADDETTO MARKETING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7"/>
  <sheetViews>
    <sheetView tabSelected="1" zoomScale="80" zoomScaleNormal="80" workbookViewId="0">
      <selection activeCell="A56" sqref="A56:A57"/>
    </sheetView>
  </sheetViews>
  <sheetFormatPr baseColWidth="8" defaultColWidth="9.140625" defaultRowHeight="12.75"/>
  <cols>
    <col width="46.28515625" bestFit="1" customWidth="1" style="312" min="1" max="1"/>
    <col width="8" customWidth="1" style="312" min="2" max="2"/>
    <col width="8.140625" customWidth="1" style="312" min="3" max="3"/>
    <col width="7.42578125" customWidth="1" style="312" min="4" max="4"/>
    <col width="11.7109375" customWidth="1" style="312" min="5" max="5"/>
    <col width="5.28515625" customWidth="1" style="312" min="6" max="6"/>
    <col width="8.42578125" customWidth="1" style="312" min="7" max="7"/>
    <col width="11.7109375" customWidth="1" style="314" min="8" max="9"/>
    <col width="8" customWidth="1" style="312" min="10" max="10"/>
    <col width="8.28515625" customWidth="1" style="312" min="11" max="11"/>
    <col width="8.85546875" customWidth="1" style="312" min="12" max="12"/>
    <col width="9.140625" customWidth="1" style="312" min="13" max="16384"/>
  </cols>
  <sheetData>
    <row r="1">
      <c r="B1" s="313" t="n"/>
    </row>
    <row r="2">
      <c r="J2" s="315" t="n"/>
    </row>
    <row r="4" ht="45" customHeight="1" s="444">
      <c r="A4" s="316" t="inlineStr">
        <is>
          <t xml:space="preserve">Gruppi Omogenei di Esposizione </t>
        </is>
      </c>
      <c r="B4" s="316" t="inlineStr">
        <is>
          <t>Scheda Gruppo omogeneo</t>
        </is>
      </c>
      <c r="C4" s="316" t="inlineStr">
        <is>
          <t>Parametro di riferimento</t>
        </is>
      </c>
      <c r="D4" s="316">
        <f>'Scheda 1'!H44</f>
        <v/>
      </c>
      <c r="E4" s="316" t="inlineStr">
        <is>
          <t>Incertezza complessiva  U (LEX,8h)</t>
        </is>
      </c>
      <c r="F4" s="316" t="inlineStr">
        <is>
          <t>LEX MAX</t>
        </is>
      </c>
      <c r="G4" s="316" t="inlineStr">
        <is>
          <t xml:space="preserve">Massimo dei PPEAK misurati </t>
        </is>
      </c>
      <c r="H4" s="316" t="inlineStr">
        <is>
          <t>LEX,8h con attenuazione D.P.I. uditivo (**)</t>
        </is>
      </c>
      <c r="I4" s="316" t="inlineStr">
        <is>
          <t xml:space="preserve">PPEAK con attenuazione D.P.I. uditivo </t>
        </is>
      </c>
      <c r="J4" s="316" t="inlineStr">
        <is>
          <t>CLASSE DI RISCHIO BASSA</t>
        </is>
      </c>
      <c r="K4" s="316" t="inlineStr">
        <is>
          <t>CLASSE DI RISCHIO MEDIA</t>
        </is>
      </c>
      <c r="L4" s="316" t="inlineStr">
        <is>
          <t>CLASSE DI RISCHIO ALTA</t>
        </is>
      </c>
      <c r="M4" s="316" t="inlineStr">
        <is>
          <t>Esposizone a vibrazioni (*)</t>
        </is>
      </c>
      <c r="N4" s="316" t="inlineStr">
        <is>
          <t>Esposizone a ototossici</t>
        </is>
      </c>
      <c r="O4" s="316" t="inlineStr">
        <is>
          <t>Rumori impulsisi possibili</t>
        </is>
      </c>
    </row>
    <row r="5">
      <c r="A5" s="317">
        <f>'Scheda 1'!F8</f>
        <v/>
      </c>
      <c r="B5" s="318" t="n">
        <v>1</v>
      </c>
      <c r="C5" s="318">
        <f>'Scheda 1'!H44</f>
        <v/>
      </c>
      <c r="D5" s="319">
        <f>'Scheda 1'!I44</f>
        <v/>
      </c>
      <c r="E5" s="320">
        <f>'Scheda 1'!K44</f>
        <v/>
      </c>
      <c r="F5" s="319">
        <f>'Scheda 1'!O44</f>
        <v/>
      </c>
      <c r="G5" s="319">
        <f>'Scheda 1'!O45</f>
        <v/>
      </c>
      <c r="H5" s="319">
        <f>IF(F5&gt;87,'Scheda 1'!AM$11,"non previsto")</f>
        <v/>
      </c>
      <c r="I5" s="319">
        <f>IF(G5&gt;140,'Scheda 1'!T$41,"non previsto")</f>
        <v/>
      </c>
      <c r="J5" s="318">
        <f>IF(F5&lt;80,"BASSA"," ")</f>
        <v/>
      </c>
      <c r="K5" s="324">
        <f>IF(F5&gt;85," ",IF(F5&gt;80,"MEDIA",IF(F5&lt;80," ",IF(F5&lt;87," "," "))))</f>
        <v/>
      </c>
      <c r="L5" s="327">
        <f>IF(F5&gt;85,"ALTA"," ")</f>
        <v/>
      </c>
      <c r="M5" s="322" t="inlineStr">
        <is>
          <t>WBV</t>
        </is>
      </c>
      <c r="N5" s="322" t="inlineStr">
        <is>
          <t>SI</t>
        </is>
      </c>
      <c r="O5" s="322" t="inlineStr">
        <is>
          <t>NO</t>
        </is>
      </c>
      <c r="P5" s="323" t="n"/>
      <c r="Q5" s="323" t="n"/>
      <c r="R5" s="323" t="n"/>
    </row>
    <row r="6">
      <c r="A6" s="317">
        <f>'Scheda 2'!F8</f>
        <v/>
      </c>
      <c r="B6" s="318" t="n">
        <v>2</v>
      </c>
      <c r="C6" s="318">
        <f>'Scheda 2'!H44</f>
        <v/>
      </c>
      <c r="D6" s="319">
        <f>'Scheda 2'!I44</f>
        <v/>
      </c>
      <c r="E6" s="320">
        <f>'Scheda 2'!K44</f>
        <v/>
      </c>
      <c r="F6" s="319">
        <f>'Scheda 2'!O44</f>
        <v/>
      </c>
      <c r="G6" s="319">
        <f>'Scheda 2'!O45</f>
        <v/>
      </c>
      <c r="H6" s="319">
        <f>IF(F6&gt;87,'Scheda 2'!AM$11,"non previsto")</f>
        <v/>
      </c>
      <c r="I6" s="319">
        <f>IF(G6&gt;140,'Scheda 2'!T$41,"non previsto")</f>
        <v/>
      </c>
      <c r="J6" s="318">
        <f>IF(F6&lt;80,"BASSA"," ")</f>
        <v/>
      </c>
      <c r="K6" s="327">
        <f>IF(F6&gt;85," ",IF(F6&gt;80,"MEDIA",IF(F6&lt;80," ",IF(F6&lt;87," "," "))))</f>
        <v/>
      </c>
      <c r="L6" s="321">
        <f>IF(F6&gt;85,"ALTA"," ")</f>
        <v/>
      </c>
      <c r="M6" s="322" t="inlineStr">
        <is>
          <t>HAV</t>
        </is>
      </c>
      <c r="N6" s="322" t="inlineStr">
        <is>
          <t>SI</t>
        </is>
      </c>
      <c r="O6" s="322" t="inlineStr">
        <is>
          <t>NO</t>
        </is>
      </c>
    </row>
    <row r="7">
      <c r="A7" s="317">
        <f>'Scheda 3'!F8</f>
        <v/>
      </c>
      <c r="B7" s="318" t="n">
        <v>3</v>
      </c>
      <c r="C7" s="318">
        <f>'Scheda 3'!H44</f>
        <v/>
      </c>
      <c r="D7" s="319">
        <f>'Scheda 3'!I44</f>
        <v/>
      </c>
      <c r="E7" s="320">
        <f>'Scheda 3'!K44</f>
        <v/>
      </c>
      <c r="F7" s="319">
        <f>'Scheda 3'!O44</f>
        <v/>
      </c>
      <c r="G7" s="319">
        <f>'Scheda 3'!O45</f>
        <v/>
      </c>
      <c r="H7" s="319">
        <f>IF(F7&gt;87,'Scheda 3'!AM$11,"non previsto")</f>
        <v/>
      </c>
      <c r="I7" s="319">
        <f>IF(G7&gt;140,'Scheda 3'!T$41,"non previsto")</f>
        <v/>
      </c>
      <c r="J7" s="318">
        <f>IF(F7&lt;80,"BASSA"," ")</f>
        <v/>
      </c>
      <c r="K7" s="327">
        <f>IF(F7&gt;85," ",IF(F7&gt;80,"MEDIA",IF(F7&lt;80," ",IF(F7&lt;87," "," "))))</f>
        <v/>
      </c>
      <c r="L7" s="321">
        <f>IF(F7&gt;85,"ALTA"," ")</f>
        <v/>
      </c>
      <c r="M7" s="322" t="inlineStr">
        <is>
          <t>HAV</t>
        </is>
      </c>
      <c r="N7" s="322" t="inlineStr">
        <is>
          <t>SI</t>
        </is>
      </c>
      <c r="O7" s="322" t="inlineStr">
        <is>
          <t>NO</t>
        </is>
      </c>
    </row>
    <row r="8">
      <c r="A8" s="317">
        <f>'Scheda 4'!F8</f>
        <v/>
      </c>
      <c r="B8" s="318" t="n">
        <v>4</v>
      </c>
      <c r="C8" s="318">
        <f>'Scheda 4'!H44</f>
        <v/>
      </c>
      <c r="D8" s="319">
        <f>'Scheda 4'!I44</f>
        <v/>
      </c>
      <c r="E8" s="320">
        <f>'Scheda 4'!K44</f>
        <v/>
      </c>
      <c r="F8" s="319">
        <f>'Scheda 4'!O44</f>
        <v/>
      </c>
      <c r="G8" s="319">
        <f>'Scheda 4'!O45</f>
        <v/>
      </c>
      <c r="H8" s="319">
        <f>IF(F8&gt;84,'Scheda 4'!AM$11,"non previsto")</f>
        <v/>
      </c>
      <c r="I8" s="319">
        <f>IF(G8&gt;140,'Scheda 4'!T$41,"non previsto")</f>
        <v/>
      </c>
      <c r="J8" s="318">
        <f>IF(F8&lt;80,"BASSA"," ")</f>
        <v/>
      </c>
      <c r="K8" s="324">
        <f>IF(F8&gt;85," ",IF(F8&gt;80,"MEDIA",IF(F8&lt;80," ",IF(F8&lt;87," "," "))))</f>
        <v/>
      </c>
      <c r="L8" s="327">
        <f>IF(F8&gt;85,"ALTA"," ")</f>
        <v/>
      </c>
      <c r="M8" s="322" t="inlineStr">
        <is>
          <t>HAV</t>
        </is>
      </c>
      <c r="N8" s="322" t="inlineStr">
        <is>
          <t>NO</t>
        </is>
      </c>
      <c r="O8" s="322" t="inlineStr">
        <is>
          <t>NO</t>
        </is>
      </c>
    </row>
    <row r="9">
      <c r="A9" s="317">
        <f>'Scheda 5'!F8</f>
        <v/>
      </c>
      <c r="B9" s="318" t="n">
        <v>5</v>
      </c>
      <c r="C9" s="318">
        <f>'Scheda 5'!H44</f>
        <v/>
      </c>
      <c r="D9" s="319">
        <f>'Scheda 5'!I44</f>
        <v/>
      </c>
      <c r="E9" s="320">
        <f>'Scheda 5'!K44</f>
        <v/>
      </c>
      <c r="F9" s="319">
        <f>'Scheda 5'!O44</f>
        <v/>
      </c>
      <c r="G9" s="319">
        <f>'Scheda 5'!O45</f>
        <v/>
      </c>
      <c r="H9" s="319">
        <f>IF(F9&gt;87,'Scheda 5'!AM$11,"non previsto")</f>
        <v/>
      </c>
      <c r="I9" s="319">
        <f>IF(G9&gt;540,'Scheda 5'!T$45,"non previsto")</f>
        <v/>
      </c>
      <c r="J9" s="318">
        <f>IF(F9&lt;80,"BASSA"," ")</f>
        <v/>
      </c>
      <c r="K9" s="318">
        <f>IF(F9&gt;85," ",IF(F9&gt;80,"MEDIA",IF(F9&lt;80," ",IF(F9&lt;87," "," "))))</f>
        <v/>
      </c>
      <c r="L9" s="321">
        <f>IF(F9&gt;85,"ALTA"," ")</f>
        <v/>
      </c>
      <c r="M9" s="322" t="inlineStr">
        <is>
          <t>HAV</t>
        </is>
      </c>
      <c r="N9" s="322" t="inlineStr">
        <is>
          <t>NO</t>
        </is>
      </c>
      <c r="O9" s="322" t="inlineStr">
        <is>
          <t>NO</t>
        </is>
      </c>
    </row>
    <row r="10">
      <c r="A10" s="317">
        <f>'Scheda 6'!F8</f>
        <v/>
      </c>
      <c r="B10" s="318" t="n">
        <v>6</v>
      </c>
      <c r="C10" s="318">
        <f>'Scheda 6'!H44</f>
        <v/>
      </c>
      <c r="D10" s="319">
        <f>'Scheda 6'!I44</f>
        <v/>
      </c>
      <c r="E10" s="320">
        <f>'Scheda 6'!K44</f>
        <v/>
      </c>
      <c r="F10" s="319">
        <f>'Scheda 6'!O44</f>
        <v/>
      </c>
      <c r="G10" s="319">
        <f>'Scheda 6'!O45</f>
        <v/>
      </c>
      <c r="H10" s="319">
        <f>IF(F10&gt;87,'Scheda 6'!AM$11,"non previsto")</f>
        <v/>
      </c>
      <c r="I10" s="319">
        <f>IF(G10&gt;140,'Scheda 6'!T$41,"non previsto")</f>
        <v/>
      </c>
      <c r="J10" s="318">
        <f>IF(F10&lt;80,"BASSA"," ")</f>
        <v/>
      </c>
      <c r="K10" s="327">
        <f>IF(F10&gt;85," ",IF(F10&gt;80,"MEDIA",IF(F10&lt;80," ",IF(F10&lt;87," "," "))))</f>
        <v/>
      </c>
      <c r="L10" s="321">
        <f>IF(F10&gt;85,"ALTA"," ")</f>
        <v/>
      </c>
      <c r="M10" s="322" t="inlineStr">
        <is>
          <t>HAV</t>
        </is>
      </c>
      <c r="N10" s="322" t="inlineStr">
        <is>
          <t>NO</t>
        </is>
      </c>
      <c r="O10" s="322" t="inlineStr">
        <is>
          <t>NO</t>
        </is>
      </c>
    </row>
    <row r="11">
      <c r="A11" s="317">
        <f>'Scheda 7'!F8</f>
        <v/>
      </c>
      <c r="B11" s="318" t="n">
        <v>7</v>
      </c>
      <c r="C11" s="318">
        <f>'Scheda 7'!H44</f>
        <v/>
      </c>
      <c r="D11" s="319">
        <f>'Scheda 7'!I44</f>
        <v/>
      </c>
      <c r="E11" s="320">
        <f>'Scheda 7'!K44</f>
        <v/>
      </c>
      <c r="F11" s="319">
        <f>'Scheda 7'!O44</f>
        <v/>
      </c>
      <c r="G11" s="319">
        <f>'Scheda 7'!O45</f>
        <v/>
      </c>
      <c r="H11" s="319">
        <f>IF(F11&gt;87,'Scheda 7'!AM$11,"non previsto")</f>
        <v/>
      </c>
      <c r="I11" s="319">
        <f>IF(G11&gt;140,'Scheda 7'!T$41,"non previsto")</f>
        <v/>
      </c>
      <c r="J11" s="318">
        <f>IF(F11&lt;80,"BASSA"," ")</f>
        <v/>
      </c>
      <c r="K11" s="324">
        <f>IF(F11&gt;85," ",IF(F11&gt;80,"MEDIA",IF(F11&lt;80," ",IF(F11&lt;87," "," "))))</f>
        <v/>
      </c>
      <c r="L11" s="327">
        <f>IF(F11&gt;85,"ALTA"," ")</f>
        <v/>
      </c>
      <c r="M11" s="322" t="inlineStr">
        <is>
          <t>HAV</t>
        </is>
      </c>
      <c r="N11" s="322" t="inlineStr">
        <is>
          <t>NO</t>
        </is>
      </c>
      <c r="O11" s="322" t="inlineStr">
        <is>
          <t>NO</t>
        </is>
      </c>
    </row>
    <row r="12">
      <c r="A12" s="317">
        <f>'Scheda 8'!F8</f>
        <v/>
      </c>
      <c r="B12" s="318" t="n">
        <v>8</v>
      </c>
      <c r="C12" s="318">
        <f>'Scheda 8'!H44</f>
        <v/>
      </c>
      <c r="D12" s="319">
        <f>'Scheda 8'!I44</f>
        <v/>
      </c>
      <c r="E12" s="320">
        <f>'Scheda 8'!K44</f>
        <v/>
      </c>
      <c r="F12" s="319">
        <f>'Scheda 8'!O44</f>
        <v/>
      </c>
      <c r="G12" s="319">
        <f>'Scheda 8'!O45</f>
        <v/>
      </c>
      <c r="H12" s="319">
        <f>IF(F12&gt;87,'Scheda 8'!AM$11,"non previsto")</f>
        <v/>
      </c>
      <c r="I12" s="319">
        <f>IF(G12&gt;140,'Scheda 8'!T$41,"non previsto")</f>
        <v/>
      </c>
      <c r="J12" s="318">
        <f>IF(F12&lt;80,"BASSA"," ")</f>
        <v/>
      </c>
      <c r="K12" s="324">
        <f>IF(F12&gt;85," ",IF(F12&gt;80,"MEDIA",IF(F12&lt;80," ",IF(F12&lt;87," "," "))))</f>
        <v/>
      </c>
      <c r="L12" s="327">
        <f>IF(F12&gt;85,"ALTA"," ")</f>
        <v/>
      </c>
      <c r="M12" s="322" t="inlineStr">
        <is>
          <t>NO</t>
        </is>
      </c>
      <c r="N12" s="322" t="inlineStr">
        <is>
          <t>NO</t>
        </is>
      </c>
      <c r="O12" s="322" t="inlineStr">
        <is>
          <t>NO</t>
        </is>
      </c>
    </row>
    <row r="13" ht="22.5" customHeight="1" s="444">
      <c r="A13" s="317">
        <f>'Scheda 9'!F8</f>
        <v/>
      </c>
      <c r="B13" s="318" t="n">
        <v>9</v>
      </c>
      <c r="C13" s="318">
        <f>'Scheda 8'!H44</f>
        <v/>
      </c>
      <c r="D13" s="319">
        <f>'Scheda 9'!I44</f>
        <v/>
      </c>
      <c r="E13" s="320">
        <f>'Scheda 9'!K44</f>
        <v/>
      </c>
      <c r="F13" s="319">
        <f>'Scheda 9'!O44</f>
        <v/>
      </c>
      <c r="G13" s="319">
        <f>'Scheda 9'!O45</f>
        <v/>
      </c>
      <c r="H13" s="319">
        <f>IF(F13&gt;97,'Scheda 9'!AM$11,"non previsto")</f>
        <v/>
      </c>
      <c r="I13" s="319">
        <f>IF(G13&gt;140,'Scheda 9'!T$41,"non previsto")</f>
        <v/>
      </c>
      <c r="J13" s="326">
        <f>IF(F13&lt;80,"BASSA"," ")</f>
        <v/>
      </c>
      <c r="K13" s="318">
        <f>IF(F13&gt;85," ",IF(F13&gt;80,"X",IF(F13&lt;80," ",IF(F13&lt;87," "," "))))</f>
        <v/>
      </c>
      <c r="L13" s="327">
        <f>IF(F13&gt;85,"ALTA"," ")</f>
        <v/>
      </c>
      <c r="M13" s="322" t="inlineStr">
        <is>
          <t>WBV</t>
        </is>
      </c>
      <c r="N13" s="322" t="inlineStr">
        <is>
          <t>NO</t>
        </is>
      </c>
      <c r="O13" s="322" t="inlineStr">
        <is>
          <t>NO</t>
        </is>
      </c>
    </row>
    <row r="14">
      <c r="A14" s="317">
        <f>'Scheda 10'!F8</f>
        <v/>
      </c>
      <c r="B14" s="318" t="n">
        <v>10</v>
      </c>
      <c r="C14" s="318">
        <f>'Scheda 10'!H44</f>
        <v/>
      </c>
      <c r="D14" s="319">
        <f>'Scheda 10'!I44</f>
        <v/>
      </c>
      <c r="E14" s="320">
        <f>'Scheda 10'!K44</f>
        <v/>
      </c>
      <c r="F14" s="319">
        <f>'Scheda 10'!O44</f>
        <v/>
      </c>
      <c r="G14" s="319">
        <f>'Scheda 10'!O45</f>
        <v/>
      </c>
      <c r="H14" s="319">
        <f>IF(F14&gt;87,'Scheda 10'!AM$11,"non previsto")</f>
        <v/>
      </c>
      <c r="I14" s="319">
        <f>IF(G14&gt;140,'Scheda 10'!T$41,"non previsto")</f>
        <v/>
      </c>
      <c r="J14" s="327">
        <f>IF(F14&lt;80,"BASSA"," ")</f>
        <v/>
      </c>
      <c r="K14" s="318">
        <f>IF(F14&gt;85," ",IF(F14&gt;80,"X",IF(F14&lt;80," ",IF(F14&lt;87," "," "))))</f>
        <v/>
      </c>
      <c r="L14" s="321">
        <f>IF(F14&gt;85,"ALTA"," ")</f>
        <v/>
      </c>
      <c r="M14" s="322" t="inlineStr">
        <is>
          <t>HAV</t>
        </is>
      </c>
      <c r="N14" s="322" t="inlineStr">
        <is>
          <t>NO</t>
        </is>
      </c>
      <c r="O14" s="322" t="inlineStr">
        <is>
          <t>NO</t>
        </is>
      </c>
    </row>
    <row r="15">
      <c r="A15" s="317">
        <f>'Scheda 11'!F8</f>
        <v/>
      </c>
      <c r="B15" s="318" t="n">
        <v>11</v>
      </c>
      <c r="C15" s="318">
        <f>'Scheda 11'!H44</f>
        <v/>
      </c>
      <c r="D15" s="319">
        <f>'Scheda 11'!I44</f>
        <v/>
      </c>
      <c r="E15" s="320">
        <f>'Scheda 11'!K44</f>
        <v/>
      </c>
      <c r="F15" s="319">
        <f>'Scheda 11'!O44</f>
        <v/>
      </c>
      <c r="G15" s="319">
        <f>'Scheda 11'!O45</f>
        <v/>
      </c>
      <c r="H15" s="319">
        <f>IF(F15&gt;87,'Scheda 11'!AM$11,"non previsto")</f>
        <v/>
      </c>
      <c r="I15" s="319">
        <f>IF(G15&gt;140,'Scheda 11'!T$41,"non previsto")</f>
        <v/>
      </c>
      <c r="J15" s="318">
        <f>IF(F15&lt;80,"BASSA"," ")</f>
        <v/>
      </c>
      <c r="K15" s="324">
        <f>IF(F15&gt;85," ",IF(F15&gt;80,"MEDIA",IF(F15&lt;80," ",IF(F15&lt;87," "," "))))</f>
        <v/>
      </c>
      <c r="L15" s="327">
        <f>IF(F15&gt;85,"ALTA"," ")</f>
        <v/>
      </c>
      <c r="M15" s="322" t="inlineStr">
        <is>
          <t>WBV</t>
        </is>
      </c>
      <c r="N15" s="322" t="inlineStr">
        <is>
          <t>NO</t>
        </is>
      </c>
      <c r="O15" s="322" t="inlineStr">
        <is>
          <t>NO</t>
        </is>
      </c>
    </row>
    <row r="16">
      <c r="A16" s="317">
        <f>'Scheda 12'!F8</f>
        <v/>
      </c>
      <c r="B16" s="318" t="n">
        <v>12</v>
      </c>
      <c r="C16" s="318">
        <f>'Scheda 12'!H44</f>
        <v/>
      </c>
      <c r="D16" s="319">
        <f>'Scheda 12'!I44</f>
        <v/>
      </c>
      <c r="E16" s="320">
        <f>'Scheda 12'!K44</f>
        <v/>
      </c>
      <c r="F16" s="319">
        <f>'Scheda 12'!O44</f>
        <v/>
      </c>
      <c r="G16" s="319">
        <f>'Scheda 12'!O45</f>
        <v/>
      </c>
      <c r="H16" s="319">
        <f>IF(F16&gt;87,'Scheda 12'!AM$11,"non previsto")</f>
        <v/>
      </c>
      <c r="I16" s="319">
        <f>IF(G16&gt;140,'Scheda 12'!T$41,"non previsto")</f>
        <v/>
      </c>
      <c r="J16" s="318">
        <f>IF(F16&lt;80,"BASSA"," ")</f>
        <v/>
      </c>
      <c r="K16" s="318">
        <f>IF(F16&gt;85," ",IF(F16&gt;80,"X",IF(F16&lt;80," ",IF(F16&lt;87," "," "))))</f>
        <v/>
      </c>
      <c r="L16" s="321">
        <f>IF(F16&gt;85,"ALTA"," ")</f>
        <v/>
      </c>
      <c r="M16" s="322" t="inlineStr">
        <is>
          <t>WBV</t>
        </is>
      </c>
      <c r="N16" s="322" t="inlineStr">
        <is>
          <t>SI</t>
        </is>
      </c>
      <c r="O16" s="322" t="inlineStr">
        <is>
          <t>NO</t>
        </is>
      </c>
    </row>
    <row r="17">
      <c r="A17" s="317">
        <f>'Scheda 13'!F8</f>
        <v/>
      </c>
      <c r="B17" s="318" t="n">
        <v>13</v>
      </c>
      <c r="C17" s="318">
        <f>'Scheda 13'!H44</f>
        <v/>
      </c>
      <c r="D17" s="319">
        <f>'Scheda 13'!I44</f>
        <v/>
      </c>
      <c r="E17" s="320">
        <f>'Scheda 13'!K44</f>
        <v/>
      </c>
      <c r="F17" s="319">
        <f>'Scheda 13'!O44</f>
        <v/>
      </c>
      <c r="G17" s="319">
        <f>'Scheda 13'!O45</f>
        <v/>
      </c>
      <c r="H17" s="319">
        <f>IF(F17&gt;87,'Scheda 13'!AM$11,"non previsto")</f>
        <v/>
      </c>
      <c r="I17" s="319">
        <f>IF(G17&gt;140,'Scheda 13'!T$41,"non previsto")</f>
        <v/>
      </c>
      <c r="J17" s="318">
        <f>IF(F17&lt;80,"BASSA"," ")</f>
        <v/>
      </c>
      <c r="K17" s="318">
        <f>IF(F17&gt;85," ",IF(F17&gt;80,"X",IF(F17&lt;80," ",IF(F17&lt;87," "," "))))</f>
        <v/>
      </c>
      <c r="L17" s="321">
        <f>IF(F17&gt;85,"ALTA"," ")</f>
        <v/>
      </c>
      <c r="M17" s="322" t="inlineStr">
        <is>
          <t>WBV-HAV</t>
        </is>
      </c>
      <c r="N17" s="322" t="inlineStr">
        <is>
          <t>SI</t>
        </is>
      </c>
      <c r="O17" s="322" t="inlineStr">
        <is>
          <t>NO</t>
        </is>
      </c>
    </row>
    <row r="18">
      <c r="A18" s="317">
        <f>'Scheda 14'!F8</f>
        <v/>
      </c>
      <c r="B18" s="318" t="n">
        <v>14</v>
      </c>
      <c r="C18" s="318">
        <f>'Scheda 14'!H44</f>
        <v/>
      </c>
      <c r="D18" s="319">
        <f>'Scheda 14'!I44</f>
        <v/>
      </c>
      <c r="E18" s="320">
        <f>'Scheda 14'!K44</f>
        <v/>
      </c>
      <c r="F18" s="319">
        <f>'Scheda 14'!O44</f>
        <v/>
      </c>
      <c r="G18" s="319">
        <f>'Scheda 14'!O45</f>
        <v/>
      </c>
      <c r="H18" s="319">
        <f>IF(F18&gt;87,'Scheda 14'!AM$11,"non previsto")</f>
        <v/>
      </c>
      <c r="I18" s="319">
        <f>IF(G18&gt;140,'Scheda 14'!T$41,"non previsto")</f>
        <v/>
      </c>
      <c r="J18" s="318">
        <f>IF(F18&lt;80,"BASSA"," ")</f>
        <v/>
      </c>
      <c r="K18" s="325">
        <f>IF(F18&gt;85," ",IF(F18&gt;80,"X",IF(F18&lt;80," ",IF(F18&lt;87," "," "))))</f>
        <v/>
      </c>
      <c r="L18" s="325">
        <f>IF(F18&gt;85,"ALTA"," ")</f>
        <v/>
      </c>
      <c r="M18" s="322" t="inlineStr">
        <is>
          <t>WBV-HAV</t>
        </is>
      </c>
      <c r="N18" s="322" t="inlineStr">
        <is>
          <t>SI</t>
        </is>
      </c>
      <c r="O18" s="322" t="inlineStr">
        <is>
          <t>NO</t>
        </is>
      </c>
      <c r="P18" s="323" t="n"/>
      <c r="Q18" s="323" t="n"/>
      <c r="R18" s="323" t="n"/>
    </row>
    <row r="19">
      <c r="A19" s="317">
        <f>'Scheda 15'!F8</f>
        <v/>
      </c>
      <c r="B19" s="318" t="n">
        <v>15</v>
      </c>
      <c r="C19" s="318">
        <f>'Scheda 2'!H44</f>
        <v/>
      </c>
      <c r="D19" s="319">
        <f>'Scheda 15'!I44</f>
        <v/>
      </c>
      <c r="E19" s="320">
        <f>'Scheda 15'!K44</f>
        <v/>
      </c>
      <c r="F19" s="319">
        <f>'Scheda 15'!O44</f>
        <v/>
      </c>
      <c r="G19" s="319">
        <f>'Scheda 15'!O45</f>
        <v/>
      </c>
      <c r="H19" s="319">
        <f>IF(F19&gt;87,'Scheda 15'!AM$11,"non previsto")</f>
        <v/>
      </c>
      <c r="I19" s="319">
        <f>IF(G19&gt;140,'Scheda 15'!T$41,"non previsto")</f>
        <v/>
      </c>
      <c r="J19" s="318">
        <f>IF(F19&lt;80,"BASSA"," ")</f>
        <v/>
      </c>
      <c r="K19" s="324">
        <f>IF(F19&gt;85," ",IF(F19&gt;80,"MEDIA",IF(F19&lt;80," ",IF(F19&lt;87," "," "))))</f>
        <v/>
      </c>
      <c r="L19" s="327">
        <f>IF(F19&gt;85,"ALTA"," ")</f>
        <v/>
      </c>
      <c r="M19" s="322" t="inlineStr">
        <is>
          <t>WBV</t>
        </is>
      </c>
      <c r="N19" s="322" t="inlineStr">
        <is>
          <t>NO</t>
        </is>
      </c>
      <c r="O19" s="322" t="inlineStr">
        <is>
          <t>NO</t>
        </is>
      </c>
    </row>
    <row r="20">
      <c r="A20" s="317">
        <f>'Scheda 16'!F8</f>
        <v/>
      </c>
      <c r="B20" s="318" t="n">
        <v>16</v>
      </c>
      <c r="C20" s="318">
        <f>'Scheda 16'!H44</f>
        <v/>
      </c>
      <c r="D20" s="319">
        <f>'Scheda 16'!I44</f>
        <v/>
      </c>
      <c r="E20" s="320">
        <f>'Scheda 16'!K44</f>
        <v/>
      </c>
      <c r="F20" s="319">
        <f>'Scheda 16'!O44</f>
        <v/>
      </c>
      <c r="G20" s="319">
        <f>'Scheda 16'!O45</f>
        <v/>
      </c>
      <c r="H20" s="319">
        <f>IF(F20&gt;87,'Scheda 16'!AM$11,"non previsto")</f>
        <v/>
      </c>
      <c r="I20" s="319">
        <f>IF(G20&gt;140,'Scheda 16'!T$41,"non previsto")</f>
        <v/>
      </c>
      <c r="J20" s="318">
        <f>IF(F20&lt;80,"BASSA"," ")</f>
        <v/>
      </c>
      <c r="K20" s="318">
        <f>IF(F20&gt;85," ",IF(F20&gt;80,"X",IF(F20&lt;80," ",IF(F20&lt;87," "," "))))</f>
        <v/>
      </c>
      <c r="L20" s="321">
        <f>IF(F20&gt;85,"ALTA"," ")</f>
        <v/>
      </c>
      <c r="M20" s="322" t="inlineStr">
        <is>
          <t>HAV</t>
        </is>
      </c>
      <c r="N20" s="322" t="inlineStr">
        <is>
          <t>NO</t>
        </is>
      </c>
      <c r="O20" s="322" t="inlineStr">
        <is>
          <t>NO</t>
        </is>
      </c>
    </row>
    <row r="21">
      <c r="A21" s="317">
        <f>'Scheda 17'!F8</f>
        <v/>
      </c>
      <c r="B21" s="318" t="n">
        <v>17</v>
      </c>
      <c r="C21" s="318">
        <f>'Scheda 4'!H44</f>
        <v/>
      </c>
      <c r="D21" s="319">
        <f>'Scheda 17'!I44</f>
        <v/>
      </c>
      <c r="E21" s="320">
        <f>'Scheda 17'!K44</f>
        <v/>
      </c>
      <c r="F21" s="319">
        <f>'Scheda 17'!O44</f>
        <v/>
      </c>
      <c r="G21" s="319">
        <f>'Scheda 17'!O45</f>
        <v/>
      </c>
      <c r="H21" s="319">
        <f>IF(F21&gt;84,'Scheda 17'!AM$11,"non previsto")</f>
        <v/>
      </c>
      <c r="I21" s="319">
        <f>IF(G21&gt;140,'Scheda 17'!T$41,"non previsto")</f>
        <v/>
      </c>
      <c r="J21" s="318">
        <f>IF(F21&lt;80,"BASSA"," ")</f>
        <v/>
      </c>
      <c r="K21" s="324">
        <f>IF(F21&gt;85," ",IF(F21&gt;80,"MEDIA",IF(F21&lt;80," ",IF(F21&lt;87," "," "))))</f>
        <v/>
      </c>
      <c r="L21" s="318">
        <f>IF(F21&gt;85,"ALTA"," ")</f>
        <v/>
      </c>
      <c r="M21" s="322" t="inlineStr">
        <is>
          <t>WBV</t>
        </is>
      </c>
      <c r="N21" s="322" t="inlineStr">
        <is>
          <t>NO</t>
        </is>
      </c>
      <c r="O21" s="322" t="inlineStr">
        <is>
          <t>NO</t>
        </is>
      </c>
    </row>
    <row r="22">
      <c r="A22" s="317">
        <f>'Scheda 18'!F8</f>
        <v/>
      </c>
      <c r="B22" s="318" t="n">
        <v>18</v>
      </c>
      <c r="C22" s="318">
        <f>'Scheda 5'!H44</f>
        <v/>
      </c>
      <c r="D22" s="319">
        <f>'Scheda 18'!I44</f>
        <v/>
      </c>
      <c r="E22" s="320">
        <f>'Scheda 18'!K44</f>
        <v/>
      </c>
      <c r="F22" s="319">
        <f>'Scheda 18'!O44</f>
        <v/>
      </c>
      <c r="G22" s="319">
        <f>'Scheda 18'!O45</f>
        <v/>
      </c>
      <c r="H22" s="319">
        <f>IF(F22&gt;87,'Scheda 18'!AM$11,"non previsto")</f>
        <v/>
      </c>
      <c r="I22" s="319">
        <f>IF(G22&gt;540,'Scheda 18'!T$45,"non previsto")</f>
        <v/>
      </c>
      <c r="J22" s="326">
        <f>IF(F22&lt;80,"BASSA"," ")</f>
        <v/>
      </c>
      <c r="K22" s="327">
        <f>IF(F22&gt;85," ",IF(F22&gt;80,"X",IF(F22&lt;80," ",IF(F22&lt;87," "," "))))</f>
        <v/>
      </c>
      <c r="L22" s="327">
        <f>IF(F22&gt;85,"ALTA"," ")</f>
        <v/>
      </c>
      <c r="M22" s="322" t="inlineStr">
        <is>
          <t>WBV</t>
        </is>
      </c>
      <c r="N22" s="322" t="inlineStr">
        <is>
          <t>NO</t>
        </is>
      </c>
      <c r="O22" s="322" t="inlineStr">
        <is>
          <t>NO</t>
        </is>
      </c>
    </row>
    <row r="23" ht="22.5" customHeight="1" s="444">
      <c r="A23" s="317">
        <f>'Scheda 19'!F8</f>
        <v/>
      </c>
      <c r="B23" s="318" t="n">
        <v>19</v>
      </c>
      <c r="C23" s="318">
        <f>'Scheda 6'!H44</f>
        <v/>
      </c>
      <c r="D23" s="319">
        <f>'Scheda 19'!I44</f>
        <v/>
      </c>
      <c r="E23" s="320">
        <f>'Scheda 19'!K44</f>
        <v/>
      </c>
      <c r="F23" s="319">
        <f>'Scheda 19'!O44</f>
        <v/>
      </c>
      <c r="G23" s="319">
        <f>'Scheda 19'!O45</f>
        <v/>
      </c>
      <c r="H23" s="319">
        <f>IF(F23&gt;87,'Scheda 19'!AM$11,"non previsto")</f>
        <v/>
      </c>
      <c r="I23" s="319">
        <f>IF(G23&gt;140,'Scheda 19'!T$41,"non previsto")</f>
        <v/>
      </c>
      <c r="J23" s="326">
        <f>IF(F23&lt;80,"BASSA"," ")</f>
        <v/>
      </c>
      <c r="K23" s="327">
        <f>IF(F23&gt;85," ",IF(F23&gt;80,"MEDIA",IF(F23&lt;80," ",IF(F23&lt;87," "," "))))</f>
        <v/>
      </c>
      <c r="L23" s="327">
        <f>IF(F23&gt;85,"ALTA"," ")</f>
        <v/>
      </c>
      <c r="M23" s="322" t="inlineStr">
        <is>
          <t>WBV</t>
        </is>
      </c>
      <c r="N23" s="322" t="inlineStr">
        <is>
          <t>NO</t>
        </is>
      </c>
      <c r="O23" s="322" t="inlineStr">
        <is>
          <t>NO</t>
        </is>
      </c>
    </row>
    <row r="24">
      <c r="A24" s="317">
        <f>'Scheda 20'!F8</f>
        <v/>
      </c>
      <c r="B24" s="318" t="n">
        <v>20</v>
      </c>
      <c r="C24" s="318">
        <f>'Scheda 20'!H44</f>
        <v/>
      </c>
      <c r="D24" s="319">
        <f>'Scheda 20'!I44</f>
        <v/>
      </c>
      <c r="E24" s="320">
        <f>'Scheda 20'!K44</f>
        <v/>
      </c>
      <c r="F24" s="319">
        <f>'Scheda 20'!O44</f>
        <v/>
      </c>
      <c r="G24" s="319">
        <f>'Scheda 20'!O45</f>
        <v/>
      </c>
      <c r="H24" s="319">
        <f>IF(F24&gt;87,'Scheda 20'!AM$11,"non previsto")</f>
        <v/>
      </c>
      <c r="I24" s="319">
        <f>IF(G24&gt;140,'Scheda 20'!T$41,"non previsto")</f>
        <v/>
      </c>
      <c r="J24" s="327">
        <f>IF(F24&lt;80,"BASSA"," ")</f>
        <v/>
      </c>
      <c r="K24" s="327">
        <f>IF(F24&gt;85," ",IF(F24&gt;80,"X",IF(F24&lt;80," ",IF(F24&lt;87," "," "))))</f>
        <v/>
      </c>
      <c r="L24" s="321">
        <f>IF(F24&gt;85,"ALTA"," ")</f>
        <v/>
      </c>
      <c r="M24" s="322" t="inlineStr">
        <is>
          <t>HAV</t>
        </is>
      </c>
      <c r="N24" s="322" t="inlineStr">
        <is>
          <t>NO</t>
        </is>
      </c>
      <c r="O24" s="322" t="inlineStr">
        <is>
          <t>NO</t>
        </is>
      </c>
    </row>
    <row r="25">
      <c r="A25" s="317">
        <f>'Scheda 21'!F8</f>
        <v/>
      </c>
      <c r="B25" s="318" t="n">
        <v>21</v>
      </c>
      <c r="C25" s="318">
        <f>'Scheda 21'!H44</f>
        <v/>
      </c>
      <c r="D25" s="319">
        <f>'Scheda 21'!I44</f>
        <v/>
      </c>
      <c r="E25" s="320">
        <f>'Scheda 21'!K44</f>
        <v/>
      </c>
      <c r="F25" s="319">
        <f>'Scheda 21'!O44</f>
        <v/>
      </c>
      <c r="G25" s="319">
        <f>'Scheda 21'!O45</f>
        <v/>
      </c>
      <c r="H25" s="319">
        <f>IF(F25&gt;87,'Scheda 21'!AM$11,"non previsto")</f>
        <v/>
      </c>
      <c r="I25" s="319">
        <f>IF(G25&gt;140,'Scheda 21'!T$41,"non previsto")</f>
        <v/>
      </c>
      <c r="J25" s="327">
        <f>IF(F25&lt;80,"BASSA"," ")</f>
        <v/>
      </c>
      <c r="K25" s="327">
        <f>IF(F25&gt;85," ",IF(F25&gt;80,"X",IF(F25&lt;80," ",IF(F25&lt;87," "," "))))</f>
        <v/>
      </c>
      <c r="L25" s="321">
        <f>IF(F25&gt;85,"ALTA"," ")</f>
        <v/>
      </c>
      <c r="M25" s="322" t="inlineStr">
        <is>
          <t>HAV</t>
        </is>
      </c>
      <c r="N25" s="322" t="inlineStr">
        <is>
          <t>NO</t>
        </is>
      </c>
      <c r="O25" s="322" t="inlineStr">
        <is>
          <t>NO</t>
        </is>
      </c>
    </row>
    <row r="26">
      <c r="A26" s="317">
        <f>'Scheda 22'!F8</f>
        <v/>
      </c>
      <c r="B26" s="318" t="n">
        <v>22</v>
      </c>
      <c r="C26" s="318">
        <f>'Scheda 22'!H44</f>
        <v/>
      </c>
      <c r="D26" s="319">
        <f>'Scheda 22'!I44</f>
        <v/>
      </c>
      <c r="E26" s="320">
        <f>'Scheda 22'!K44</f>
        <v/>
      </c>
      <c r="F26" s="319">
        <f>'Scheda 22'!O44</f>
        <v/>
      </c>
      <c r="G26" s="319">
        <f>'Scheda 22'!O45</f>
        <v/>
      </c>
      <c r="H26" s="319">
        <f>IF(F26&gt;87,'Scheda 22'!AM$11,"non previsto")</f>
        <v/>
      </c>
      <c r="I26" s="319">
        <f>IF(G26&gt;140,'Scheda 22'!T$41,"non previsto")</f>
        <v/>
      </c>
      <c r="J26" s="326">
        <f>IF(F26&lt;80,"BASSA"," ")</f>
        <v/>
      </c>
      <c r="K26" s="327">
        <f>IF(F26&gt;85," ",IF(F26&gt;80,"X",IF(F26&lt;80," ",IF(F26&lt;87," "," "))))</f>
        <v/>
      </c>
      <c r="L26" s="327">
        <f>IF(F26&gt;85,"ALTA"," ")</f>
        <v/>
      </c>
      <c r="M26" s="322" t="inlineStr">
        <is>
          <t>NO</t>
        </is>
      </c>
      <c r="N26" s="322" t="inlineStr">
        <is>
          <t>NO</t>
        </is>
      </c>
      <c r="O26" s="322" t="inlineStr">
        <is>
          <t>NO</t>
        </is>
      </c>
    </row>
    <row r="27">
      <c r="A27" s="317">
        <f>'Scheda 23'!F8</f>
        <v/>
      </c>
      <c r="B27" s="318" t="n">
        <v>23</v>
      </c>
      <c r="C27" s="318">
        <f>'Scheda 23'!H44</f>
        <v/>
      </c>
      <c r="D27" s="319">
        <f>'Scheda 23'!I44</f>
        <v/>
      </c>
      <c r="E27" s="320">
        <f>'Scheda 23'!K44</f>
        <v/>
      </c>
      <c r="F27" s="319">
        <f>'Scheda 23'!O44</f>
        <v/>
      </c>
      <c r="G27" s="319">
        <f>'Scheda 23'!O45</f>
        <v/>
      </c>
      <c r="H27" s="319">
        <f>IF(F27&gt;87,'Scheda 23'!AM$11,"non previsto")</f>
        <v/>
      </c>
      <c r="I27" s="319">
        <f>IF(G27&gt;140,'Scheda 23'!T$41,"non previsto")</f>
        <v/>
      </c>
      <c r="J27" s="318">
        <f>IF(F27&lt;80,"BASSA"," ")</f>
        <v/>
      </c>
      <c r="K27" s="324">
        <f>IF(F27&gt;85," ",IF(F27&gt;80,"MEDIA",IF(F27&lt;80," ",IF(F27&lt;87," "," "))))</f>
        <v/>
      </c>
      <c r="L27" s="327">
        <f>IF(F27&gt;85,"ALTA"," ")</f>
        <v/>
      </c>
      <c r="M27" s="322" t="inlineStr">
        <is>
          <t>NO</t>
        </is>
      </c>
      <c r="N27" s="322" t="inlineStr">
        <is>
          <t>NO</t>
        </is>
      </c>
      <c r="O27" s="322" t="inlineStr">
        <is>
          <t>NO</t>
        </is>
      </c>
    </row>
    <row r="28" ht="22.5" customHeight="1" s="444">
      <c r="A28" s="317">
        <f>'Scheda 24'!F8</f>
        <v/>
      </c>
      <c r="B28" s="318" t="n">
        <v>24</v>
      </c>
      <c r="C28" s="318">
        <f>'Scheda 24'!H44</f>
        <v/>
      </c>
      <c r="D28" s="319">
        <f>'Scheda 24'!I44</f>
        <v/>
      </c>
      <c r="E28" s="320">
        <f>'Scheda 24'!K44</f>
        <v/>
      </c>
      <c r="F28" s="319">
        <f>'Scheda 24'!O44</f>
        <v/>
      </c>
      <c r="G28" s="319">
        <f>'Scheda 24'!O45</f>
        <v/>
      </c>
      <c r="H28" s="319">
        <f>IF(F30&gt;87,'Scheda 24'!AM$11,"non previsto")</f>
        <v/>
      </c>
      <c r="I28" s="319">
        <f>IF(G30&gt;140,'Scheda 24'!T$41,"non previsto")</f>
        <v/>
      </c>
      <c r="J28" s="318">
        <f>IF(F28&lt;80,"BASSA"," ")</f>
        <v/>
      </c>
      <c r="K28" s="324">
        <f>IF(F28&gt;85," ",IF(F28&gt;80,"MEDIA",IF(F28&lt;80," ",IF(F28&lt;87," "," "))))</f>
        <v/>
      </c>
      <c r="L28" s="327">
        <f>IF(F30&gt;85,"X"," ")</f>
        <v/>
      </c>
      <c r="M28" s="322" t="inlineStr">
        <is>
          <t>NO</t>
        </is>
      </c>
      <c r="N28" s="322" t="inlineStr">
        <is>
          <t>NO</t>
        </is>
      </c>
      <c r="O28" s="322" t="inlineStr">
        <is>
          <t>NO</t>
        </is>
      </c>
    </row>
    <row r="29" hidden="1" s="444">
      <c r="A29" s="317">
        <f>'[1]Scheda 25'!F8</f>
        <v/>
      </c>
      <c r="B29" s="318" t="n">
        <v>25</v>
      </c>
      <c r="C29" s="318">
        <f>'[2]Scheda 25'!H44</f>
        <v/>
      </c>
      <c r="D29" s="319">
        <f>'[2]Scheda 25'!I44</f>
        <v/>
      </c>
      <c r="E29" s="320">
        <f>'[2]Scheda 25'!K44</f>
        <v/>
      </c>
      <c r="F29" s="319">
        <f>'[2]Scheda 25'!O44</f>
        <v/>
      </c>
      <c r="G29" s="319">
        <f>'[2]Scheda 25'!O45</f>
        <v/>
      </c>
      <c r="H29" s="319">
        <f>IF(F29&gt;87,'[2]Scheda 25'!AM$11,"non previsto")</f>
        <v/>
      </c>
      <c r="I29" s="319">
        <f>IF(G29&gt;140,'[2]Scheda 25'!T$41,"non previsto")</f>
        <v/>
      </c>
      <c r="J29" s="318">
        <f>IF(F29&lt;80,"BASSA"," ")</f>
        <v/>
      </c>
      <c r="K29" s="318">
        <f>IF(F29&gt;85," ",IF(F29&gt;80,"X",IF(F29&lt;80," ",IF(F29&lt;87," "," "))))</f>
        <v/>
      </c>
      <c r="L29" s="321">
        <f>IF(F29&gt;85,"ALTA"," ")</f>
        <v/>
      </c>
      <c r="M29" s="322" t="inlineStr">
        <is>
          <t>HAV</t>
        </is>
      </c>
      <c r="N29" s="322" t="inlineStr">
        <is>
          <t>NO</t>
        </is>
      </c>
      <c r="O29" s="322" t="inlineStr">
        <is>
          <t>NO</t>
        </is>
      </c>
    </row>
    <row r="30" hidden="1" s="444">
      <c r="A30" s="317">
        <f>'[2]Scheda 26'!F8</f>
        <v/>
      </c>
      <c r="B30" s="318" t="n">
        <v>26</v>
      </c>
      <c r="C30" s="318">
        <f>'[2]Scheda 26'!H44</f>
        <v/>
      </c>
      <c r="D30" s="319">
        <f>'[2]Scheda 26'!I44</f>
        <v/>
      </c>
      <c r="E30" s="320">
        <f>'[2]Scheda 26'!K44</f>
        <v/>
      </c>
      <c r="F30" s="319">
        <f>'[2]Scheda 26'!O44</f>
        <v/>
      </c>
      <c r="G30" s="319">
        <f>'[2]Scheda 26'!O45</f>
        <v/>
      </c>
      <c r="H30" s="319">
        <f>IF(F30&gt;87,'[2]Scheda 26'!AM$11,"non previsto")</f>
        <v/>
      </c>
      <c r="I30" s="319">
        <f>IF(G30&gt;140,'[2]Scheda 26'!T$41,"non previsto")</f>
        <v/>
      </c>
      <c r="J30" s="318">
        <f>IF(F30&lt;80,"BASSA"," ")</f>
        <v/>
      </c>
      <c r="K30" s="324">
        <f>IF(F30&gt;85," ",IF(F30&gt;80,"MEDIA",IF(F30&lt;80," ",IF(F30&lt;87," "," "))))</f>
        <v/>
      </c>
      <c r="L30" s="318">
        <f>IF(F30&gt;85,"X"," ")</f>
        <v/>
      </c>
      <c r="M30" s="322" t="inlineStr">
        <is>
          <t>NO</t>
        </is>
      </c>
      <c r="N30" s="322" t="inlineStr">
        <is>
          <t>NO</t>
        </is>
      </c>
      <c r="O30" s="322" t="inlineStr">
        <is>
          <t>NO</t>
        </is>
      </c>
    </row>
    <row r="31" hidden="1" s="444">
      <c r="A31" s="317">
        <f>'[2]Scheda 27'!F8</f>
        <v/>
      </c>
      <c r="B31" s="318" t="n">
        <v>27</v>
      </c>
      <c r="C31" s="318">
        <f>'[2]Scheda 27'!H44</f>
        <v/>
      </c>
      <c r="D31" s="319">
        <f>'[2]Scheda 27'!I44</f>
        <v/>
      </c>
      <c r="E31" s="320">
        <f>'[2]Scheda 27'!K44</f>
        <v/>
      </c>
      <c r="F31" s="319">
        <f>'[2]Scheda 27'!O44</f>
        <v/>
      </c>
      <c r="G31" s="319">
        <f>'[2]Scheda 27'!O45</f>
        <v/>
      </c>
      <c r="H31" s="319">
        <f>IF(F31&gt;87,'[2]Scheda 27'!AM$11,"non previsto")</f>
        <v/>
      </c>
      <c r="I31" s="319">
        <f>IF(G31&gt;140,'[2]Scheda 27'!T$41,"non previsto")</f>
        <v/>
      </c>
      <c r="J31" s="318">
        <f>IF(F31&lt;80,"BASSA"," ")</f>
        <v/>
      </c>
      <c r="K31" s="324">
        <f>IF(F31&gt;85," ",IF(F31&gt;80,"MEDIA",IF(F31&lt;80," ",IF(F31&lt;87," "," "))))</f>
        <v/>
      </c>
      <c r="L31" s="318">
        <f>IF(F31&gt;85,"X"," ")</f>
        <v/>
      </c>
      <c r="M31" s="322" t="inlineStr">
        <is>
          <t>NO</t>
        </is>
      </c>
      <c r="N31" s="322" t="inlineStr">
        <is>
          <t>NO</t>
        </is>
      </c>
      <c r="O31" s="322" t="inlineStr">
        <is>
          <t>NO</t>
        </is>
      </c>
    </row>
    <row r="32" hidden="1" s="444">
      <c r="A32" s="317">
        <f>'[2]Scheda 28'!F8</f>
        <v/>
      </c>
      <c r="B32" s="318" t="n">
        <v>28</v>
      </c>
      <c r="C32" s="318">
        <f>'[2]Scheda 28'!H44</f>
        <v/>
      </c>
      <c r="D32" s="319">
        <f>'[2]Scheda 28'!I44</f>
        <v/>
      </c>
      <c r="E32" s="320">
        <f>'[2]Scheda 28'!K44</f>
        <v/>
      </c>
      <c r="F32" s="319">
        <f>'[2]Scheda 28'!O44</f>
        <v/>
      </c>
      <c r="G32" s="319">
        <f>'[2]Scheda 28'!O45</f>
        <v/>
      </c>
      <c r="H32" s="319">
        <f>IF(F32&gt;87,'[2]Scheda 28'!AM$11,"non previsto")</f>
        <v/>
      </c>
      <c r="I32" s="319">
        <f>IF(G32&gt;140,'[2]Scheda 28'!T$41,"non previsto")</f>
        <v/>
      </c>
      <c r="J32" s="318">
        <f>IF(F32&lt;80,"BASSA"," ")</f>
        <v/>
      </c>
      <c r="K32" s="324">
        <f>IF(F32&gt;85," ",IF(F32&gt;80,"MEDIA",IF(F32&lt;80," ",IF(F32&lt;87," "," "))))</f>
        <v/>
      </c>
      <c r="L32" s="318">
        <f>IF(F32&gt;85,"X"," ")</f>
        <v/>
      </c>
      <c r="M32" s="322" t="inlineStr">
        <is>
          <t>NO</t>
        </is>
      </c>
      <c r="N32" s="322" t="inlineStr">
        <is>
          <t>NO</t>
        </is>
      </c>
      <c r="O32" s="322" t="inlineStr">
        <is>
          <t>NO</t>
        </is>
      </c>
    </row>
    <row r="33" hidden="1" ht="33.75" customHeight="1" s="444">
      <c r="A33" s="317">
        <f>'[2]Scheda 29'!$F$8</f>
        <v/>
      </c>
      <c r="B33" s="318" t="n">
        <v>29</v>
      </c>
      <c r="C33" s="318">
        <f>'[2]Scheda 29'!H44</f>
        <v/>
      </c>
      <c r="D33" s="319">
        <f>'[2]Scheda 29'!I44</f>
        <v/>
      </c>
      <c r="E33" s="320">
        <f>'[2]Scheda 29'!K44</f>
        <v/>
      </c>
      <c r="F33" s="319">
        <f>'[2]Scheda 29'!O44</f>
        <v/>
      </c>
      <c r="G33" s="319">
        <f>'[2]Scheda 29'!O45</f>
        <v/>
      </c>
      <c r="H33" s="319">
        <f>IF(F33&gt;87,'[2]Scheda 29'!AM$11,"non previsto")</f>
        <v/>
      </c>
      <c r="I33" s="319">
        <f>IF(G33&gt;140,'[2]Scheda 29'!T$41,"non previsto")</f>
        <v/>
      </c>
      <c r="J33" s="318">
        <f>IF(F33&lt;80,"BASSA"," ")</f>
        <v/>
      </c>
      <c r="K33" s="324">
        <f>IF(F33&gt;85," ",IF(F33&gt;80,"MEDIA",IF(F33&lt;80," ",IF(F33&lt;87," "," "))))</f>
        <v/>
      </c>
      <c r="L33" s="318">
        <f>IF(F33&gt;85,"X"," ")</f>
        <v/>
      </c>
      <c r="M33" s="322" t="inlineStr">
        <is>
          <t>NO</t>
        </is>
      </c>
      <c r="N33" s="322" t="inlineStr">
        <is>
          <t>NO</t>
        </is>
      </c>
      <c r="O33" s="322" t="inlineStr">
        <is>
          <t>NO</t>
        </is>
      </c>
    </row>
    <row r="34" hidden="1" s="444">
      <c r="A34" s="317">
        <f>'[2]Scheda 30'!$F$8</f>
        <v/>
      </c>
      <c r="B34" s="318" t="n">
        <v>30</v>
      </c>
      <c r="C34" s="318">
        <f>'[2]Scheda 30'!H44</f>
        <v/>
      </c>
      <c r="D34" s="319">
        <f>'[2]Scheda 30'!I44</f>
        <v/>
      </c>
      <c r="E34" s="320">
        <f>'[2]Scheda 30'!K44</f>
        <v/>
      </c>
      <c r="F34" s="319">
        <f>'[2]Scheda 30'!O44</f>
        <v/>
      </c>
      <c r="G34" s="319">
        <f>'[2]Scheda 30'!O45</f>
        <v/>
      </c>
      <c r="H34" s="319">
        <f>IF(F34&gt;87,'[2]Scheda 30'!AM$11,"non previsto")</f>
        <v/>
      </c>
      <c r="I34" s="319">
        <f>IF(G34&gt;140,'[2]Scheda 30'!T$41,"non previsto")</f>
        <v/>
      </c>
      <c r="J34" s="318">
        <f>IF(F34&lt;80,"BASSA"," ")</f>
        <v/>
      </c>
      <c r="K34" s="324">
        <f>IF(F34&gt;85," ",IF(F34&gt;80,"MEDIA",IF(F34&lt;80," ",IF(F34&lt;87," "," "))))</f>
        <v/>
      </c>
      <c r="L34" s="318">
        <f>IF(F34&gt;85,"X"," ")</f>
        <v/>
      </c>
      <c r="M34" s="322" t="inlineStr">
        <is>
          <t>WBV</t>
        </is>
      </c>
      <c r="N34" s="322" t="inlineStr">
        <is>
          <t>NO</t>
        </is>
      </c>
      <c r="O34" s="322" t="inlineStr">
        <is>
          <t>NO</t>
        </is>
      </c>
    </row>
    <row r="35" hidden="1" s="444">
      <c r="A35" s="317">
        <f>'[2]Scheda 31'!$F$8</f>
        <v/>
      </c>
      <c r="B35" s="318" t="n">
        <v>31</v>
      </c>
      <c r="C35" s="318">
        <f>'[2]Scheda 31'!H44</f>
        <v/>
      </c>
      <c r="D35" s="319">
        <f>'[2]Scheda 31'!I44</f>
        <v/>
      </c>
      <c r="E35" s="320">
        <f>'[2]Scheda 31'!K44</f>
        <v/>
      </c>
      <c r="F35" s="319">
        <f>'[2]Scheda 31'!O44</f>
        <v/>
      </c>
      <c r="G35" s="319">
        <f>'[2]Scheda 31'!O45</f>
        <v/>
      </c>
      <c r="H35" s="319">
        <f>IF(F35&gt;87,'[2]Scheda 31'!AM$11,"non previsto")</f>
        <v/>
      </c>
      <c r="I35" s="319">
        <f>IF(G35&gt;140,'[2]Scheda 31'!T$41,"non previsto")</f>
        <v/>
      </c>
      <c r="J35" s="326">
        <f>IF(F35&lt;80,"BASSA"," ")</f>
        <v/>
      </c>
      <c r="K35" s="318">
        <f>IF(F35&gt;85," ",IF(F35&gt;80,"X",IF(F35&lt;80," ",IF(F35&lt;87," "," "))))</f>
        <v/>
      </c>
      <c r="L35" s="318">
        <f>IF(F35&gt;85,"X"," ")</f>
        <v/>
      </c>
      <c r="M35" s="322" t="inlineStr">
        <is>
          <t>NO</t>
        </is>
      </c>
      <c r="N35" s="322" t="inlineStr">
        <is>
          <t>NO</t>
        </is>
      </c>
      <c r="O35" s="322" t="inlineStr">
        <is>
          <t>NO</t>
        </is>
      </c>
    </row>
    <row r="36" hidden="1" s="444">
      <c r="A36" s="317">
        <f>'[2]Scheda 32'!$F$8</f>
        <v/>
      </c>
      <c r="B36" s="318" t="n">
        <v>32</v>
      </c>
      <c r="C36" s="318">
        <f>'[2]Scheda 32'!H44</f>
        <v/>
      </c>
      <c r="D36" s="319">
        <f>'[2]Scheda 32'!I44</f>
        <v/>
      </c>
      <c r="E36" s="320">
        <f>'[2]Scheda 32'!K44</f>
        <v/>
      </c>
      <c r="F36" s="319">
        <f>'[2]Scheda 32'!O44</f>
        <v/>
      </c>
      <c r="G36" s="319">
        <f>'[2]Scheda 32'!O45</f>
        <v/>
      </c>
      <c r="H36" s="319">
        <f>IF(F36&gt;87,'[2]Scheda 32'!AM$11,"non previsto")</f>
        <v/>
      </c>
      <c r="I36" s="319">
        <f>IF(G36&gt;140,'[2]Scheda 32'!T$41,"non previsto")</f>
        <v/>
      </c>
      <c r="J36" s="318">
        <f>IF(F36&lt;80,"BASSA"," ")</f>
        <v/>
      </c>
      <c r="K36" s="324">
        <f>IF(F36&gt;85," ",IF(F36&gt;80,"MEDIA",IF(F36&lt;80," ",IF(F36&lt;87," "," "))))</f>
        <v/>
      </c>
      <c r="L36" s="318">
        <f>IF(F36&gt;85,"X"," ")</f>
        <v/>
      </c>
      <c r="M36" s="322" t="inlineStr">
        <is>
          <t>HAV</t>
        </is>
      </c>
      <c r="N36" s="322" t="inlineStr">
        <is>
          <t>NO</t>
        </is>
      </c>
      <c r="O36" s="322" t="inlineStr">
        <is>
          <t>NO</t>
        </is>
      </c>
    </row>
    <row r="37" hidden="1" s="444">
      <c r="A37" s="317">
        <f>'[2]Scheda 33'!$F$8</f>
        <v/>
      </c>
      <c r="B37" s="318" t="n">
        <v>33</v>
      </c>
      <c r="C37" s="318">
        <f>'[2]Scheda 33'!H44</f>
        <v/>
      </c>
      <c r="D37" s="319">
        <f>'[2]Scheda 33'!I44</f>
        <v/>
      </c>
      <c r="E37" s="320">
        <f>'[2]Scheda 33'!K44</f>
        <v/>
      </c>
      <c r="F37" s="319">
        <f>'[2]Scheda 33'!O44</f>
        <v/>
      </c>
      <c r="G37" s="319">
        <f>'[2]Scheda 33'!O45</f>
        <v/>
      </c>
      <c r="H37" s="319">
        <f>IF(F37&gt;87,'[2]Scheda 33'!AM$11,"non previsto")</f>
        <v/>
      </c>
      <c r="I37" s="319">
        <f>IF(G37&gt;140,'[2]Scheda 33'!T$41,"non previsto")</f>
        <v/>
      </c>
      <c r="J37" s="326">
        <f>IF(F37&lt;80,"BASSA"," ")</f>
        <v/>
      </c>
      <c r="K37" s="318">
        <f>IF(F37&gt;85," ",IF(F37&gt;80,"X",IF(F37&lt;80," ",IF(F37&lt;87," "," "))))</f>
        <v/>
      </c>
      <c r="L37" s="318">
        <f>IF(F37&gt;85,"X"," ")</f>
        <v/>
      </c>
      <c r="M37" s="322" t="inlineStr">
        <is>
          <t>NO</t>
        </is>
      </c>
      <c r="N37" s="322" t="inlineStr">
        <is>
          <t>NO</t>
        </is>
      </c>
      <c r="O37" s="322" t="inlineStr">
        <is>
          <t>NO</t>
        </is>
      </c>
    </row>
    <row r="38" hidden="1" s="444">
      <c r="A38" s="317">
        <f>'[2]Scheda 34'!$F$8</f>
        <v/>
      </c>
      <c r="B38" s="318" t="n">
        <v>34</v>
      </c>
      <c r="C38" s="318">
        <f>'[2]Scheda 34'!H44</f>
        <v/>
      </c>
      <c r="D38" s="319">
        <f>'[2]Scheda 34'!I44</f>
        <v/>
      </c>
      <c r="E38" s="320">
        <f>'[2]Scheda 34'!K44</f>
        <v/>
      </c>
      <c r="F38" s="319">
        <f>'[2]Scheda 34'!O44</f>
        <v/>
      </c>
      <c r="G38" s="319">
        <f>'[2]Scheda 34'!O45</f>
        <v/>
      </c>
      <c r="H38" s="319">
        <f>IF(F38&gt;87,'[2]Scheda 34'!AM$11,"non previsto")</f>
        <v/>
      </c>
      <c r="I38" s="319">
        <f>IF(G38&gt;140,'[2]Scheda 34'!T$41,"non previsto")</f>
        <v/>
      </c>
      <c r="J38" s="318">
        <f>IF(F38&lt;80,"BASSA"," ")</f>
        <v/>
      </c>
      <c r="K38" s="318">
        <f>IF(F38&gt;85," ",IF(F38&gt;80,"X",IF(F38&lt;80," ",IF(F38&lt;87," "," "))))</f>
        <v/>
      </c>
      <c r="L38" s="321">
        <f>IF(F38&gt;85,"ALTA"," ")</f>
        <v/>
      </c>
      <c r="M38" s="322" t="inlineStr">
        <is>
          <t>HAV</t>
        </is>
      </c>
      <c r="N38" s="322" t="inlineStr">
        <is>
          <t>NO</t>
        </is>
      </c>
      <c r="O38" s="322" t="inlineStr">
        <is>
          <t>NO</t>
        </is>
      </c>
    </row>
    <row r="39" hidden="1" ht="22.5" customHeight="1" s="444">
      <c r="A39" s="317">
        <f>'[2]Scheda 35'!$F$8</f>
        <v/>
      </c>
      <c r="B39" s="318" t="n">
        <v>35</v>
      </c>
      <c r="C39" s="318">
        <f>'[2]Scheda 35'!H44</f>
        <v/>
      </c>
      <c r="D39" s="319">
        <f>'[2]Scheda 35'!I44</f>
        <v/>
      </c>
      <c r="E39" s="320">
        <f>'[2]Scheda 35'!K44</f>
        <v/>
      </c>
      <c r="F39" s="319">
        <f>'[2]Scheda 35'!O44</f>
        <v/>
      </c>
      <c r="G39" s="319">
        <f>'[2]Scheda 35'!O45</f>
        <v/>
      </c>
      <c r="H39" s="319">
        <f>IF(F39&gt;87,'[2]Scheda 35'!AM$11,"non previsto")</f>
        <v/>
      </c>
      <c r="I39" s="319">
        <f>IF(G39&gt;140,'[2]Scheda 35'!T$41,"non previsto")</f>
        <v/>
      </c>
    </row>
    <row r="40" hidden="1" s="444">
      <c r="A40" s="317">
        <f>'[2]Scheda 36'!$F$8</f>
        <v/>
      </c>
      <c r="B40" s="318" t="n">
        <v>36</v>
      </c>
      <c r="C40" s="318">
        <f>'[2]Scheda 36'!H44</f>
        <v/>
      </c>
      <c r="D40" s="319">
        <f>'[2]Scheda 36'!I44</f>
        <v/>
      </c>
      <c r="E40" s="320">
        <f>'[2]Scheda 36'!K44</f>
        <v/>
      </c>
      <c r="F40" s="319">
        <f>'[2]Scheda 36'!O44</f>
        <v/>
      </c>
      <c r="G40" s="319">
        <f>'[2]Scheda 36'!O45</f>
        <v/>
      </c>
      <c r="H40" s="319">
        <f>IF(F40&gt;87,'[2]Scheda 36'!AM$11,"non previsto")</f>
        <v/>
      </c>
      <c r="I40" s="319">
        <f>IF(G40&gt;140,'[2]Scheda 36'!T$41,"non previsto")</f>
        <v/>
      </c>
    </row>
    <row r="41" hidden="1" s="444">
      <c r="A41" s="317">
        <f>'[2]Scheda 37'!$F$8</f>
        <v/>
      </c>
      <c r="B41" s="318" t="n">
        <v>37</v>
      </c>
      <c r="C41" s="318">
        <f>'[2]Scheda 4'!H44</f>
        <v/>
      </c>
      <c r="D41" s="319">
        <f>'[2]Scheda 37'!I44</f>
        <v/>
      </c>
      <c r="E41" s="320">
        <f>'[2]Scheda 37'!K44</f>
        <v/>
      </c>
      <c r="F41" s="319">
        <f>'[2]Scheda 37'!O44</f>
        <v/>
      </c>
      <c r="G41" s="319">
        <f>'[2]Scheda 37'!O45</f>
        <v/>
      </c>
      <c r="H41" s="319">
        <f>IF(F41&gt;84,'[2]Scheda 37'!AM$11,"non previsto")</f>
        <v/>
      </c>
      <c r="I41" s="319">
        <f>IF(G41&gt;140,'[2]Scheda 37'!T$41,"non previsto")</f>
        <v/>
      </c>
    </row>
    <row r="42" hidden="1" s="444">
      <c r="A42" s="317">
        <f>'[2]Scheda 38'!$F$8</f>
        <v/>
      </c>
      <c r="B42" s="318" t="n">
        <v>38</v>
      </c>
      <c r="C42" s="318">
        <f>'[2]Scheda 5'!H44</f>
        <v/>
      </c>
      <c r="D42" s="319">
        <f>'[2]Scheda 38'!I44</f>
        <v/>
      </c>
      <c r="E42" s="320">
        <f>'[2]Scheda 38'!K44</f>
        <v/>
      </c>
      <c r="F42" s="319">
        <f>'[2]Scheda 38'!O44</f>
        <v/>
      </c>
      <c r="G42" s="319">
        <f>'[2]Scheda 38'!O45</f>
        <v/>
      </c>
      <c r="H42" s="319">
        <f>IF(F42&gt;87,'[2]Scheda 38'!AM$11,"non previsto")</f>
        <v/>
      </c>
      <c r="I42" s="319">
        <f>IF(G42&gt;540,'[2]Scheda 38'!T$45,"non previsto")</f>
        <v/>
      </c>
    </row>
    <row r="43" hidden="1" s="444">
      <c r="A43" s="317">
        <f>'[2]Scheda 39'!$F$8</f>
        <v/>
      </c>
      <c r="B43" s="318" t="n">
        <v>39</v>
      </c>
      <c r="C43" s="318">
        <f>'[2]Scheda 6'!H44</f>
        <v/>
      </c>
      <c r="D43" s="319">
        <f>'[2]Scheda 39'!I44</f>
        <v/>
      </c>
      <c r="E43" s="320">
        <f>'[2]Scheda 39'!K44</f>
        <v/>
      </c>
      <c r="F43" s="319">
        <f>'[2]Scheda 39'!O44</f>
        <v/>
      </c>
      <c r="G43" s="319">
        <f>'[2]Scheda 39'!O45</f>
        <v/>
      </c>
      <c r="H43" s="319">
        <f>IF(F43&gt;87,'[2]Scheda 39'!AM$11,"non previsto")</f>
        <v/>
      </c>
      <c r="I43" s="319">
        <f>IF(G43&gt;140,'[2]Scheda 39'!T$41,"non previsto")</f>
        <v/>
      </c>
    </row>
    <row r="44" hidden="1" s="444">
      <c r="A44" s="317">
        <f>'[2]Scheda 40'!$F$8</f>
        <v/>
      </c>
      <c r="B44" s="318" t="n">
        <v>40</v>
      </c>
      <c r="C44" s="318">
        <f>'[2]Scheda 40'!H44</f>
        <v/>
      </c>
      <c r="D44" s="319">
        <f>'[2]Scheda 40'!I44</f>
        <v/>
      </c>
      <c r="E44" s="320">
        <f>'[2]Scheda 40'!K44</f>
        <v/>
      </c>
      <c r="F44" s="319">
        <f>'[2]Scheda 40'!O44</f>
        <v/>
      </c>
      <c r="G44" s="319">
        <f>'[2]Scheda 40'!O45</f>
        <v/>
      </c>
      <c r="H44" s="319">
        <f>IF(F44&gt;87,'[2]Scheda 40'!AM$11,"non previsto")</f>
        <v/>
      </c>
      <c r="I44" s="319">
        <f>IF(G44&gt;140,'[2]Scheda 40'!T$41,"non previsto")</f>
        <v/>
      </c>
    </row>
    <row r="45" hidden="1" s="444">
      <c r="A45" s="317">
        <f>'[2]Scheda 41'!$F$8</f>
        <v/>
      </c>
      <c r="B45" s="318" t="n">
        <v>41</v>
      </c>
      <c r="C45" s="318">
        <f>'[2]Scheda 41'!H44</f>
        <v/>
      </c>
      <c r="D45" s="319">
        <f>'[2]Scheda 41'!I44</f>
        <v/>
      </c>
      <c r="E45" s="320">
        <f>'[2]Scheda 41'!K44</f>
        <v/>
      </c>
      <c r="F45" s="319">
        <f>'[2]Scheda 41'!O44</f>
        <v/>
      </c>
      <c r="G45" s="319">
        <f>'[2]Scheda 41'!O45</f>
        <v/>
      </c>
      <c r="H45" s="319">
        <f>IF(F45&gt;87,'[2]Scheda 41'!AM$11,"non previsto")</f>
        <v/>
      </c>
      <c r="I45" s="319">
        <f>IF(G45&gt;140,'[2]Scheda 41'!T$41,"non previsto")</f>
        <v/>
      </c>
    </row>
    <row r="46" hidden="1" s="444">
      <c r="A46" s="317">
        <f>'[2]Scheda 42'!$F$8</f>
        <v/>
      </c>
      <c r="B46" s="318" t="n">
        <v>42</v>
      </c>
      <c r="C46" s="318">
        <f>'[2]Scheda 42'!H44</f>
        <v/>
      </c>
      <c r="D46" s="319">
        <f>'[2]Scheda 42'!I44</f>
        <v/>
      </c>
      <c r="E46" s="320">
        <f>'[2]Scheda 42'!K44</f>
        <v/>
      </c>
      <c r="F46" s="319">
        <f>'[2]Scheda 42'!O44</f>
        <v/>
      </c>
      <c r="G46" s="319">
        <f>'[2]Scheda 42'!O45</f>
        <v/>
      </c>
      <c r="H46" s="319">
        <f>IF(F46&gt;87,'[2]Scheda 42'!AM$11,"non previsto")</f>
        <v/>
      </c>
      <c r="I46" s="319">
        <f>IF(G46&gt;140,'[2]Scheda 42'!T$41,"non previsto")</f>
        <v/>
      </c>
    </row>
    <row r="47" hidden="1" s="444">
      <c r="A47" s="317">
        <f>'[2]Scheda 43'!$F$8</f>
        <v/>
      </c>
      <c r="B47" s="318" t="n">
        <v>43</v>
      </c>
      <c r="C47" s="318">
        <f>'[2]Scheda 43'!H44</f>
        <v/>
      </c>
      <c r="D47" s="319">
        <f>'[2]Scheda 43'!I44</f>
        <v/>
      </c>
      <c r="E47" s="320">
        <f>'[2]Scheda 43'!K44</f>
        <v/>
      </c>
      <c r="F47" s="319">
        <f>'[2]Scheda 43'!O44</f>
        <v/>
      </c>
      <c r="G47" s="319">
        <f>'[2]Scheda 43'!O45</f>
        <v/>
      </c>
      <c r="H47" s="319">
        <f>IF(F47&gt;87,'[2]Scheda 43'!AM$11,"non previsto")</f>
        <v/>
      </c>
      <c r="I47" s="319">
        <f>IF(G47&gt;140,'[2]Scheda 43'!T$41,"non previsto")</f>
        <v/>
      </c>
    </row>
    <row r="48" hidden="1" s="444">
      <c r="A48" s="317">
        <f>'[2]Scheda 44'!$F$8</f>
        <v/>
      </c>
      <c r="B48" s="318" t="n">
        <v>44</v>
      </c>
      <c r="C48" s="318">
        <f>'[2]Scheda 44'!H44</f>
        <v/>
      </c>
      <c r="D48" s="319">
        <f>'[2]Scheda 44'!I44</f>
        <v/>
      </c>
      <c r="E48" s="320">
        <f>'[2]Scheda 44'!K44</f>
        <v/>
      </c>
      <c r="F48" s="319">
        <f>'[2]Scheda 44'!O44</f>
        <v/>
      </c>
      <c r="G48" s="319">
        <f>'[2]Scheda 44'!O45</f>
        <v/>
      </c>
      <c r="H48" s="319">
        <f>IF(F50&gt;87,'[2]Scheda 44'!AM$11,"non previsto")</f>
        <v/>
      </c>
      <c r="I48" s="319">
        <f>IF(G50&gt;140,'[2]Scheda 44'!T$41,"non previsto")</f>
        <v/>
      </c>
    </row>
    <row r="49" hidden="1" s="444">
      <c r="A49" s="317">
        <f>'[2]Scheda 45'!$F$8</f>
        <v/>
      </c>
      <c r="B49" s="318" t="n">
        <v>45</v>
      </c>
      <c r="C49" s="318">
        <f>'[2]Scheda 45'!H44</f>
        <v/>
      </c>
      <c r="D49" s="319">
        <f>'[2]Scheda 45'!I44</f>
        <v/>
      </c>
      <c r="E49" s="320">
        <f>'[2]Scheda 45'!K44</f>
        <v/>
      </c>
      <c r="F49" s="319">
        <f>'[2]Scheda 45'!O44</f>
        <v/>
      </c>
      <c r="G49" s="319">
        <f>'[2]Scheda 45'!O45</f>
        <v/>
      </c>
      <c r="H49" s="319">
        <f>IF(F49&gt;87,'[2]Scheda 45'!AM$11,"non previsto")</f>
        <v/>
      </c>
      <c r="I49" s="319">
        <f>IF(G49&gt;140,'[2]Scheda 45'!T$41,"non previsto")</f>
        <v/>
      </c>
    </row>
    <row r="50" hidden="1" s="444">
      <c r="A50" s="317">
        <f>'[2]Scheda 46'!$F$8</f>
        <v/>
      </c>
      <c r="B50" s="318" t="n">
        <v>46</v>
      </c>
      <c r="C50" s="318">
        <f>'[2]Scheda 46'!H44</f>
        <v/>
      </c>
      <c r="D50" s="319">
        <f>'[2]Scheda 46'!I44</f>
        <v/>
      </c>
      <c r="E50" s="320">
        <f>'[2]Scheda 46'!K44</f>
        <v/>
      </c>
      <c r="F50" s="319">
        <f>'[2]Scheda 46'!O44</f>
        <v/>
      </c>
      <c r="G50" s="319">
        <f>'[2]Scheda 46'!O45</f>
        <v/>
      </c>
      <c r="H50" s="319">
        <f>IF(F50&gt;87,'[2]Scheda 46'!AM$11,"non previsto")</f>
        <v/>
      </c>
      <c r="I50" s="319">
        <f>IF(G50&gt;140,'[2]Scheda 46'!T$41,"non previsto")</f>
        <v/>
      </c>
    </row>
    <row r="51" hidden="1" s="444">
      <c r="A51" s="317">
        <f>'[2]Scheda 47'!$F$8</f>
        <v/>
      </c>
      <c r="B51" s="318" t="n">
        <v>47</v>
      </c>
      <c r="C51" s="318">
        <f>'[2]Scheda 47'!H44</f>
        <v/>
      </c>
      <c r="D51" s="319">
        <f>'[2]Scheda 47'!I44</f>
        <v/>
      </c>
      <c r="E51" s="320">
        <f>'[2]Scheda 47'!K44</f>
        <v/>
      </c>
      <c r="F51" s="319">
        <f>'[2]Scheda 47'!O44</f>
        <v/>
      </c>
      <c r="G51" s="319">
        <f>'[2]Scheda 47'!O45</f>
        <v/>
      </c>
      <c r="H51" s="319">
        <f>IF(F51&gt;87,'[2]Scheda 47'!AM$11,"non previsto")</f>
        <v/>
      </c>
      <c r="I51" s="319">
        <f>IF(G51&gt;140,'[2]Scheda 47'!T$41,"non previsto")</f>
        <v/>
      </c>
    </row>
    <row r="52" hidden="1" s="444">
      <c r="A52" s="317">
        <f>'[2]Scheda 48'!$F$8</f>
        <v/>
      </c>
      <c r="B52" s="318" t="n">
        <v>48</v>
      </c>
      <c r="C52" s="318">
        <f>'[2]Scheda 48'!H44</f>
        <v/>
      </c>
      <c r="D52" s="319">
        <f>'[2]Scheda 48'!I44</f>
        <v/>
      </c>
      <c r="E52" s="320">
        <f>'[2]Scheda 48'!K44</f>
        <v/>
      </c>
      <c r="F52" s="319">
        <f>'[2]Scheda 48'!O44</f>
        <v/>
      </c>
      <c r="G52" s="319">
        <f>'[2]Scheda 48'!O45</f>
        <v/>
      </c>
      <c r="H52" s="319">
        <f>IF(F52&gt;87,'[2]Scheda 48'!AM$11,"non previsto")</f>
        <v/>
      </c>
      <c r="I52" s="319">
        <f>IF(G52&gt;140,'[2]Scheda 48'!T$41,"non previsto")</f>
        <v/>
      </c>
    </row>
    <row r="53" hidden="1" s="444">
      <c r="A53" s="317">
        <f>'[2]Scheda 49'!$F$8</f>
        <v/>
      </c>
      <c r="B53" s="318" t="n">
        <v>49</v>
      </c>
      <c r="C53" s="318">
        <f>'[2]Scheda 49'!H44</f>
        <v/>
      </c>
      <c r="D53" s="319">
        <f>'[2]Scheda 49'!I44</f>
        <v/>
      </c>
      <c r="E53" s="320">
        <f>'[2]Scheda 49'!K44</f>
        <v/>
      </c>
      <c r="F53" s="319">
        <f>'[2]Scheda 49'!O44</f>
        <v/>
      </c>
      <c r="G53" s="319">
        <f>'[2]Scheda 49'!O45</f>
        <v/>
      </c>
      <c r="H53" s="319">
        <f>IF(F53&gt;87,'[2]Scheda 49'!AM$11,"non previsto")</f>
        <v/>
      </c>
      <c r="I53" s="319">
        <f>IF(G53&gt;140,'[2]Scheda 49'!T$41,"non previsto")</f>
        <v/>
      </c>
    </row>
    <row r="54" hidden="1" s="444">
      <c r="A54" s="317">
        <f>'[2]Scheda 50'!$F$8</f>
        <v/>
      </c>
      <c r="B54" s="318" t="n">
        <v>50</v>
      </c>
      <c r="C54" s="318">
        <f>'[2]Scheda 50'!H44</f>
        <v/>
      </c>
      <c r="D54" s="319">
        <f>'[2]Scheda 50'!I44</f>
        <v/>
      </c>
      <c r="E54" s="320">
        <f>'[2]Scheda 50'!K44</f>
        <v/>
      </c>
      <c r="F54" s="319">
        <f>'[2]Scheda 50'!O44</f>
        <v/>
      </c>
      <c r="G54" s="319">
        <f>'[2]Scheda 50'!O45</f>
        <v/>
      </c>
      <c r="H54" s="319">
        <f>IF(F54&gt;87,'[2]Scheda 50'!AM$11,"non previsto")</f>
        <v/>
      </c>
      <c r="I54" s="319">
        <f>IF(G54&gt;140,'[2]Scheda 50'!T$41,"non previsto")</f>
        <v/>
      </c>
    </row>
    <row r="56">
      <c r="A56" s="452" t="inlineStr">
        <is>
          <t>(*) valutate nella relazione specifica delle vibrazioni.</t>
        </is>
      </c>
    </row>
    <row r="57">
      <c r="A57" s="452" t="inlineStr">
        <is>
          <t>(**) Valore con otoprotettore indossato.</t>
        </is>
      </c>
    </row>
  </sheetData>
  <pageMargins left="0.7086614173228347" right="0.7086614173228347" top="0.7480314960629921" bottom="0.7480314960629921" header="0.3149606299212598" footer="0.3149606299212598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A202"/>
  <sheetViews>
    <sheetView view="pageBreakPreview" zoomScale="70" zoomScaleSheetLayoutView="70" workbookViewId="0">
      <pane xSplit="2" ySplit="4" topLeftCell="C5" activePane="bottomRight" state="frozen"/>
      <selection activeCell="P65" sqref="P65"/>
      <selection pane="topRight" activeCell="P65" sqref="P65"/>
      <selection pane="bottomLeft" activeCell="P65" sqref="P65"/>
      <selection pane="bottomRight" activeCell="I6" sqref="I6:L97"/>
    </sheetView>
  </sheetViews>
  <sheetFormatPr baseColWidth="8" defaultRowHeight="12.75"/>
  <cols>
    <col width="13.85546875" bestFit="1" customWidth="1" style="1" min="1" max="1"/>
    <col width="4.85546875" customWidth="1" style="1" min="2" max="2"/>
    <col width="30.28515625" bestFit="1" customWidth="1" style="1" min="3" max="3"/>
    <col width="15.42578125" customWidth="1" style="1" min="4" max="4"/>
    <col width="15" customWidth="1" style="1" min="5" max="5"/>
    <col width="31.85546875" customWidth="1" style="1" min="6" max="6"/>
    <col width="12.28515625" customWidth="1" style="1" min="7" max="7"/>
    <col width="13.5703125" customWidth="1" style="1" min="8" max="8"/>
    <col width="3.140625" customWidth="1" style="1" min="9" max="10"/>
    <col width="3.42578125" customWidth="1" style="1" min="11" max="11"/>
    <col width="3" customWidth="1" style="1" min="12" max="12"/>
    <col width="9.140625" customWidth="1" style="1" min="13" max="13"/>
    <col width="9.42578125" customWidth="1" style="1" min="14" max="14"/>
    <col width="11.42578125" customWidth="1" style="1" min="15" max="15"/>
    <col width="12.28515625" customWidth="1" style="1" min="16" max="16"/>
    <col width="6.28515625" customWidth="1" style="1" min="17" max="17"/>
    <col width="7.42578125" customWidth="1" style="1" min="18" max="18"/>
    <col width="7.85546875" customWidth="1" style="1" min="19" max="19"/>
    <col width="6.85546875" customWidth="1" style="1" min="20" max="20"/>
    <col hidden="1" width="6.85546875" customWidth="1" style="1" min="21" max="22"/>
    <col width="6.28515625" customWidth="1" style="1" min="23" max="23"/>
    <col width="7.42578125" customWidth="1" style="1" min="24" max="26"/>
    <col width="6.7109375" customWidth="1" style="1" min="27" max="27"/>
    <col width="7" customWidth="1" style="1" min="28" max="30"/>
    <col width="6.28515625" customWidth="1" style="1" min="31" max="31"/>
    <col width="7.42578125" customWidth="1" style="1" min="32" max="32"/>
    <col width="7.85546875" customWidth="1" style="1" min="33" max="33"/>
    <col width="6.85546875" customWidth="1" style="1" min="34" max="34"/>
    <col width="6.28515625" customWidth="1" style="1" min="35" max="35"/>
    <col width="7.42578125" customWidth="1" style="1" min="36" max="38"/>
    <col width="6.7109375" customWidth="1" style="1" min="39" max="39"/>
    <col width="7" customWidth="1" style="1" min="40" max="42"/>
    <col width="14.140625" customWidth="1" style="1" min="43" max="43"/>
    <col width="6.42578125" customWidth="1" style="1" min="44" max="44"/>
    <col width="7" customWidth="1" style="1" min="45" max="45"/>
    <col width="6.140625" customWidth="1" style="1" min="46" max="46"/>
    <col width="17.5703125" customWidth="1" style="1" min="47" max="47"/>
    <col width="13.7109375" customWidth="1" style="1" min="48" max="48"/>
    <col width="10.7109375" customWidth="1" style="1" min="49" max="49"/>
    <col width="18.7109375" customWidth="1" style="1" min="50" max="50"/>
    <col width="14.140625" customWidth="1" style="1" min="51" max="51"/>
    <col width="16.7109375" bestFit="1" customWidth="1" style="1" min="52" max="52"/>
    <col width="16.140625" bestFit="1" customWidth="1" style="1" min="53" max="53"/>
    <col width="12" customWidth="1" style="1" min="54" max="54"/>
    <col width="14.42578125" customWidth="1" style="1" min="55" max="55"/>
    <col width="18.7109375" customWidth="1" style="1" min="56" max="56"/>
    <col width="14.140625" customWidth="1" style="1" min="57" max="57"/>
    <col width="16.7109375" customWidth="1" style="1" min="58" max="58"/>
    <col width="12.42578125" bestFit="1" customWidth="1" style="1" min="59" max="61"/>
    <col width="9.28515625" bestFit="1" customWidth="1" style="1" min="62" max="65"/>
    <col width="15.140625" customWidth="1" style="1" min="66" max="66"/>
    <col width="9.28515625" bestFit="1" customWidth="1" style="1" min="67" max="70"/>
    <col width="14.5703125" customWidth="1" style="1" min="71" max="71"/>
    <col width="12.5703125" customWidth="1" style="1" min="72" max="72"/>
    <col width="9.28515625" bestFit="1" customWidth="1" style="1" min="73" max="73"/>
    <col width="10.140625" bestFit="1" customWidth="1" style="1" min="74" max="74"/>
    <col width="9.28515625" bestFit="1" customWidth="1" style="1" min="75" max="78"/>
    <col width="9.140625" customWidth="1" style="1" min="79" max="16384"/>
  </cols>
  <sheetData>
    <row r="1" ht="24.95" customFormat="1" customHeight="1" s="68">
      <c r="A1" s="301" t="inlineStr">
        <is>
          <t>TITOLO VIII - Capo II del D.Lgs 81/2008
-- VALUTAZIONE DELL'ESPOSIZIONE AD AGENTI FISICI (RUMORE) --
"ALLEGATO 1 - TABELLA MISURE"</t>
        </is>
      </c>
      <c r="B1" s="72" t="n"/>
      <c r="C1" s="453" t="inlineStr">
        <is>
          <t>TITOLO VIII - Capo II del D.Lgs 81/2008
-- VALUTAZIONE DELL'ESPOSIZIONE AD AGENTI FISICI (RUMORE) --
ALLEGATO 1 - TABELLA MISURE (UNI EN ISO 9612:2011 e UNI 9432:2011)</t>
        </is>
      </c>
      <c r="D1" s="454" t="n"/>
      <c r="E1" s="454" t="n"/>
      <c r="F1" s="454" t="n"/>
      <c r="G1" s="454" t="n"/>
      <c r="H1" s="454" t="n"/>
      <c r="I1" s="454" t="n"/>
      <c r="J1" s="454" t="n"/>
      <c r="K1" s="454" t="n"/>
      <c r="L1" s="454" t="n"/>
      <c r="M1" s="454" t="n"/>
      <c r="N1" s="454" t="n"/>
      <c r="O1" s="454" t="n"/>
      <c r="P1" s="454" t="n"/>
      <c r="Q1" s="454" t="n"/>
      <c r="R1" s="454" t="n"/>
      <c r="S1" s="454" t="n"/>
      <c r="T1" s="454" t="n"/>
      <c r="U1" s="454" t="n"/>
      <c r="V1" s="454" t="n"/>
      <c r="W1" s="454" t="n"/>
      <c r="X1" s="454" t="n"/>
      <c r="Y1" s="454" t="n"/>
      <c r="Z1" s="454" t="n"/>
      <c r="AA1" s="454" t="n"/>
      <c r="AB1" s="454" t="n"/>
      <c r="AC1" s="454" t="n"/>
      <c r="AD1" s="454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  <c r="AQ1" s="72" t="n"/>
      <c r="AR1" s="72" t="n"/>
      <c r="AS1" s="72" t="n"/>
      <c r="AT1" s="73" t="n"/>
      <c r="AU1" s="455" t="inlineStr">
        <is>
          <t>Verifica idoneità D.P.I. per sorgente sonora
(anche in conformità all'art. 191. c.1 D.Lgs 81/08)</t>
        </is>
      </c>
      <c r="AV1" s="454" t="n"/>
      <c r="AW1" s="454" t="n"/>
      <c r="AX1" s="454" t="n"/>
      <c r="AY1" s="454" t="n"/>
      <c r="AZ1" s="454" t="n"/>
      <c r="BA1" s="454" t="n"/>
      <c r="BB1" s="454" t="n"/>
      <c r="BC1" s="454" t="n"/>
      <c r="BD1" s="454" t="n"/>
      <c r="BE1" s="454" t="n"/>
      <c r="BF1" s="456" t="n"/>
    </row>
    <row r="2" ht="65.09999999999999" customFormat="1" customHeight="1" s="69">
      <c r="A2" s="74" t="n"/>
      <c r="B2" s="75" t="n"/>
      <c r="C2" s="457" t="n"/>
      <c r="D2" s="457" t="n"/>
      <c r="E2" s="457" t="n"/>
      <c r="F2" s="457" t="n"/>
      <c r="G2" s="457" t="n"/>
      <c r="H2" s="457" t="n"/>
      <c r="I2" s="457" t="n"/>
      <c r="J2" s="457" t="n"/>
      <c r="K2" s="457" t="n"/>
      <c r="L2" s="457" t="n"/>
      <c r="M2" s="457" t="n"/>
      <c r="N2" s="457" t="n"/>
      <c r="O2" s="457" t="n"/>
      <c r="P2" s="457" t="n"/>
      <c r="Q2" s="457" t="n"/>
      <c r="R2" s="457" t="n"/>
      <c r="S2" s="457" t="n"/>
      <c r="T2" s="457" t="n"/>
      <c r="U2" s="457" t="n"/>
      <c r="V2" s="457" t="n"/>
      <c r="W2" s="457" t="n"/>
      <c r="X2" s="457" t="n"/>
      <c r="Y2" s="457" t="n"/>
      <c r="Z2" s="457" t="n"/>
      <c r="AA2" s="457" t="n"/>
      <c r="AB2" s="457" t="n"/>
      <c r="AC2" s="457" t="n"/>
      <c r="AD2" s="457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6" t="n"/>
      <c r="AU2" s="458" t="n"/>
      <c r="AV2" s="457" t="n"/>
      <c r="AW2" s="457" t="n"/>
      <c r="AX2" s="457" t="n"/>
      <c r="AY2" s="457" t="n"/>
      <c r="AZ2" s="457" t="n"/>
      <c r="BA2" s="457" t="n"/>
      <c r="BB2" s="457" t="n"/>
      <c r="BC2" s="457" t="n"/>
      <c r="BD2" s="457" t="n"/>
      <c r="BE2" s="457" t="n"/>
      <c r="BF2" s="459" t="n"/>
    </row>
    <row r="3" ht="57.75" customFormat="1" customHeight="1" s="70">
      <c r="A3" s="340" t="inlineStr">
        <is>
          <t>Cod. PKL.</t>
        </is>
      </c>
      <c r="B3" s="340" t="inlineStr">
        <is>
          <t>ID</t>
        </is>
      </c>
      <c r="C3" s="340" t="inlineStr">
        <is>
          <t>Categoria</t>
        </is>
      </c>
      <c r="D3" s="340" t="inlineStr">
        <is>
          <t>Marca</t>
        </is>
      </c>
      <c r="E3" s="340" t="inlineStr">
        <is>
          <t>Modello</t>
        </is>
      </c>
      <c r="F3" s="340" t="inlineStr">
        <is>
          <t>Lavorazione e caratterisitche macchina attrezzatura</t>
        </is>
      </c>
      <c r="G3" s="340" t="inlineStr">
        <is>
          <t>Data Misurazioni</t>
        </is>
      </c>
      <c r="H3" s="340" t="inlineStr">
        <is>
          <t>Strategia di misura
COMPITO
MANSIONI
GIORNATA</t>
        </is>
      </c>
      <c r="I3" s="340" t="inlineStr">
        <is>
          <t>Tipo di rumore</t>
        </is>
      </c>
      <c r="J3" s="460" t="n"/>
      <c r="K3" s="460" t="n"/>
      <c r="L3" s="461" t="n"/>
      <c r="M3" s="138" t="n"/>
      <c r="N3" s="341" t="inlineStr">
        <is>
          <t>PPEAK(C)
+
U(Lpicco,C)</t>
        </is>
      </c>
      <c r="O3" s="342" t="inlineStr">
        <is>
          <t>LAEQ,Tp</t>
        </is>
      </c>
      <c r="P3" s="343" t="inlineStr">
        <is>
          <t>LCEQ,TP</t>
        </is>
      </c>
      <c r="Q3" s="337" t="inlineStr">
        <is>
          <t>MISURA n°1</t>
        </is>
      </c>
      <c r="R3" s="460" t="n"/>
      <c r="S3" s="460" t="n"/>
      <c r="T3" s="460" t="n"/>
      <c r="U3" s="460" t="n"/>
      <c r="V3" s="461" t="n"/>
      <c r="W3" s="337" t="inlineStr">
        <is>
          <t>MISURA n°2</t>
        </is>
      </c>
      <c r="X3" s="460" t="n"/>
      <c r="Y3" s="460" t="n"/>
      <c r="Z3" s="461" t="n"/>
      <c r="AA3" s="337" t="inlineStr">
        <is>
          <t>MISURA n°3</t>
        </is>
      </c>
      <c r="AB3" s="460" t="n"/>
      <c r="AC3" s="460" t="n"/>
      <c r="AD3" s="461" t="n"/>
      <c r="AE3" s="337" t="inlineStr">
        <is>
          <t>MISURA n°4</t>
        </is>
      </c>
      <c r="AF3" s="460" t="n"/>
      <c r="AG3" s="460" t="n"/>
      <c r="AH3" s="461" t="n"/>
      <c r="AI3" s="337" t="inlineStr">
        <is>
          <t>MISURA n°5</t>
        </is>
      </c>
      <c r="AJ3" s="460" t="n"/>
      <c r="AK3" s="460" t="n"/>
      <c r="AL3" s="461" t="n"/>
      <c r="AM3" s="337" t="inlineStr">
        <is>
          <t>MISURA n°6</t>
        </is>
      </c>
      <c r="AN3" s="460" t="n"/>
      <c r="AO3" s="460" t="n"/>
      <c r="AP3" s="461" t="n"/>
      <c r="AQ3" s="338" t="inlineStr">
        <is>
          <t>Necessità di perimetrazione dell'area</t>
        </is>
      </c>
      <c r="AR3" s="339" t="inlineStr">
        <is>
          <t>T max
Inf.</t>
        </is>
      </c>
      <c r="AS3" s="328" t="inlineStr">
        <is>
          <t>T max
Sup.</t>
        </is>
      </c>
      <c r="AT3" s="330" t="inlineStr">
        <is>
          <t>T max
Lim.</t>
        </is>
      </c>
      <c r="AU3" s="157">
        <f>'DPI art.191'!B2</f>
        <v/>
      </c>
      <c r="AV3" s="158">
        <f>'DPI art.191'!C2</f>
        <v/>
      </c>
      <c r="AW3" s="158">
        <f>'DPI art.191'!D2</f>
        <v/>
      </c>
      <c r="AX3" s="159">
        <f>'DPI art.191'!B4</f>
        <v/>
      </c>
      <c r="AY3" s="154">
        <f>'DPI art.191'!C4</f>
        <v/>
      </c>
      <c r="AZ3" s="160">
        <f>'DPI art.191'!D4</f>
        <v/>
      </c>
      <c r="BA3" s="159">
        <f>'DPI art.191'!B6</f>
        <v/>
      </c>
      <c r="BB3" s="154">
        <f>'DPI art.191'!C6</f>
        <v/>
      </c>
      <c r="BC3" s="160">
        <f>'DPI art.191'!D6</f>
        <v/>
      </c>
      <c r="BD3" s="159">
        <f>'DPI art.191'!B8</f>
        <v/>
      </c>
      <c r="BE3" s="154">
        <f>'DPI art.191'!C8</f>
        <v/>
      </c>
      <c r="BF3" s="160">
        <f>'DPI art.191'!D8</f>
        <v/>
      </c>
      <c r="BG3" s="333" t="inlineStr">
        <is>
          <t>Esponenziale Lp,A,eq,tm</t>
        </is>
      </c>
      <c r="BH3" s="454" t="n"/>
      <c r="BI3" s="454" t="n"/>
      <c r="BJ3" s="454" t="n"/>
      <c r="BK3" s="454" t="n"/>
      <c r="BL3" s="456" t="n"/>
      <c r="BM3" s="462" t="inlineStr">
        <is>
          <t>Differenza
Leq medio - Leq,i</t>
        </is>
      </c>
      <c r="BN3" s="454" t="n"/>
      <c r="BO3" s="454" t="n"/>
      <c r="BP3" s="454" t="n"/>
      <c r="BQ3" s="454" t="n"/>
      <c r="BR3" s="456" t="n"/>
      <c r="BS3" s="80" t="n"/>
      <c r="BU3" s="462" t="inlineStr">
        <is>
          <t>Quadrati degli scarti Leq medio  - Leq,i</t>
        </is>
      </c>
      <c r="BV3" s="454" t="n"/>
      <c r="BW3" s="454" t="n"/>
      <c r="BX3" s="454" t="n"/>
      <c r="BY3" s="454" t="n"/>
      <c r="BZ3" s="456" t="n"/>
    </row>
    <row r="4" ht="22.5" customFormat="1" customHeight="1" s="70" thickBot="1">
      <c r="A4" s="463" t="n"/>
      <c r="B4" s="463" t="n"/>
      <c r="C4" s="463" t="n"/>
      <c r="D4" s="463" t="n"/>
      <c r="E4" s="463" t="n"/>
      <c r="F4" s="463" t="n"/>
      <c r="G4" s="463" t="n"/>
      <c r="H4" s="463" t="n"/>
      <c r="I4" s="340" t="inlineStr">
        <is>
          <t>I</t>
        </is>
      </c>
      <c r="J4" s="340" t="inlineStr">
        <is>
          <t>F</t>
        </is>
      </c>
      <c r="K4" s="340" t="inlineStr">
        <is>
          <t>S</t>
        </is>
      </c>
      <c r="L4" s="340" t="inlineStr">
        <is>
          <t>C</t>
        </is>
      </c>
      <c r="M4" s="150" t="inlineStr">
        <is>
          <t>U1a,m</t>
        </is>
      </c>
      <c r="N4" s="459" t="n"/>
      <c r="O4" s="463" t="n"/>
      <c r="P4" s="463" t="n"/>
      <c r="Q4" s="139" t="inlineStr">
        <is>
          <t>Sec.</t>
        </is>
      </c>
      <c r="R4" s="161" t="inlineStr">
        <is>
          <t xml:space="preserve">LAeq,T </t>
        </is>
      </c>
      <c r="S4" s="162" t="inlineStr">
        <is>
          <t xml:space="preserve">LCeq,T </t>
        </is>
      </c>
      <c r="T4" s="163" t="inlineStr">
        <is>
          <t>Lpicco,C</t>
        </is>
      </c>
      <c r="U4" s="164" t="inlineStr">
        <is>
          <t>LAS(t)</t>
        </is>
      </c>
      <c r="V4" s="165" t="inlineStr">
        <is>
          <t>LAeq,I,T</t>
        </is>
      </c>
      <c r="W4" s="139" t="inlineStr">
        <is>
          <t>Sec.</t>
        </is>
      </c>
      <c r="X4" s="161" t="inlineStr">
        <is>
          <t xml:space="preserve">LAeq,T </t>
        </is>
      </c>
      <c r="Y4" s="162" t="inlineStr">
        <is>
          <t xml:space="preserve">LCeq,T </t>
        </is>
      </c>
      <c r="Z4" s="163" t="inlineStr">
        <is>
          <t>Lpicco,C</t>
        </is>
      </c>
      <c r="AA4" s="139" t="inlineStr">
        <is>
          <t>Sec.</t>
        </is>
      </c>
      <c r="AB4" s="161" t="inlineStr">
        <is>
          <t xml:space="preserve">LAeq,T </t>
        </is>
      </c>
      <c r="AC4" s="162" t="inlineStr">
        <is>
          <t xml:space="preserve">LCeq,T </t>
        </is>
      </c>
      <c r="AD4" s="163" t="inlineStr">
        <is>
          <t>Lpicco,C</t>
        </is>
      </c>
      <c r="AE4" s="139" t="inlineStr">
        <is>
          <t>Sec.</t>
        </is>
      </c>
      <c r="AF4" s="161" t="inlineStr">
        <is>
          <t xml:space="preserve">LAeq,T </t>
        </is>
      </c>
      <c r="AG4" s="162" t="inlineStr">
        <is>
          <t xml:space="preserve">LCeq,T </t>
        </is>
      </c>
      <c r="AH4" s="163" t="inlineStr">
        <is>
          <t>Lpicco,C</t>
        </is>
      </c>
      <c r="AI4" s="139" t="inlineStr">
        <is>
          <t>Sec.</t>
        </is>
      </c>
      <c r="AJ4" s="161" t="inlineStr">
        <is>
          <t xml:space="preserve">LAeq,T </t>
        </is>
      </c>
      <c r="AK4" s="162" t="inlineStr">
        <is>
          <t xml:space="preserve">LCeq,T </t>
        </is>
      </c>
      <c r="AL4" s="163" t="inlineStr">
        <is>
          <t>Lpicco,C</t>
        </is>
      </c>
      <c r="AM4" s="139" t="inlineStr">
        <is>
          <t>Sec.</t>
        </is>
      </c>
      <c r="AN4" s="161" t="inlineStr">
        <is>
          <t xml:space="preserve">LAeq,T </t>
        </is>
      </c>
      <c r="AO4" s="162" t="inlineStr">
        <is>
          <t xml:space="preserve">LCeq,T </t>
        </is>
      </c>
      <c r="AP4" s="163" t="inlineStr">
        <is>
          <t>Lpicco,C</t>
        </is>
      </c>
      <c r="AQ4" s="463" t="n"/>
      <c r="AR4" s="463" t="n"/>
      <c r="AS4" s="463" t="n"/>
      <c r="AT4" s="458" t="n"/>
      <c r="AU4" s="152" t="inlineStr">
        <is>
          <t>PNR</t>
        </is>
      </c>
      <c r="AV4" s="153" t="inlineStr">
        <is>
          <t>L'Aeq,T</t>
        </is>
      </c>
      <c r="AW4" s="155" t="inlineStr">
        <is>
          <t>Picco</t>
        </is>
      </c>
      <c r="AX4" s="152" t="inlineStr">
        <is>
          <t>PNR</t>
        </is>
      </c>
      <c r="AY4" s="153" t="inlineStr">
        <is>
          <t>L'Aeq,T</t>
        </is>
      </c>
      <c r="AZ4" s="155" t="inlineStr">
        <is>
          <t>Picco</t>
        </is>
      </c>
      <c r="BA4" s="152" t="inlineStr">
        <is>
          <t>PNR</t>
        </is>
      </c>
      <c r="BB4" s="153" t="inlineStr">
        <is>
          <t>L'Aeq,T</t>
        </is>
      </c>
      <c r="BC4" s="155" t="inlineStr">
        <is>
          <t>Picco</t>
        </is>
      </c>
      <c r="BD4" s="152" t="inlineStr">
        <is>
          <t>PNR</t>
        </is>
      </c>
      <c r="BE4" s="153" t="inlineStr">
        <is>
          <t>L'Aeq,T</t>
        </is>
      </c>
      <c r="BF4" s="155" t="inlineStr">
        <is>
          <t>Picco</t>
        </is>
      </c>
      <c r="BG4" s="156" t="n">
        <v>1</v>
      </c>
      <c r="BH4" s="134" t="n">
        <v>2</v>
      </c>
      <c r="BI4" s="134" t="n">
        <v>3</v>
      </c>
      <c r="BJ4" s="134" t="n">
        <v>4</v>
      </c>
      <c r="BK4" s="134" t="n">
        <v>5</v>
      </c>
      <c r="BL4" s="134" t="n">
        <v>6</v>
      </c>
      <c r="BM4" s="134" t="n">
        <v>1</v>
      </c>
      <c r="BN4" s="134" t="n">
        <v>2</v>
      </c>
      <c r="BO4" s="134" t="n">
        <v>3</v>
      </c>
      <c r="BP4" s="134" t="n">
        <v>4</v>
      </c>
      <c r="BQ4" s="134" t="n">
        <v>5</v>
      </c>
      <c r="BR4" s="134" t="n">
        <v>6</v>
      </c>
      <c r="BS4" s="397" t="inlineStr">
        <is>
          <t>N°campioni</t>
        </is>
      </c>
      <c r="BT4" s="397" t="inlineStr">
        <is>
          <t>U1a (I terrm.)</t>
        </is>
      </c>
      <c r="BU4" s="134" t="n">
        <v>1</v>
      </c>
      <c r="BV4" s="134" t="n">
        <v>2</v>
      </c>
      <c r="BW4" s="134" t="n">
        <v>3</v>
      </c>
      <c r="BX4" s="134" t="n">
        <v>4</v>
      </c>
      <c r="BY4" s="134" t="n">
        <v>5</v>
      </c>
      <c r="BZ4" s="134" t="n">
        <v>6</v>
      </c>
      <c r="CA4" s="80" t="n"/>
    </row>
    <row r="5" ht="6.75" customFormat="1" customHeight="1" s="261">
      <c r="A5" s="244" t="n"/>
      <c r="B5" s="244" t="inlineStr">
        <is>
          <t>⌂</t>
        </is>
      </c>
      <c r="C5" s="245" t="n"/>
      <c r="D5" s="246" t="n"/>
      <c r="E5" s="246" t="n"/>
      <c r="F5" s="247" t="n"/>
      <c r="G5" s="245" t="n"/>
      <c r="H5" s="245" t="n"/>
      <c r="I5" s="245" t="n"/>
      <c r="J5" s="245" t="n"/>
      <c r="K5" s="245" t="n"/>
      <c r="L5" s="245" t="n"/>
      <c r="M5" s="248" t="n"/>
      <c r="N5" s="249" t="n"/>
      <c r="O5" s="250" t="n"/>
      <c r="P5" s="251" t="n"/>
      <c r="Q5" s="252" t="n"/>
      <c r="R5" s="252" t="n"/>
      <c r="S5" s="252" t="n"/>
      <c r="T5" s="252" t="n"/>
      <c r="U5" s="222" t="n"/>
      <c r="V5" s="222" t="n"/>
      <c r="W5" s="253" t="n"/>
      <c r="X5" s="252" t="n"/>
      <c r="Y5" s="252" t="n"/>
      <c r="Z5" s="252" t="n"/>
      <c r="AA5" s="253" t="n"/>
      <c r="AB5" s="252" t="n"/>
      <c r="AC5" s="252" t="n"/>
      <c r="AD5" s="252" t="n"/>
      <c r="AE5" s="252" t="n"/>
      <c r="AF5" s="252" t="n"/>
      <c r="AG5" s="252" t="n"/>
      <c r="AH5" s="252" t="n"/>
      <c r="AI5" s="253" t="n"/>
      <c r="AJ5" s="252" t="n"/>
      <c r="AK5" s="252" t="n"/>
      <c r="AL5" s="252" t="n"/>
      <c r="AM5" s="253" t="n"/>
      <c r="AN5" s="252" t="n"/>
      <c r="AO5" s="252" t="n"/>
      <c r="AP5" s="252" t="n"/>
      <c r="AQ5" s="254" t="n"/>
      <c r="AR5" s="254" t="n"/>
      <c r="AS5" s="254" t="n"/>
      <c r="AT5" s="255" t="n"/>
      <c r="AU5" s="256" t="n"/>
      <c r="AV5" s="257" t="n"/>
      <c r="AW5" s="257" t="n"/>
      <c r="AX5" s="256" t="n"/>
      <c r="AY5" s="257" t="n"/>
      <c r="AZ5" s="257" t="n"/>
      <c r="BA5" s="256" t="n"/>
      <c r="BB5" s="257" t="n"/>
      <c r="BC5" s="257" t="n"/>
      <c r="BD5" s="256" t="n"/>
      <c r="BE5" s="257" t="n"/>
      <c r="BF5" s="257" t="n"/>
      <c r="BG5" s="258" t="n"/>
      <c r="BH5" s="259" t="n"/>
      <c r="BI5" s="259" t="n"/>
      <c r="BJ5" s="259" t="n"/>
      <c r="BK5" s="259" t="n"/>
      <c r="BL5" s="259" t="n"/>
      <c r="BM5" s="259" t="n"/>
      <c r="BN5" s="259" t="n"/>
      <c r="BO5" s="259" t="n"/>
      <c r="BP5" s="259" t="n"/>
      <c r="BQ5" s="259" t="n"/>
      <c r="BR5" s="259" t="n"/>
      <c r="BS5" s="260" t="n"/>
      <c r="BT5" s="260" t="n"/>
      <c r="BU5" s="259" t="n"/>
      <c r="BV5" s="259" t="n"/>
      <c r="BW5" s="259" t="n"/>
      <c r="BX5" s="259" t="n"/>
      <c r="BY5" s="259" t="n"/>
      <c r="BZ5" s="259" t="n"/>
    </row>
    <row r="6" ht="18.75" customHeight="1" s="444">
      <c r="A6" s="340" t="inlineStr">
        <is>
          <t>Gualdo 1</t>
        </is>
      </c>
      <c r="B6" s="65" t="inlineStr">
        <is>
          <t>W1</t>
        </is>
      </c>
      <c r="C6" s="78" t="inlineStr">
        <is>
          <t>Fresa diritta</t>
        </is>
      </c>
      <c r="D6" s="83" t="inlineStr">
        <is>
          <t>URYU</t>
        </is>
      </c>
      <c r="E6" s="83" t="inlineStr">
        <is>
          <t>UG-65</t>
        </is>
      </c>
      <c r="F6" s="192" t="inlineStr">
        <is>
          <t>Molatura con mola assiale</t>
        </is>
      </c>
      <c r="G6" s="71" t="n">
        <v>45996</v>
      </c>
      <c r="H6" s="77" t="inlineStr">
        <is>
          <t>Compito</t>
        </is>
      </c>
      <c r="I6" s="77">
        <f>IF((V6-R6)&gt;3,"SI","")</f>
        <v/>
      </c>
      <c r="J6" s="77" t="inlineStr">
        <is>
          <t>SI</t>
        </is>
      </c>
      <c r="K6" s="77" t="n"/>
      <c r="L6" s="77" t="n"/>
      <c r="M6" s="137">
        <f>IF(R6&gt;0,(SQRT(BT6*(SUM(BU6:BZ6)))),"")</f>
        <v/>
      </c>
      <c r="N6" s="4">
        <f>IF(T6&gt;0,(MAX(T6,Z6,AD6,AH6,AL6,AP6))+SQRT(1.2^2+1^2),"")</f>
        <v/>
      </c>
      <c r="O6" s="3">
        <f>IF(R6="",0,10*LOG10(SUM(BG6:BL6)/(COUNT(R6,X6,AB6,AF6,AJ6,AN6))))</f>
        <v/>
      </c>
      <c r="P6" s="5">
        <f>IF(AND(Y6="",AC6="",AG6="",AK6="",AO6=""),S6,AVERAGE(S6,Y6,AC6,AG6,AK6,AO6)+STDEV(S6,Y6,AC6,AG6,AK6,AO6))</f>
        <v/>
      </c>
      <c r="Q6" s="14" t="n">
        <v>300</v>
      </c>
      <c r="R6" s="11" t="n">
        <v>98.59999999999999</v>
      </c>
      <c r="S6" s="12" t="n">
        <v>98.3</v>
      </c>
      <c r="T6" s="13" t="n">
        <v>120.7</v>
      </c>
      <c r="U6" s="79" t="n"/>
      <c r="V6" s="79" t="n"/>
      <c r="W6" s="10" t="n">
        <v>300</v>
      </c>
      <c r="X6" s="11" t="n">
        <v>98.59999999999999</v>
      </c>
      <c r="Y6" s="12" t="n">
        <v>97.8</v>
      </c>
      <c r="Z6" s="13" t="n">
        <v>119.4</v>
      </c>
      <c r="AA6" s="10" t="n">
        <v>300</v>
      </c>
      <c r="AB6" s="11" t="n">
        <v>98.09999999999999</v>
      </c>
      <c r="AC6" s="12" t="n">
        <v>96.90000000000001</v>
      </c>
      <c r="AD6" s="13" t="n">
        <v>117.8</v>
      </c>
      <c r="AE6" s="14" t="n">
        <v>300</v>
      </c>
      <c r="AF6" s="11" t="n">
        <v>93.7</v>
      </c>
      <c r="AG6" s="12" t="n">
        <v>93.09999999999999</v>
      </c>
      <c r="AH6" s="13" t="n">
        <v>117.2</v>
      </c>
      <c r="AI6" s="10" t="n">
        <v>300</v>
      </c>
      <c r="AJ6" s="11" t="n">
        <v>100.3</v>
      </c>
      <c r="AK6" s="12" t="n">
        <v>99.2</v>
      </c>
      <c r="AL6" s="13" t="n">
        <v>116</v>
      </c>
      <c r="AM6" s="10" t="n">
        <v>300</v>
      </c>
      <c r="AN6" s="11" t="n">
        <v>96.8</v>
      </c>
      <c r="AO6" s="12" t="n">
        <v>95.59999999999999</v>
      </c>
      <c r="AP6" s="13" t="n">
        <v>120.8</v>
      </c>
      <c r="AQ6" s="6">
        <f>IF(AND((O6)&lt;85,N6&lt;137),"NO","SI")</f>
        <v/>
      </c>
      <c r="AR6" s="7">
        <f>IF((480*(10^(7.95-(O6/10))))&lt;480,480*(10^(7.95-(O6/10))),480)</f>
        <v/>
      </c>
      <c r="AS6" s="8">
        <f>IF((480*(10^(8.45-(O6/10))))&lt;480,480*(10^(8.45-(O6/10))),480)</f>
        <v/>
      </c>
      <c r="AT6" s="9">
        <f>IF((480*(10^(8.65-(O6/10))))&lt;480,480*(10^(8.65-(O6/10))),480)</f>
        <v/>
      </c>
      <c r="AU6" s="151">
        <f>IF(O6&lt;80,"0",IF((P6-O6)&lt;=2,('DPI art.191'!$G$3-(('DPI art.191'!$F$3-'DPI art.191'!$G$3)/4)*(P6-O6-2)),('DPI art.191'!$G$3-(('DPI art.191'!$F$3-'DPI art.191'!$H$3)/8)*(P6-O6-2))))</f>
        <v/>
      </c>
      <c r="AV6" s="24">
        <f>O6-AU6</f>
        <v/>
      </c>
      <c r="AW6" s="24">
        <f>IF(N6&lt;135,N6,N6-'DPI art.191'!$I$3)</f>
        <v/>
      </c>
      <c r="AX6" s="111">
        <f>IF(I6&lt;80,"0",IF((J6-I6)&lt;=2,('DPI art.191'!$G$7-(('DPI art.191'!$F$7-'DPI art.191'!$G$7)/4)*(I6-J6-2)),('DPI art.191'!$G$7-(('DPI art.191'!$G$7-'DPI art.191'!$H$7)/8)*(J6-I6-2))))</f>
        <v/>
      </c>
      <c r="AY6" s="24">
        <f>I6-AX6</f>
        <v/>
      </c>
      <c r="AZ6" s="24">
        <f>IF(H6&lt;135,H6,H6-'DPI art.191'!$I$7)</f>
        <v/>
      </c>
      <c r="BA6" s="111">
        <f>IF(O6&lt;80,"0",IF((P6-O6)&lt;=2,('DPI art.191'!$G$5-(('DPI art.191'!$F$5-'DPI art.191'!$G$5)/4)*(P6-O6-2)),('DPI art.191'!$G$5-(('DPI art.191'!$G$5-'DPI art.191'!$H$5)/8)*(P6-O6-2))))</f>
        <v/>
      </c>
      <c r="BB6" s="24">
        <f>R6-BA6</f>
        <v/>
      </c>
      <c r="BC6" s="24">
        <f>IF(N6&lt;135,N6,N6-'DPI art.191'!$I$5)</f>
        <v/>
      </c>
      <c r="BD6" s="111">
        <f>IF(O6&lt;80,"0",IF((P6-O6)&lt;=2,('DPI art.191'!$G$7-(('DPI art.191'!$F$7-'DPI art.191'!$G$7)/4)*(O6-P6-2)),('DPI art.191'!$G$7-(('DPI art.191'!$G$7-'DPI art.191'!$H$7)/8)*(P6-O6-2))))</f>
        <v/>
      </c>
      <c r="BE6" s="24">
        <f>O6-BD6</f>
        <v/>
      </c>
      <c r="BF6" s="24">
        <f>IF(N6&lt;135,N6,N6-'DPI art.191'!$I$7)</f>
        <v/>
      </c>
      <c r="BG6" s="108">
        <f>10^(0.1*R6)</f>
        <v/>
      </c>
      <c r="BH6" s="108">
        <f>10^(0.1*X6)</f>
        <v/>
      </c>
      <c r="BI6" s="108">
        <f>10^(0.1*AB6)</f>
        <v/>
      </c>
      <c r="BJ6" s="108">
        <f>10^(0.1*AF6)</f>
        <v/>
      </c>
      <c r="BK6" s="108">
        <f>10^(0.1*AJ6)</f>
        <v/>
      </c>
      <c r="BL6" s="108">
        <f>10^(0.1*AN6)</f>
        <v/>
      </c>
      <c r="BM6" s="106">
        <f>IF(R6&gt;0,(O6-R6),"")</f>
        <v/>
      </c>
      <c r="BN6" s="106">
        <f>IF(X6&gt;0,(O6-X6),"")</f>
        <v/>
      </c>
      <c r="BO6" s="106">
        <f>IF(AB6&gt;0,(O6-AB6),"")</f>
        <v/>
      </c>
      <c r="BP6" s="106">
        <f>IF(AF6&gt;0,(O6-AF6),"")</f>
        <v/>
      </c>
      <c r="BQ6" s="106">
        <f>IF(AJ6&gt;0,(O6-AJ6),"")</f>
        <v/>
      </c>
      <c r="BR6" s="106">
        <f>IF(AN6&gt;0,(O6-AN6),"")</f>
        <v/>
      </c>
      <c r="BS6" s="106">
        <f>COUNT(BM6:BR6)</f>
        <v/>
      </c>
      <c r="BT6" s="464">
        <f>IF(BS6=0,0,IF(BS6=1,0,1/(BS6*(BS6-1))))</f>
        <v/>
      </c>
      <c r="BU6" s="136">
        <f>IF(R6&gt;0,(BM6^2),"")</f>
        <v/>
      </c>
      <c r="BV6" s="136">
        <f>IF(X6&gt;0,(BN6^2),"")</f>
        <v/>
      </c>
      <c r="BW6" s="136">
        <f>IF(AB6&gt;0,(BO6^2),"")</f>
        <v/>
      </c>
      <c r="BX6" s="136">
        <f>IF(AF6&gt;0,(BP6^2),"")</f>
        <v/>
      </c>
      <c r="BY6" s="136">
        <f>IF(AJ6&gt;0,(BQ6^2),"")</f>
        <v/>
      </c>
      <c r="BZ6" s="136">
        <f>IF(AN6&gt;0,(BR6^2),"")</f>
        <v/>
      </c>
    </row>
    <row r="7" ht="51" customHeight="1" s="444">
      <c r="A7" s="340" t="inlineStr">
        <is>
          <t>024/B/PRS767</t>
        </is>
      </c>
      <c r="B7" s="65" t="inlineStr">
        <is>
          <t>W2</t>
        </is>
      </c>
      <c r="C7" s="78" t="inlineStr">
        <is>
          <t>Saldatrice a filo</t>
        </is>
      </c>
      <c r="D7" s="83" t="inlineStr">
        <is>
          <t>MILLER</t>
        </is>
      </c>
      <c r="E7" s="83" t="inlineStr">
        <is>
          <t>Pipeworx 400 Power - Pipeworx Dual Bench Feeder</t>
        </is>
      </c>
      <c r="F7" s="192" t="inlineStr">
        <is>
          <t>Saldatura</t>
        </is>
      </c>
      <c r="G7" s="71" t="n">
        <v>45996</v>
      </c>
      <c r="H7" s="77" t="inlineStr">
        <is>
          <t>Compito</t>
        </is>
      </c>
      <c r="I7" s="77">
        <f>IF((V7-R7)&gt;3,"SI","")</f>
        <v/>
      </c>
      <c r="J7" s="77" t="inlineStr">
        <is>
          <t>SI</t>
        </is>
      </c>
      <c r="K7" s="77" t="n"/>
      <c r="L7" s="77" t="n"/>
      <c r="M7" s="137">
        <f>IF(R7&gt;0,(SQRT(BT7*(SUM(BU7:BZ7)))),"")</f>
        <v/>
      </c>
      <c r="N7" s="4">
        <f>IF(T7&gt;0,(MAX(T7,Z7,AD7,AH7,AL7,AP7))+SQRT(1.2^2+1^2),"")</f>
        <v/>
      </c>
      <c r="O7" s="3">
        <f>IF(R7="",0,10*LOG10(SUM(BG7:BL7)/(COUNT(R7,X7,AB7,AF7,AJ7,AN7))))</f>
        <v/>
      </c>
      <c r="P7" s="5">
        <f>IF(AND(Y7="",AC7="",AG7="",AK7="",AO7=""),S7,AVERAGE(S7,Y7,AC7,AG7,AK7,AO7)+STDEV(S7,Y7,AC7,AG7,AK7,AO7))</f>
        <v/>
      </c>
      <c r="Q7" s="14" t="n">
        <v>300</v>
      </c>
      <c r="R7" s="11" t="n">
        <v>88.7</v>
      </c>
      <c r="S7" s="12" t="n">
        <v>87.90000000000001</v>
      </c>
      <c r="T7" s="13" t="n">
        <v>118.3</v>
      </c>
      <c r="U7" s="79" t="n"/>
      <c r="V7" s="79" t="n"/>
      <c r="W7" s="10" t="n">
        <v>300</v>
      </c>
      <c r="X7" s="11" t="n">
        <v>91.90000000000001</v>
      </c>
      <c r="Y7" s="12" t="n">
        <v>91.40000000000001</v>
      </c>
      <c r="Z7" s="13" t="n">
        <v>116.7</v>
      </c>
      <c r="AA7" s="10" t="n">
        <v>300</v>
      </c>
      <c r="AB7" s="11" t="n">
        <v>80.5</v>
      </c>
      <c r="AC7" s="12" t="n">
        <v>82.8</v>
      </c>
      <c r="AD7" s="13" t="n">
        <v>113.7</v>
      </c>
      <c r="AE7" s="14" t="n">
        <v>300</v>
      </c>
      <c r="AF7" s="11" t="n">
        <v>90.3</v>
      </c>
      <c r="AG7" s="12" t="n">
        <v>90.3</v>
      </c>
      <c r="AH7" s="13" t="n">
        <v>117.7</v>
      </c>
      <c r="AI7" s="10" t="n">
        <v>300</v>
      </c>
      <c r="AJ7" s="11" t="n">
        <v>93.40000000000001</v>
      </c>
      <c r="AK7" s="12" t="n">
        <v>92.7</v>
      </c>
      <c r="AL7" s="13" t="n">
        <v>117.5</v>
      </c>
      <c r="AM7" s="10" t="n">
        <v>300</v>
      </c>
      <c r="AN7" s="11" t="n">
        <v>98</v>
      </c>
      <c r="AO7" s="12" t="n">
        <v>96.59999999999999</v>
      </c>
      <c r="AP7" s="13" t="n">
        <v>122.9</v>
      </c>
      <c r="AQ7" s="6">
        <f>IF(AND((O7)&lt;85,N7&lt;137),"NO","SI")</f>
        <v/>
      </c>
      <c r="AR7" s="7">
        <f>IF((480*(10^(7.95-(O7/10))))&lt;480,480*(10^(7.95-(O7/10))),480)</f>
        <v/>
      </c>
      <c r="AS7" s="8">
        <f>IF((480*(10^(8.45-(O7/10))))&lt;480,480*(10^(8.45-(O7/10))),480)</f>
        <v/>
      </c>
      <c r="AT7" s="9">
        <f>IF((480*(10^(8.65-(O7/10))))&lt;480,480*(10^(8.65-(O7/10))),480)</f>
        <v/>
      </c>
      <c r="AU7" s="151">
        <f>IF(O7&lt;80,"0",IF((P7-O7)&lt;=2,('DPI art.191'!$G$3-(('DPI art.191'!$F$3-'DPI art.191'!$G$3)/4)*(P7-O7-2)),('DPI art.191'!$G$3-(('DPI art.191'!$F$3-'DPI art.191'!$H$3)/8)*(P7-O7-2))))</f>
        <v/>
      </c>
      <c r="AV7" s="24">
        <f>O7-AU7</f>
        <v/>
      </c>
      <c r="AW7" s="24">
        <f>IF(N7&lt;135,N7,N7-'DPI art.191'!$I$3)</f>
        <v/>
      </c>
      <c r="AX7" s="111">
        <f>IF(I7&lt;80,"0",IF((J7-I7)&lt;=2,('DPI art.191'!$G$7-(('DPI art.191'!$F$7-'DPI art.191'!$G$7)/4)*(I7-J7-2)),('DPI art.191'!$G$7-(('DPI art.191'!$G$7-'DPI art.191'!$H$7)/8)*(J7-I7-2))))</f>
        <v/>
      </c>
      <c r="AY7" s="24">
        <f>I7-AX7</f>
        <v/>
      </c>
      <c r="AZ7" s="24">
        <f>IF(H7&lt;135,H7,H7-'DPI art.191'!$I$7)</f>
        <v/>
      </c>
      <c r="BA7" s="111">
        <f>IF(O7&lt;80,"0",IF((P7-O7)&lt;=2,('DPI art.191'!$G$5-(('DPI art.191'!$F$5-'DPI art.191'!$G$5)/4)*(P7-O7-2)),('DPI art.191'!$G$5-(('DPI art.191'!$G$5-'DPI art.191'!$H$5)/8)*(P7-O7-2))))</f>
        <v/>
      </c>
      <c r="BB7" s="24">
        <f>R7-BA7</f>
        <v/>
      </c>
      <c r="BC7" s="24">
        <f>IF(N7&lt;135,N7,N7-'DPI art.191'!$I$5)</f>
        <v/>
      </c>
      <c r="BD7" s="111">
        <f>IF(O7&lt;80,"0",IF((P7-O7)&lt;=2,('DPI art.191'!$G$7-(('DPI art.191'!$F$7-'DPI art.191'!$G$7)/4)*(O7-P7-2)),('DPI art.191'!$G$7-(('DPI art.191'!$G$7-'DPI art.191'!$H$7)/8)*(P7-O7-2))))</f>
        <v/>
      </c>
      <c r="BE7" s="24">
        <f>O7-BD7</f>
        <v/>
      </c>
      <c r="BF7" s="24">
        <f>IF(N7&lt;135,N7,N7-'DPI art.191'!$I$7)</f>
        <v/>
      </c>
      <c r="BG7" s="108">
        <f>10^(0.1*R7)</f>
        <v/>
      </c>
      <c r="BH7" s="108">
        <f>10^(0.1*X7)</f>
        <v/>
      </c>
      <c r="BI7" s="108">
        <f>10^(0.1*AB7)</f>
        <v/>
      </c>
      <c r="BJ7" s="108">
        <f>10^(0.1*AF7)</f>
        <v/>
      </c>
      <c r="BK7" s="108">
        <f>10^(0.1*AJ7)</f>
        <v/>
      </c>
      <c r="BL7" s="108">
        <f>10^(0.1*AN7)</f>
        <v/>
      </c>
      <c r="BM7" s="106">
        <f>IF(R7&gt;0,(O7-R7),"")</f>
        <v/>
      </c>
      <c r="BN7" s="106">
        <f>IF(X7&gt;0,(O7-X7),"")</f>
        <v/>
      </c>
      <c r="BO7" s="106">
        <f>IF(AB7&gt;0,(O7-AB7),"")</f>
        <v/>
      </c>
      <c r="BP7" s="106">
        <f>IF(AF7&gt;0,(O7-AF7),"")</f>
        <v/>
      </c>
      <c r="BQ7" s="106">
        <f>IF(AJ7&gt;0,(O7-AJ7),"")</f>
        <v/>
      </c>
      <c r="BR7" s="106">
        <f>IF(AN7&gt;0,(O7-AN7),"")</f>
        <v/>
      </c>
      <c r="BS7" s="106">
        <f>COUNT(BM7:BR7)</f>
        <v/>
      </c>
      <c r="BT7" s="464">
        <f>IF(BS7=0,0,IF(BS7=1,0,1/(BS7*(BS7-1))))</f>
        <v/>
      </c>
      <c r="BU7" s="136">
        <f>IF(R7&gt;0,(BM7^2),"")</f>
        <v/>
      </c>
      <c r="BV7" s="136">
        <f>IF(X7&gt;0,(BN7^2),"")</f>
        <v/>
      </c>
      <c r="BW7" s="136">
        <f>IF(AB7&gt;0,(BO7^2),"")</f>
        <v/>
      </c>
      <c r="BX7" s="136">
        <f>IF(AF7&gt;0,(BP7^2),"")</f>
        <v/>
      </c>
      <c r="BY7" s="136">
        <f>IF(AJ7&gt;0,(BQ7^2),"")</f>
        <v/>
      </c>
      <c r="BZ7" s="136">
        <f>IF(AN7&gt;0,(BR7^2),"")</f>
        <v/>
      </c>
    </row>
    <row r="8" ht="18.75" customHeight="1" s="444">
      <c r="A8" s="340" t="inlineStr">
        <is>
          <t>017/1241</t>
        </is>
      </c>
      <c r="B8" s="65" t="inlineStr">
        <is>
          <t>W3</t>
        </is>
      </c>
      <c r="C8" s="78" t="inlineStr">
        <is>
          <t>Mola piccola</t>
        </is>
      </c>
      <c r="D8" s="83" t="inlineStr">
        <is>
          <t>FEIN</t>
        </is>
      </c>
      <c r="E8" s="83" t="inlineStr">
        <is>
          <t>GC17</t>
        </is>
      </c>
      <c r="F8" s="192" t="inlineStr">
        <is>
          <t>Molatura con mola piccola</t>
        </is>
      </c>
      <c r="G8" s="71" t="n">
        <v>45996</v>
      </c>
      <c r="H8" s="77" t="inlineStr">
        <is>
          <t>Compito</t>
        </is>
      </c>
      <c r="I8" s="77">
        <f>IF((V8-R8)&gt;3,"SI","")</f>
        <v/>
      </c>
      <c r="J8" s="77" t="inlineStr">
        <is>
          <t>SI</t>
        </is>
      </c>
      <c r="K8" s="77" t="n"/>
      <c r="L8" s="77" t="n"/>
      <c r="M8" s="137">
        <f>IF(R8&gt;0,(SQRT(BT8*(SUM(BU8:BZ8)))),"")</f>
        <v/>
      </c>
      <c r="N8" s="4">
        <f>IF(T8&gt;0,(MAX(T8,Z8,AD8,AH8,AL8,AP8))+SQRT(1.2^2+1^2),"")</f>
        <v/>
      </c>
      <c r="O8" s="3">
        <f>IF(R8="",0,10*LOG10(SUM(BG8:BL8)/(COUNT(R8,X8,AB8,AF8,AJ8,AN8))))</f>
        <v/>
      </c>
      <c r="P8" s="5">
        <f>IF(AND(Y8="",AC8="",AG8="",AK8="",AO8=""),S8,AVERAGE(S8,Y8,AC8,AG8,AK8,AO8)+STDEV(S8,Y8,AC8,AG8,AK8,AO8))</f>
        <v/>
      </c>
      <c r="Q8" s="14" t="n">
        <v>300</v>
      </c>
      <c r="R8" s="11" t="n">
        <v>93.90000000000001</v>
      </c>
      <c r="S8" s="12" t="n">
        <v>93.90000000000001</v>
      </c>
      <c r="T8" s="13" t="n">
        <v>121.1</v>
      </c>
      <c r="U8" s="79" t="n"/>
      <c r="V8" s="79" t="n"/>
      <c r="W8" s="10" t="n">
        <v>300</v>
      </c>
      <c r="X8" s="11" t="n">
        <v>92.90000000000001</v>
      </c>
      <c r="Y8" s="12" t="n">
        <v>92.59999999999999</v>
      </c>
      <c r="Z8" s="13" t="n">
        <v>119.6</v>
      </c>
      <c r="AA8" s="10" t="n">
        <v>300</v>
      </c>
      <c r="AB8" s="11" t="n">
        <v>98.3</v>
      </c>
      <c r="AC8" s="12" t="n">
        <v>98.40000000000001</v>
      </c>
      <c r="AD8" s="13" t="n">
        <v>124.2</v>
      </c>
      <c r="AE8" s="14" t="n">
        <v>300</v>
      </c>
      <c r="AF8" s="11" t="n">
        <v>97.7</v>
      </c>
      <c r="AG8" s="12" t="n">
        <v>96.5</v>
      </c>
      <c r="AH8" s="13" t="n">
        <v>126.1</v>
      </c>
      <c r="AI8" s="10" t="n">
        <v>300</v>
      </c>
      <c r="AJ8" s="11" t="n">
        <v>102.7</v>
      </c>
      <c r="AK8" s="12" t="n">
        <v>101.2</v>
      </c>
      <c r="AL8" s="13" t="n">
        <v>120.5</v>
      </c>
      <c r="AM8" s="10" t="n">
        <v>300</v>
      </c>
      <c r="AN8" s="11" t="n">
        <v>98.5</v>
      </c>
      <c r="AO8" s="12" t="n">
        <v>97</v>
      </c>
      <c r="AP8" s="13" t="n">
        <v>120.3</v>
      </c>
      <c r="AQ8" s="6">
        <f>IF(AND((O8)&lt;85,N8&lt;137),"NO","SI")</f>
        <v/>
      </c>
      <c r="AR8" s="7">
        <f>IF((480*(10^(7.95-(O8/10))))&lt;480,480*(10^(7.95-(O8/10))),480)</f>
        <v/>
      </c>
      <c r="AS8" s="8">
        <f>IF((480*(10^(8.45-(O8/10))))&lt;480,480*(10^(8.45-(O8/10))),480)</f>
        <v/>
      </c>
      <c r="AT8" s="9">
        <f>IF((480*(10^(8.65-(O8/10))))&lt;480,480*(10^(8.65-(O8/10))),480)</f>
        <v/>
      </c>
      <c r="AU8" s="151">
        <f>IF(O8&lt;80,"0",IF((P8-O8)&lt;=2,('DPI art.191'!$G$3-(('DPI art.191'!$F$3-'DPI art.191'!$G$3)/4)*(P8-O8-2)),('DPI art.191'!$G$3-(('DPI art.191'!$F$3-'DPI art.191'!$H$3)/8)*(P8-O8-2))))</f>
        <v/>
      </c>
      <c r="AV8" s="24">
        <f>O8-AU8</f>
        <v/>
      </c>
      <c r="AW8" s="24">
        <f>IF(N8&lt;135,N8,N8-'DPI art.191'!$I$3)</f>
        <v/>
      </c>
      <c r="AX8" s="111">
        <f>IF(I8&lt;80,"0",IF((J8-I8)&lt;=2,('DPI art.191'!$G$7-(('DPI art.191'!$F$7-'DPI art.191'!$G$7)/4)*(I8-J8-2)),('DPI art.191'!$G$7-(('DPI art.191'!$G$7-'DPI art.191'!$H$7)/8)*(J8-I8-2))))</f>
        <v/>
      </c>
      <c r="AY8" s="24">
        <f>I8-AX8</f>
        <v/>
      </c>
      <c r="AZ8" s="24">
        <f>IF(H8&lt;135,H8,H8-'DPI art.191'!$I$7)</f>
        <v/>
      </c>
      <c r="BA8" s="111">
        <f>IF(O8&lt;80,"0",IF((P8-O8)&lt;=2,('DPI art.191'!$G$5-(('DPI art.191'!$F$5-'DPI art.191'!$G$5)/4)*(P8-O8-2)),('DPI art.191'!$G$5-(('DPI art.191'!$G$5-'DPI art.191'!$H$5)/8)*(P8-O8-2))))</f>
        <v/>
      </c>
      <c r="BB8" s="24">
        <f>R8-BA8</f>
        <v/>
      </c>
      <c r="BC8" s="24">
        <f>IF(N8&lt;135,N8,N8-'DPI art.191'!$I$5)</f>
        <v/>
      </c>
      <c r="BD8" s="111">
        <f>IF(O8&lt;80,"0",IF((P8-O8)&lt;=2,('DPI art.191'!$G$7-(('DPI art.191'!$F$7-'DPI art.191'!$G$7)/4)*(O8-P8-2)),('DPI art.191'!$G$7-(('DPI art.191'!$G$7-'DPI art.191'!$H$7)/8)*(P8-O8-2))))</f>
        <v/>
      </c>
      <c r="BE8" s="24">
        <f>O8-BD8</f>
        <v/>
      </c>
      <c r="BF8" s="24">
        <f>IF(N8&lt;135,N8,N8-'DPI art.191'!$I$7)</f>
        <v/>
      </c>
      <c r="BG8" s="108">
        <f>10^(0.1*R8)</f>
        <v/>
      </c>
      <c r="BH8" s="108">
        <f>10^(0.1*X8)</f>
        <v/>
      </c>
      <c r="BI8" s="108">
        <f>10^(0.1*AB8)</f>
        <v/>
      </c>
      <c r="BJ8" s="108">
        <f>10^(0.1*AF8)</f>
        <v/>
      </c>
      <c r="BK8" s="108">
        <f>10^(0.1*AJ8)</f>
        <v/>
      </c>
      <c r="BL8" s="108">
        <f>10^(0.1*AN8)</f>
        <v/>
      </c>
      <c r="BM8" s="106">
        <f>IF(R8&gt;0,(O8-R8),"")</f>
        <v/>
      </c>
      <c r="BN8" s="106">
        <f>IF(X8&gt;0,(O8-X8),"")</f>
        <v/>
      </c>
      <c r="BO8" s="106">
        <f>IF(AB8&gt;0,(O8-AB8),"")</f>
        <v/>
      </c>
      <c r="BP8" s="106">
        <f>IF(AF8&gt;0,(O8-AF8),"")</f>
        <v/>
      </c>
      <c r="BQ8" s="106">
        <f>IF(AJ8&gt;0,(O8-AJ8),"")</f>
        <v/>
      </c>
      <c r="BR8" s="106">
        <f>IF(AN8&gt;0,(O8-AN8),"")</f>
        <v/>
      </c>
      <c r="BS8" s="106">
        <f>COUNT(BM8:BR8)</f>
        <v/>
      </c>
      <c r="BT8" s="464">
        <f>IF(BS8=0,0,IF(BS8=1,0,1/(BS8*(BS8-1))))</f>
        <v/>
      </c>
      <c r="BU8" s="136">
        <f>IF(R8&gt;0,(BM8^2),"")</f>
        <v/>
      </c>
      <c r="BV8" s="136">
        <f>IF(X8&gt;0,(BN8^2),"")</f>
        <v/>
      </c>
      <c r="BW8" s="136">
        <f>IF(AB8&gt;0,(BO8^2),"")</f>
        <v/>
      </c>
      <c r="BX8" s="136">
        <f>IF(AF8&gt;0,(BP8^2),"")</f>
        <v/>
      </c>
      <c r="BY8" s="136">
        <f>IF(AJ8&gt;0,(BQ8^2),"")</f>
        <v/>
      </c>
      <c r="BZ8" s="136">
        <f>IF(AN8&gt;0,(BR8^2),"")</f>
        <v/>
      </c>
    </row>
    <row r="9" ht="18.75" customHeight="1" s="444">
      <c r="A9" s="340" t="inlineStr">
        <is>
          <t>275/07</t>
        </is>
      </c>
      <c r="B9" s="65" t="inlineStr">
        <is>
          <t>W4</t>
        </is>
      </c>
      <c r="C9" s="78" t="inlineStr">
        <is>
          <t>Smussatrice</t>
        </is>
      </c>
      <c r="D9" s="83" t="inlineStr">
        <is>
          <t>TRIUMPH</t>
        </is>
      </c>
      <c r="E9" s="83" t="inlineStr">
        <is>
          <t>UZ 50</t>
        </is>
      </c>
      <c r="F9" s="192" t="inlineStr">
        <is>
          <t>Smussatura</t>
        </is>
      </c>
      <c r="G9" s="71" t="n">
        <v>45996</v>
      </c>
      <c r="H9" s="77" t="inlineStr">
        <is>
          <t>Compito</t>
        </is>
      </c>
      <c r="I9" s="77">
        <f>IF((V9-R9)&gt;3,"SI","")</f>
        <v/>
      </c>
      <c r="J9" s="77" t="inlineStr">
        <is>
          <t>SI</t>
        </is>
      </c>
      <c r="K9" s="77" t="n"/>
      <c r="L9" s="77" t="n"/>
      <c r="M9" s="137">
        <f>IF(R9&gt;0,(SQRT(BT9*(SUM(BU9:BZ9)))),"")</f>
        <v/>
      </c>
      <c r="N9" s="4">
        <f>IF(T9&gt;0,(MAX(T9,Z9,AD9,AH9,AL9,AP9))+SQRT(1.2^2+1^2),"")</f>
        <v/>
      </c>
      <c r="O9" s="3">
        <f>IF(R9="",0,10*LOG10(SUM(BG9:BL9)/(COUNT(R9,X9,AB9,AF9,AJ9,AN9))))</f>
        <v/>
      </c>
      <c r="P9" s="5">
        <f>IF(AND(Y9="",AC9="",AG9="",AK9="",AO9=""),S9,AVERAGE(S9,Y9,AC9,AG9,AK9,AO9)+STDEV(S9,Y9,AC9,AG9,AK9,AO9))</f>
        <v/>
      </c>
      <c r="Q9" s="14" t="n">
        <v>300</v>
      </c>
      <c r="R9" s="11" t="n">
        <v>94.5</v>
      </c>
      <c r="S9" s="12" t="n">
        <v>95</v>
      </c>
      <c r="T9" s="13" t="n">
        <v>121.2</v>
      </c>
      <c r="U9" s="79" t="n"/>
      <c r="V9" s="79" t="n"/>
      <c r="W9" s="10" t="n">
        <v>300</v>
      </c>
      <c r="X9" s="11" t="n">
        <v>91.8</v>
      </c>
      <c r="Y9" s="12" t="n">
        <v>92.59999999999999</v>
      </c>
      <c r="Z9" s="13" t="n">
        <v>115.9</v>
      </c>
      <c r="AA9" s="10" t="n">
        <v>300</v>
      </c>
      <c r="AB9" s="11" t="n">
        <v>92.3</v>
      </c>
      <c r="AC9" s="12" t="n">
        <v>92.90000000000001</v>
      </c>
      <c r="AD9" s="13" t="n">
        <v>117.4</v>
      </c>
      <c r="AE9" s="14" t="n">
        <v>300</v>
      </c>
      <c r="AF9" s="11" t="n">
        <v>94.5</v>
      </c>
      <c r="AG9" s="12" t="n">
        <v>94</v>
      </c>
      <c r="AH9" s="13" t="n">
        <v>121.1</v>
      </c>
      <c r="AI9" s="10" t="n">
        <v>300</v>
      </c>
      <c r="AJ9" s="11" t="n">
        <v>93.5</v>
      </c>
      <c r="AK9" s="12" t="n">
        <v>95</v>
      </c>
      <c r="AL9" s="13" t="n">
        <v>121.4</v>
      </c>
      <c r="AM9" s="10" t="n">
        <v>300</v>
      </c>
      <c r="AN9" s="11" t="n">
        <v>94.59999999999999</v>
      </c>
      <c r="AO9" s="12" t="n">
        <v>94.2</v>
      </c>
      <c r="AP9" s="13" t="n">
        <v>121.2</v>
      </c>
      <c r="AQ9" s="6">
        <f>IF(AND((O9)&lt;85,N9&lt;137),"NO","SI")</f>
        <v/>
      </c>
      <c r="AR9" s="7">
        <f>IF((480*(10^(7.95-(O9/10))))&lt;480,480*(10^(7.95-(O9/10))),480)</f>
        <v/>
      </c>
      <c r="AS9" s="8">
        <f>IF((480*(10^(8.45-(O9/10))))&lt;480,480*(10^(8.45-(O9/10))),480)</f>
        <v/>
      </c>
      <c r="AT9" s="9">
        <f>IF((480*(10^(8.65-(O9/10))))&lt;480,480*(10^(8.65-(O9/10))),480)</f>
        <v/>
      </c>
      <c r="AU9" s="151">
        <f>IF(O9&lt;80,"0",IF((P9-O9)&lt;=2,('DPI art.191'!$G$3-(('DPI art.191'!$F$3-'DPI art.191'!$G$3)/4)*(P9-O9-2)),('DPI art.191'!$G$3-(('DPI art.191'!$F$3-'DPI art.191'!$H$3)/8)*(P9-O9-2))))</f>
        <v/>
      </c>
      <c r="AV9" s="24">
        <f>O9-AU9</f>
        <v/>
      </c>
      <c r="AW9" s="24">
        <f>IF(N9&lt;135,N9,N9-'DPI art.191'!$I$3)</f>
        <v/>
      </c>
      <c r="AX9" s="111">
        <f>IF(I9&lt;80,"0",IF((J9-I9)&lt;=2,('DPI art.191'!$G$7-(('DPI art.191'!$F$7-'DPI art.191'!$G$7)/4)*(I9-J9-2)),('DPI art.191'!$G$7-(('DPI art.191'!$G$7-'DPI art.191'!$H$7)/8)*(J9-I9-2))))</f>
        <v/>
      </c>
      <c r="AY9" s="24">
        <f>I9-AX9</f>
        <v/>
      </c>
      <c r="AZ9" s="24">
        <f>IF(H9&lt;135,H9,H9-'DPI art.191'!$I$7)</f>
        <v/>
      </c>
      <c r="BA9" s="111">
        <f>IF(O9&lt;80,"0",IF((P9-O9)&lt;=2,('DPI art.191'!$G$5-(('DPI art.191'!$F$5-'DPI art.191'!$G$5)/4)*(P9-O9-2)),('DPI art.191'!$G$5-(('DPI art.191'!$G$5-'DPI art.191'!$H$5)/8)*(P9-O9-2))))</f>
        <v/>
      </c>
      <c r="BB9" s="24">
        <f>R9-BA9</f>
        <v/>
      </c>
      <c r="BC9" s="24">
        <f>IF(N9&lt;135,N9,N9-'DPI art.191'!$I$5)</f>
        <v/>
      </c>
      <c r="BD9" s="111">
        <f>IF(O9&lt;80,"0",IF((P9-O9)&lt;=2,('DPI art.191'!$G$7-(('DPI art.191'!$F$7-'DPI art.191'!$G$7)/4)*(O9-P9-2)),('DPI art.191'!$G$7-(('DPI art.191'!$G$7-'DPI art.191'!$H$7)/8)*(P9-O9-2))))</f>
        <v/>
      </c>
      <c r="BE9" s="24">
        <f>O9-BD9</f>
        <v/>
      </c>
      <c r="BF9" s="24">
        <f>IF(N9&lt;135,N9,N9-'DPI art.191'!$I$7)</f>
        <v/>
      </c>
      <c r="BG9" s="108">
        <f>10^(0.1*R9)</f>
        <v/>
      </c>
      <c r="BH9" s="108">
        <f>10^(0.1*X9)</f>
        <v/>
      </c>
      <c r="BI9" s="108">
        <f>10^(0.1*AB9)</f>
        <v/>
      </c>
      <c r="BJ9" s="108">
        <f>10^(0.1*AF9)</f>
        <v/>
      </c>
      <c r="BK9" s="108">
        <f>10^(0.1*AJ9)</f>
        <v/>
      </c>
      <c r="BL9" s="108">
        <f>10^(0.1*AN9)</f>
        <v/>
      </c>
      <c r="BM9" s="106">
        <f>IF(R9&gt;0,(O9-R9),"")</f>
        <v/>
      </c>
      <c r="BN9" s="106">
        <f>IF(X9&gt;0,(O9-X9),"")</f>
        <v/>
      </c>
      <c r="BO9" s="106">
        <f>IF(AB9&gt;0,(O9-AB9),"")</f>
        <v/>
      </c>
      <c r="BP9" s="106">
        <f>IF(AF9&gt;0,(O9-AF9),"")</f>
        <v/>
      </c>
      <c r="BQ9" s="106">
        <f>IF(AJ9&gt;0,(O9-AJ9),"")</f>
        <v/>
      </c>
      <c r="BR9" s="106">
        <f>IF(AN9&gt;0,(O9-AN9),"")</f>
        <v/>
      </c>
      <c r="BS9" s="106">
        <f>COUNT(BM9:BR9)</f>
        <v/>
      </c>
      <c r="BT9" s="464">
        <f>IF(BS9=0,0,IF(BS9=1,0,1/(BS9*(BS9-1))))</f>
        <v/>
      </c>
      <c r="BU9" s="136">
        <f>IF(R9&gt;0,(BM9^2),"")</f>
        <v/>
      </c>
      <c r="BV9" s="136">
        <f>IF(X9&gt;0,(BN9^2),"")</f>
        <v/>
      </c>
      <c r="BW9" s="136">
        <f>IF(AB9&gt;0,(BO9^2),"")</f>
        <v/>
      </c>
      <c r="BX9" s="136">
        <f>IF(AF9&gt;0,(BP9^2),"")</f>
        <v/>
      </c>
      <c r="BY9" s="136">
        <f>IF(AJ9&gt;0,(BQ9^2),"")</f>
        <v/>
      </c>
      <c r="BZ9" s="136">
        <f>IF(AN9&gt;0,(BR9^2),"")</f>
        <v/>
      </c>
    </row>
    <row r="10" ht="18.75" customHeight="1" s="444">
      <c r="A10" s="340" t="inlineStr">
        <is>
          <t>017/1419</t>
        </is>
      </c>
      <c r="B10" s="65" t="inlineStr">
        <is>
          <t>W5</t>
        </is>
      </c>
      <c r="C10" s="78" t="inlineStr">
        <is>
          <t>Mola piccola</t>
        </is>
      </c>
      <c r="D10" s="83" t="inlineStr">
        <is>
          <t>FEIN</t>
        </is>
      </c>
      <c r="E10" s="83" t="inlineStr">
        <is>
          <t>CG17-150</t>
        </is>
      </c>
      <c r="F10" s="192" t="inlineStr">
        <is>
          <t>Molatura con mola piccola</t>
        </is>
      </c>
      <c r="G10" s="71" t="n">
        <v>45996</v>
      </c>
      <c r="H10" s="77" t="inlineStr">
        <is>
          <t>Compito</t>
        </is>
      </c>
      <c r="I10" s="77">
        <f>IF((V10-R10)&gt;3,"SI","")</f>
        <v/>
      </c>
      <c r="J10" s="77" t="inlineStr">
        <is>
          <t>SI</t>
        </is>
      </c>
      <c r="K10" s="77" t="n"/>
      <c r="L10" s="77" t="n"/>
      <c r="M10" s="137">
        <f>IF(R10&gt;0,(SQRT(BT10*(SUM(BU10:BZ10)))),"")</f>
        <v/>
      </c>
      <c r="N10" s="4">
        <f>IF(T10&gt;0,(MAX(T10,Z10,AD10,AH10,AL10,AP10))+SQRT(1.2^2+1^2),"")</f>
        <v/>
      </c>
      <c r="O10" s="3">
        <f>IF(R10="",0,10*LOG10(SUM(BG10:BL10)/(COUNT(R10,X10,AB10,AF10,AJ10,AN10))))</f>
        <v/>
      </c>
      <c r="P10" s="5">
        <f>IF(AND(Y10="",AC10="",AG10="",AK10="",AO10=""),S10,AVERAGE(S10,Y10,AC10,AG10,AK10,AO10)+STDEV(S10,Y10,AC10,AG10,AK10,AO10))</f>
        <v/>
      </c>
      <c r="Q10" s="14" t="n">
        <v>300</v>
      </c>
      <c r="R10" s="11" t="n">
        <v>103</v>
      </c>
      <c r="S10" s="12" t="n">
        <v>101.5</v>
      </c>
      <c r="T10" s="13" t="n">
        <v>125.9</v>
      </c>
      <c r="U10" s="79" t="n"/>
      <c r="V10" s="79" t="n"/>
      <c r="W10" s="10" t="n">
        <v>300</v>
      </c>
      <c r="X10" s="11" t="n">
        <v>101.8</v>
      </c>
      <c r="Y10" s="12" t="n">
        <v>100.2</v>
      </c>
      <c r="Z10" s="13" t="n">
        <v>130.5</v>
      </c>
      <c r="AA10" s="10" t="n">
        <v>300</v>
      </c>
      <c r="AB10" s="11" t="n">
        <v>98.3</v>
      </c>
      <c r="AC10" s="12" t="n">
        <v>96.8</v>
      </c>
      <c r="AD10" s="13" t="n">
        <v>125.9</v>
      </c>
      <c r="AE10" s="14" t="n">
        <v>300</v>
      </c>
      <c r="AF10" s="11" t="n">
        <v>106.3</v>
      </c>
      <c r="AG10" s="12" t="n">
        <v>104.7</v>
      </c>
      <c r="AH10" s="13" t="n">
        <v>125.3</v>
      </c>
      <c r="AI10" s="10" t="n">
        <v>300</v>
      </c>
      <c r="AJ10" s="11" t="n">
        <v>105.5</v>
      </c>
      <c r="AK10" s="12" t="n">
        <v>104</v>
      </c>
      <c r="AL10" s="13" t="n">
        <v>128.3</v>
      </c>
      <c r="AM10" s="10" t="n">
        <v>300</v>
      </c>
      <c r="AN10" s="11" t="n">
        <v>95.59999999999999</v>
      </c>
      <c r="AO10" s="12" t="n">
        <v>94.5</v>
      </c>
      <c r="AP10" s="13" t="n">
        <v>124.3</v>
      </c>
      <c r="AQ10" s="6">
        <f>IF(AND((O10)&lt;85,N10&lt;137),"NO","SI")</f>
        <v/>
      </c>
      <c r="AR10" s="7">
        <f>IF((480*(10^(7.95-(O10/10))))&lt;480,480*(10^(7.95-(O10/10))),480)</f>
        <v/>
      </c>
      <c r="AS10" s="8">
        <f>IF((480*(10^(8.45-(O10/10))))&lt;480,480*(10^(8.45-(O10/10))),480)</f>
        <v/>
      </c>
      <c r="AT10" s="9">
        <f>IF((480*(10^(8.65-(O10/10))))&lt;480,480*(10^(8.65-(O10/10))),480)</f>
        <v/>
      </c>
      <c r="AU10" s="151">
        <f>IF(O10&lt;80,"0",IF((P10-O10)&lt;=2,('DPI art.191'!$G$3-(('DPI art.191'!$F$3-'DPI art.191'!$G$3)/4)*(P10-O10-2)),('DPI art.191'!$G$3-(('DPI art.191'!$F$3-'DPI art.191'!$H$3)/8)*(P10-O10-2))))</f>
        <v/>
      </c>
      <c r="AV10" s="24">
        <f>O10-AU10</f>
        <v/>
      </c>
      <c r="AW10" s="24">
        <f>IF(N10&lt;135,N10,N10-'DPI art.191'!$I$3)</f>
        <v/>
      </c>
      <c r="AX10" s="111">
        <f>IF(I10&lt;80,"0",IF((J10-I10)&lt;=2,('DPI art.191'!$G$7-(('DPI art.191'!$F$7-'DPI art.191'!$G$7)/4)*(I10-J10-2)),('DPI art.191'!$G$7-(('DPI art.191'!$G$7-'DPI art.191'!$H$7)/8)*(J10-I10-2))))</f>
        <v/>
      </c>
      <c r="AY10" s="24">
        <f>I10-AX10</f>
        <v/>
      </c>
      <c r="AZ10" s="24">
        <f>IF(H10&lt;135,H10,H10-'DPI art.191'!$I$7)</f>
        <v/>
      </c>
      <c r="BA10" s="111">
        <f>IF(O10&lt;80,"0",IF((P10-O10)&lt;=2,('DPI art.191'!$G$5-(('DPI art.191'!$F$5-'DPI art.191'!$G$5)/4)*(P10-O10-2)),('DPI art.191'!$G$5-(('DPI art.191'!$G$5-'DPI art.191'!$H$5)/8)*(P10-O10-2))))</f>
        <v/>
      </c>
      <c r="BB10" s="24">
        <f>R10-BA10</f>
        <v/>
      </c>
      <c r="BC10" s="24">
        <f>IF(N10&lt;135,N10,N10-'DPI art.191'!$I$5)</f>
        <v/>
      </c>
      <c r="BD10" s="111">
        <f>IF(O10&lt;80,"0",IF((P10-O10)&lt;=2,('DPI art.191'!$G$7-(('DPI art.191'!$F$7-'DPI art.191'!$G$7)/4)*(O10-P10-2)),('DPI art.191'!$G$7-(('DPI art.191'!$G$7-'DPI art.191'!$H$7)/8)*(P10-O10-2))))</f>
        <v/>
      </c>
      <c r="BE10" s="24">
        <f>O10-BD10</f>
        <v/>
      </c>
      <c r="BF10" s="24">
        <f>IF(N10&lt;135,N10,N10-'DPI art.191'!$I$7)</f>
        <v/>
      </c>
      <c r="BG10" s="108">
        <f>10^(0.1*R10)</f>
        <v/>
      </c>
      <c r="BH10" s="108">
        <f>10^(0.1*X10)</f>
        <v/>
      </c>
      <c r="BI10" s="108">
        <f>10^(0.1*AB10)</f>
        <v/>
      </c>
      <c r="BJ10" s="108">
        <f>10^(0.1*AF10)</f>
        <v/>
      </c>
      <c r="BK10" s="108">
        <f>10^(0.1*AJ10)</f>
        <v/>
      </c>
      <c r="BL10" s="108">
        <f>10^(0.1*AN10)</f>
        <v/>
      </c>
      <c r="BM10" s="106">
        <f>IF(R10&gt;0,(O10-R10),"")</f>
        <v/>
      </c>
      <c r="BN10" s="106">
        <f>IF(X10&gt;0,(O10-X10),"")</f>
        <v/>
      </c>
      <c r="BO10" s="106">
        <f>IF(AB10&gt;0,(O10-AB10),"")</f>
        <v/>
      </c>
      <c r="BP10" s="106">
        <f>IF(AF10&gt;0,(O10-AF10),"")</f>
        <v/>
      </c>
      <c r="BQ10" s="106">
        <f>IF(AJ10&gt;0,(O10-AJ10),"")</f>
        <v/>
      </c>
      <c r="BR10" s="106">
        <f>IF(AN10&gt;0,(O10-AN10),"")</f>
        <v/>
      </c>
      <c r="BS10" s="106">
        <f>COUNT(BM10:BR10)</f>
        <v/>
      </c>
      <c r="BT10" s="464">
        <f>IF(BS10=0,0,IF(BS10=1,0,1/(BS10*(BS10-1))))</f>
        <v/>
      </c>
      <c r="BU10" s="136">
        <f>IF(R10&gt;0,(BM10^2),"")</f>
        <v/>
      </c>
      <c r="BV10" s="136">
        <f>IF(X10&gt;0,(BN10^2),"")</f>
        <v/>
      </c>
      <c r="BW10" s="136">
        <f>IF(AB10&gt;0,(BO10^2),"")</f>
        <v/>
      </c>
      <c r="BX10" s="136">
        <f>IF(AF10&gt;0,(BP10^2),"")</f>
        <v/>
      </c>
      <c r="BY10" s="136">
        <f>IF(AJ10&gt;0,(BQ10^2),"")</f>
        <v/>
      </c>
      <c r="BZ10" s="136">
        <f>IF(AN10&gt;0,(BR10^2),"")</f>
        <v/>
      </c>
    </row>
    <row r="11" ht="25.5" customHeight="1" s="444">
      <c r="A11" s="340" t="inlineStr">
        <is>
          <t>024/B/PRS809</t>
        </is>
      </c>
      <c r="B11" s="65" t="inlineStr">
        <is>
          <t>W6</t>
        </is>
      </c>
      <c r="C11" s="78" t="inlineStr">
        <is>
          <t>Saldatrice a filo</t>
        </is>
      </c>
      <c r="D11" s="83" t="inlineStr">
        <is>
          <t>ESAB</t>
        </is>
      </c>
      <c r="E11" s="83" t="inlineStr">
        <is>
          <t>ARISTO 500X</t>
        </is>
      </c>
      <c r="F11" s="192" t="inlineStr">
        <is>
          <t>Saldatura interna gambe in piattaforma</t>
        </is>
      </c>
      <c r="G11" s="71" t="n">
        <v>45996</v>
      </c>
      <c r="H11" s="77" t="inlineStr">
        <is>
          <t>Compito</t>
        </is>
      </c>
      <c r="I11" s="77">
        <f>IF((V11-R11)&gt;3,"SI","")</f>
        <v/>
      </c>
      <c r="J11" s="77" t="inlineStr">
        <is>
          <t>SI</t>
        </is>
      </c>
      <c r="K11" s="77" t="n"/>
      <c r="L11" s="77" t="n"/>
      <c r="M11" s="137">
        <f>IF(R11&gt;0,(SQRT(BT11*(SUM(BU11:BZ11)))),"")</f>
        <v/>
      </c>
      <c r="N11" s="4">
        <f>IF(T11&gt;0,(MAX(T11,Z11,AD11,AH11,AL11,AP11))+SQRT(1.2^2+1^2),"")</f>
        <v/>
      </c>
      <c r="O11" s="3">
        <f>IF(R11="",0,10*LOG10(SUM(BG11:BL11)/(COUNT(R11,X11,AB11,AF11,AJ11,AN11))))</f>
        <v/>
      </c>
      <c r="P11" s="5">
        <f>IF(AND(Y11="",AC11="",AG11="",AK11="",AO11=""),S11,AVERAGE(S11,Y11,AC11,AG11,AK11,AO11)+STDEV(S11,Y11,AC11,AG11,AK11,AO11))</f>
        <v/>
      </c>
      <c r="Q11" s="14" t="n">
        <v>300</v>
      </c>
      <c r="R11" s="11" t="n">
        <v>86.09999999999999</v>
      </c>
      <c r="S11" s="12" t="n">
        <v>88.09999999999999</v>
      </c>
      <c r="T11" s="13" t="n">
        <v>125.6</v>
      </c>
      <c r="U11" s="79" t="n"/>
      <c r="V11" s="79" t="n"/>
      <c r="W11" s="10" t="n">
        <v>300</v>
      </c>
      <c r="X11" s="11" t="n">
        <v>84.40000000000001</v>
      </c>
      <c r="Y11" s="12" t="n">
        <v>87.90000000000001</v>
      </c>
      <c r="Z11" s="13" t="n">
        <v>123</v>
      </c>
      <c r="AA11" s="10" t="n">
        <v>300</v>
      </c>
      <c r="AB11" s="11" t="n">
        <v>87.3</v>
      </c>
      <c r="AC11" s="12" t="n">
        <v>89.90000000000001</v>
      </c>
      <c r="AD11" s="13" t="n">
        <v>119.6</v>
      </c>
      <c r="AE11" s="14" t="n">
        <v>300</v>
      </c>
      <c r="AF11" s="11" t="n">
        <v>102.5</v>
      </c>
      <c r="AG11" s="12" t="n">
        <v>101.1</v>
      </c>
      <c r="AH11" s="13" t="n">
        <v>127.5</v>
      </c>
      <c r="AI11" s="10" t="n">
        <v>300</v>
      </c>
      <c r="AJ11" s="11" t="n">
        <v>89.8</v>
      </c>
      <c r="AK11" s="12" t="n">
        <v>90</v>
      </c>
      <c r="AL11" s="13" t="n">
        <v>115.4</v>
      </c>
      <c r="AM11" s="10" t="n">
        <v>300</v>
      </c>
      <c r="AN11" s="11" t="n">
        <v>85.90000000000001</v>
      </c>
      <c r="AO11" s="12" t="n">
        <v>86.09999999999999</v>
      </c>
      <c r="AP11" s="13" t="n">
        <v>121.3</v>
      </c>
      <c r="AQ11" s="6">
        <f>IF(AND((O11)&lt;85,N11&lt;137),"NO","SI")</f>
        <v/>
      </c>
      <c r="AR11" s="7">
        <f>IF((480*(10^(7.95-(O11/10))))&lt;480,480*(10^(7.95-(O11/10))),480)</f>
        <v/>
      </c>
      <c r="AS11" s="8">
        <f>IF((480*(10^(8.45-(O11/10))))&lt;480,480*(10^(8.45-(O11/10))),480)</f>
        <v/>
      </c>
      <c r="AT11" s="9">
        <f>IF((480*(10^(8.65-(O11/10))))&lt;480,480*(10^(8.65-(O11/10))),480)</f>
        <v/>
      </c>
      <c r="AU11" s="151">
        <f>IF(O11&lt;80,"0",IF((P11-O11)&lt;=2,('DPI art.191'!$G$3-(('DPI art.191'!$F$3-'DPI art.191'!$G$3)/4)*(P11-O11-2)),('DPI art.191'!$G$3-(('DPI art.191'!$F$3-'DPI art.191'!$H$3)/8)*(P11-O11-2))))</f>
        <v/>
      </c>
      <c r="AV11" s="24">
        <f>O11-AU11</f>
        <v/>
      </c>
      <c r="AW11" s="24">
        <f>IF(N11&lt;135,N11,N11-'DPI art.191'!$I$3)</f>
        <v/>
      </c>
      <c r="AX11" s="111">
        <f>IF(I11&lt;80,"0",IF((J11-I11)&lt;=2,('DPI art.191'!$G$7-(('DPI art.191'!$F$7-'DPI art.191'!$G$7)/4)*(I11-J11-2)),('DPI art.191'!$G$7-(('DPI art.191'!$G$7-'DPI art.191'!$H$7)/8)*(J11-I11-2))))</f>
        <v/>
      </c>
      <c r="AY11" s="24">
        <f>I11-AX11</f>
        <v/>
      </c>
      <c r="AZ11" s="24">
        <f>IF(H11&lt;135,H11,H11-'DPI art.191'!$I$7)</f>
        <v/>
      </c>
      <c r="BA11" s="111">
        <f>IF(O11&lt;80,"0",IF((P11-O11)&lt;=2,('DPI art.191'!$G$5-(('DPI art.191'!$F$5-'DPI art.191'!$G$5)/4)*(P11-O11-2)),('DPI art.191'!$G$5-(('DPI art.191'!$G$5-'DPI art.191'!$H$5)/8)*(P11-O11-2))))</f>
        <v/>
      </c>
      <c r="BB11" s="24">
        <f>R11-BA11</f>
        <v/>
      </c>
      <c r="BC11" s="24">
        <f>IF(N11&lt;135,N11,N11-'DPI art.191'!$I$5)</f>
        <v/>
      </c>
      <c r="BD11" s="111">
        <f>IF(O11&lt;80,"0",IF((P11-O11)&lt;=2,('DPI art.191'!$G$7-(('DPI art.191'!$F$7-'DPI art.191'!$G$7)/4)*(O11-P11-2)),('DPI art.191'!$G$7-(('DPI art.191'!$G$7-'DPI art.191'!$H$7)/8)*(P11-O11-2))))</f>
        <v/>
      </c>
      <c r="BE11" s="24">
        <f>O11-BD11</f>
        <v/>
      </c>
      <c r="BF11" s="24">
        <f>IF(N11&lt;135,N11,N11-'DPI art.191'!$I$7)</f>
        <v/>
      </c>
      <c r="BG11" s="108">
        <f>10^(0.1*R11)</f>
        <v/>
      </c>
      <c r="BH11" s="108">
        <f>10^(0.1*X11)</f>
        <v/>
      </c>
      <c r="BI11" s="108">
        <f>10^(0.1*AB11)</f>
        <v/>
      </c>
      <c r="BJ11" s="108">
        <f>10^(0.1*AF11)</f>
        <v/>
      </c>
      <c r="BK11" s="108">
        <f>10^(0.1*AJ11)</f>
        <v/>
      </c>
      <c r="BL11" s="108">
        <f>10^(0.1*AN11)</f>
        <v/>
      </c>
      <c r="BM11" s="106">
        <f>IF(R11&gt;0,(O11-R11),"")</f>
        <v/>
      </c>
      <c r="BN11" s="106">
        <f>IF(X11&gt;0,(O11-X11),"")</f>
        <v/>
      </c>
      <c r="BO11" s="106">
        <f>IF(AB11&gt;0,(O11-AB11),"")</f>
        <v/>
      </c>
      <c r="BP11" s="106">
        <f>IF(AF11&gt;0,(O11-AF11),"")</f>
        <v/>
      </c>
      <c r="BQ11" s="106">
        <f>IF(AJ11&gt;0,(O11-AJ11),"")</f>
        <v/>
      </c>
      <c r="BR11" s="106">
        <f>IF(AN11&gt;0,(O11-AN11),"")</f>
        <v/>
      </c>
      <c r="BS11" s="106">
        <f>COUNT(BM11:BR11)</f>
        <v/>
      </c>
      <c r="BT11" s="464">
        <f>IF(BS11=0,0,IF(BS11=1,0,1/(BS11*(BS11-1))))</f>
        <v/>
      </c>
      <c r="BU11" s="136">
        <f>IF(R11&gt;0,(BM11^2),"")</f>
        <v/>
      </c>
      <c r="BV11" s="136">
        <f>IF(X11&gt;0,(BN11^2),"")</f>
        <v/>
      </c>
      <c r="BW11" s="136">
        <f>IF(AB11&gt;0,(BO11^2),"")</f>
        <v/>
      </c>
      <c r="BX11" s="136">
        <f>IF(AF11&gt;0,(BP11^2),"")</f>
        <v/>
      </c>
      <c r="BY11" s="136">
        <f>IF(AJ11&gt;0,(BQ11^2),"")</f>
        <v/>
      </c>
      <c r="BZ11" s="136">
        <f>IF(AN11&gt;0,(BR11^2),"")</f>
        <v/>
      </c>
    </row>
    <row r="12" ht="25.5" customHeight="1" s="444">
      <c r="A12" s="340" t="inlineStr">
        <is>
          <t>458/30</t>
        </is>
      </c>
      <c r="B12" s="65" t="inlineStr">
        <is>
          <t>W7</t>
        </is>
      </c>
      <c r="C12" s="78" t="inlineStr">
        <is>
          <t>Carrello elevatore</t>
        </is>
      </c>
      <c r="D12" s="83" t="inlineStr">
        <is>
          <t>KALMAR</t>
        </is>
      </c>
      <c r="E12" s="83" t="inlineStr">
        <is>
          <t>DCG160-12</t>
        </is>
      </c>
      <c r="F12" s="192" t="inlineStr">
        <is>
          <t>Movimentazione con carrello elevatore</t>
        </is>
      </c>
      <c r="G12" s="71" t="n">
        <v>45996</v>
      </c>
      <c r="H12" s="77" t="inlineStr">
        <is>
          <t>Compito</t>
        </is>
      </c>
      <c r="I12" s="77">
        <f>IF((V12-R12)&gt;3,"SI","")</f>
        <v/>
      </c>
      <c r="J12" s="77" t="inlineStr">
        <is>
          <t>SI</t>
        </is>
      </c>
      <c r="K12" s="77" t="n"/>
      <c r="L12" s="77" t="n"/>
      <c r="M12" s="137">
        <f>IF(R12&gt;0,(SQRT(BT12*(SUM(BU12:BZ12)))),"")</f>
        <v/>
      </c>
      <c r="N12" s="4">
        <f>IF(T12&gt;0,(MAX(T12,Z12,AD12,AH12,AL12,AP12))+SQRT(1.2^2+1^2),"")</f>
        <v/>
      </c>
      <c r="O12" s="3">
        <f>IF(R12="",0,10*LOG10(SUM(BG12:BL12)/(COUNT(R12,X12,AB12,AF12,AJ12,AN12))))</f>
        <v/>
      </c>
      <c r="P12" s="5">
        <f>IF(AND(Y12="",AC12="",AG12="",AK12="",AO12=""),S12,AVERAGE(S12,Y12,AC12,AG12,AK12,AO12)+STDEV(S12,Y12,AC12,AG12,AK12,AO12))</f>
        <v/>
      </c>
      <c r="Q12" s="14" t="n">
        <v>300</v>
      </c>
      <c r="R12" s="11" t="n">
        <v>84.5</v>
      </c>
      <c r="S12" s="12" t="n">
        <v>94</v>
      </c>
      <c r="T12" s="13" t="n">
        <v>128</v>
      </c>
      <c r="U12" s="79" t="n"/>
      <c r="V12" s="79" t="n"/>
      <c r="W12" s="10" t="n">
        <v>300</v>
      </c>
      <c r="X12" s="11" t="n">
        <v>74.59999999999999</v>
      </c>
      <c r="Y12" s="12" t="n">
        <v>92.8</v>
      </c>
      <c r="Z12" s="13" t="n">
        <v>109.5</v>
      </c>
      <c r="AA12" s="10" t="n">
        <v>300</v>
      </c>
      <c r="AB12" s="11" t="n">
        <v>72.7</v>
      </c>
      <c r="AC12" s="12" t="n">
        <v>93.90000000000001</v>
      </c>
      <c r="AD12" s="13" t="n">
        <v>111.1</v>
      </c>
      <c r="AE12" s="14" t="n">
        <v>300</v>
      </c>
      <c r="AF12" s="11" t="n">
        <v>77</v>
      </c>
      <c r="AG12" s="12" t="n">
        <v>91.2</v>
      </c>
      <c r="AH12" s="13" t="n">
        <v>121.1</v>
      </c>
      <c r="AI12" s="10" t="n">
        <v>300</v>
      </c>
      <c r="AJ12" s="11" t="n">
        <v>83.3</v>
      </c>
      <c r="AK12" s="12" t="n">
        <v>92.09999999999999</v>
      </c>
      <c r="AL12" s="13" t="n">
        <v>117.1</v>
      </c>
      <c r="AM12" s="10" t="n">
        <v>300</v>
      </c>
      <c r="AN12" s="11" t="n">
        <v>72.2</v>
      </c>
      <c r="AO12" s="12" t="n">
        <v>87.8</v>
      </c>
      <c r="AP12" s="13" t="n">
        <v>116.4</v>
      </c>
      <c r="AQ12" s="6">
        <f>IF(AND((O12)&lt;85,N12&lt;137),"NO","SI")</f>
        <v/>
      </c>
      <c r="AR12" s="7">
        <f>IF((480*(10^(7.95-(O12/10))))&lt;480,480*(10^(7.95-(O12/10))),480)</f>
        <v/>
      </c>
      <c r="AS12" s="8">
        <f>IF((480*(10^(8.45-(O12/10))))&lt;480,480*(10^(8.45-(O12/10))),480)</f>
        <v/>
      </c>
      <c r="AT12" s="9">
        <f>IF((480*(10^(8.65-(O12/10))))&lt;480,480*(10^(8.65-(O12/10))),480)</f>
        <v/>
      </c>
      <c r="AU12" s="151">
        <f>IF(O12&lt;80,"0",IF((P12-O12)&lt;=2,('DPI art.191'!$G$3-(('DPI art.191'!$F$3-'DPI art.191'!$G$3)/4)*(P12-O12-2)),('DPI art.191'!$G$3-(('DPI art.191'!$F$3-'DPI art.191'!$H$3)/8)*(P12-O12-2))))</f>
        <v/>
      </c>
      <c r="AV12" s="24">
        <f>O12-AU12</f>
        <v/>
      </c>
      <c r="AW12" s="24">
        <f>IF(N12&lt;135,N12,N12-'DPI art.191'!$I$3)</f>
        <v/>
      </c>
      <c r="AX12" s="111">
        <f>IF(I12&lt;80,"0",IF((J12-I12)&lt;=2,('DPI art.191'!$G$7-(('DPI art.191'!$F$7-'DPI art.191'!$G$7)/4)*(I12-J12-2)),('DPI art.191'!$G$7-(('DPI art.191'!$G$7-'DPI art.191'!$H$7)/8)*(J12-I12-2))))</f>
        <v/>
      </c>
      <c r="AY12" s="24">
        <f>I12-AX12</f>
        <v/>
      </c>
      <c r="AZ12" s="24">
        <f>IF(H12&lt;135,H12,H12-'DPI art.191'!$I$7)</f>
        <v/>
      </c>
      <c r="BA12" s="111">
        <f>IF(O12&lt;80,"0",IF((P12-O12)&lt;=2,('DPI art.191'!$G$5-(('DPI art.191'!$F$5-'DPI art.191'!$G$5)/4)*(P12-O12-2)),('DPI art.191'!$G$5-(('DPI art.191'!$G$5-'DPI art.191'!$H$5)/8)*(P12-O12-2))))</f>
        <v/>
      </c>
      <c r="BB12" s="24">
        <f>R12-BA12</f>
        <v/>
      </c>
      <c r="BC12" s="24">
        <f>IF(N12&lt;135,N12,N12-'DPI art.191'!$I$5)</f>
        <v/>
      </c>
      <c r="BD12" s="111">
        <f>IF(O12&lt;80,"0",IF((P12-O12)&lt;=2,('DPI art.191'!$G$7-(('DPI art.191'!$F$7-'DPI art.191'!$G$7)/4)*(O12-P12-2)),('DPI art.191'!$G$7-(('DPI art.191'!$G$7-'DPI art.191'!$H$7)/8)*(P12-O12-2))))</f>
        <v/>
      </c>
      <c r="BE12" s="24">
        <f>O12-BD12</f>
        <v/>
      </c>
      <c r="BF12" s="24">
        <f>IF(N12&lt;135,N12,N12-'DPI art.191'!$I$7)</f>
        <v/>
      </c>
      <c r="BG12" s="108">
        <f>10^(0.1*R12)</f>
        <v/>
      </c>
      <c r="BH12" s="108">
        <f>10^(0.1*X12)</f>
        <v/>
      </c>
      <c r="BI12" s="108">
        <f>10^(0.1*AB12)</f>
        <v/>
      </c>
      <c r="BJ12" s="108">
        <f>10^(0.1*AF12)</f>
        <v/>
      </c>
      <c r="BK12" s="108">
        <f>10^(0.1*AJ12)</f>
        <v/>
      </c>
      <c r="BL12" s="108">
        <f>10^(0.1*AN12)</f>
        <v/>
      </c>
      <c r="BM12" s="106">
        <f>IF(R12&gt;0,(O12-R12),"")</f>
        <v/>
      </c>
      <c r="BN12" s="106">
        <f>IF(X12&gt;0,(O12-X12),"")</f>
        <v/>
      </c>
      <c r="BO12" s="106">
        <f>IF(AB12&gt;0,(O12-AB12),"")</f>
        <v/>
      </c>
      <c r="BP12" s="106">
        <f>IF(AF12&gt;0,(O12-AF12),"")</f>
        <v/>
      </c>
      <c r="BQ12" s="106">
        <f>IF(AJ12&gt;0,(O12-AJ12),"")</f>
        <v/>
      </c>
      <c r="BR12" s="106">
        <f>IF(AN12&gt;0,(O12-AN12),"")</f>
        <v/>
      </c>
      <c r="BS12" s="106">
        <f>COUNT(BM12:BR12)</f>
        <v/>
      </c>
      <c r="BT12" s="464">
        <f>IF(BS12=0,0,IF(BS12=1,0,1/(BS12*(BS12-1))))</f>
        <v/>
      </c>
      <c r="BU12" s="136">
        <f>IF(R12&gt;0,(BM12^2),"")</f>
        <v/>
      </c>
      <c r="BV12" s="136">
        <f>IF(X12&gt;0,(BN12^2),"")</f>
        <v/>
      </c>
      <c r="BW12" s="136">
        <f>IF(AB12&gt;0,(BO12^2),"")</f>
        <v/>
      </c>
      <c r="BX12" s="136">
        <f>IF(AF12&gt;0,(BP12^2),"")</f>
        <v/>
      </c>
      <c r="BY12" s="136">
        <f>IF(AJ12&gt;0,(BQ12^2),"")</f>
        <v/>
      </c>
      <c r="BZ12" s="136">
        <f>IF(AN12&gt;0,(BR12^2),"")</f>
        <v/>
      </c>
    </row>
    <row r="13" ht="25.5" customHeight="1" s="444">
      <c r="A13" s="340" t="inlineStr">
        <is>
          <t>458/27</t>
        </is>
      </c>
      <c r="B13" s="65" t="inlineStr">
        <is>
          <t>W8</t>
        </is>
      </c>
      <c r="C13" s="78" t="inlineStr">
        <is>
          <t>Carrello elevatore</t>
        </is>
      </c>
      <c r="D13" s="83" t="inlineStr">
        <is>
          <t>MANITOU</t>
        </is>
      </c>
      <c r="E13" s="83" t="inlineStr">
        <is>
          <t>MSI 50 T</t>
        </is>
      </c>
      <c r="F13" s="192" t="inlineStr">
        <is>
          <t>Movimentazione con carrello elevatore</t>
        </is>
      </c>
      <c r="G13" s="71" t="n">
        <v>45996</v>
      </c>
      <c r="H13" s="77" t="inlineStr">
        <is>
          <t>Compito</t>
        </is>
      </c>
      <c r="I13" s="77">
        <f>IF((V13-R13)&gt;3,"SI","")</f>
        <v/>
      </c>
      <c r="J13" s="77" t="inlineStr">
        <is>
          <t>SI</t>
        </is>
      </c>
      <c r="K13" s="77" t="n"/>
      <c r="L13" s="77" t="n"/>
      <c r="M13" s="137">
        <f>IF(R13&gt;0,(SQRT(BT13*(SUM(BU13:BZ13)))),"")</f>
        <v/>
      </c>
      <c r="N13" s="4">
        <f>IF(T13&gt;0,(MAX(T13,Z13,AD13,AH13,AL13,AP13))+SQRT(1.2^2+1^2),"")</f>
        <v/>
      </c>
      <c r="O13" s="3">
        <f>IF(R13="",0,10*LOG10(SUM(BG13:BL13)/(COUNT(R13,X13,AB13,AF13,AJ13,AN13))))</f>
        <v/>
      </c>
      <c r="P13" s="5">
        <f>IF(AND(Y13="",AC13="",AG13="",AK13="",AO13=""),S13,AVERAGE(S13,Y13,AC13,AG13,AK13,AO13)+STDEV(S13,Y13,AC13,AG13,AK13,AO13))</f>
        <v/>
      </c>
      <c r="Q13" s="14" t="n">
        <v>300</v>
      </c>
      <c r="R13" s="11" t="n">
        <v>83</v>
      </c>
      <c r="S13" s="12" t="n">
        <v>98.3</v>
      </c>
      <c r="T13" s="13" t="n">
        <v>115.1</v>
      </c>
      <c r="U13" s="79" t="n"/>
      <c r="V13" s="79" t="n"/>
      <c r="W13" s="10" t="n">
        <v>300</v>
      </c>
      <c r="X13" s="11" t="n">
        <v>88</v>
      </c>
      <c r="Y13" s="12" t="n">
        <v>100.3</v>
      </c>
      <c r="Z13" s="13" t="n">
        <v>118.6</v>
      </c>
      <c r="AA13" s="10" t="n">
        <v>300</v>
      </c>
      <c r="AB13" s="11" t="n">
        <v>92.5</v>
      </c>
      <c r="AC13" s="12" t="n">
        <v>96.8</v>
      </c>
      <c r="AD13" s="13" t="n">
        <v>126.4</v>
      </c>
      <c r="AE13" s="14" t="n">
        <v>300</v>
      </c>
      <c r="AF13" s="11" t="n">
        <v>85.7</v>
      </c>
      <c r="AG13" s="12" t="n">
        <v>96.09999999999999</v>
      </c>
      <c r="AH13" s="13" t="n">
        <v>118.1</v>
      </c>
      <c r="AI13" s="10" t="n">
        <v>300</v>
      </c>
      <c r="AJ13" s="11" t="n">
        <v>88.3</v>
      </c>
      <c r="AK13" s="12" t="n">
        <v>96.90000000000001</v>
      </c>
      <c r="AL13" s="13" t="n">
        <v>116.9</v>
      </c>
      <c r="AM13" s="10" t="n">
        <v>300</v>
      </c>
      <c r="AN13" s="11" t="n">
        <v>85.59999999999999</v>
      </c>
      <c r="AO13" s="12" t="n">
        <v>98.8</v>
      </c>
      <c r="AP13" s="13" t="n">
        <v>119.2</v>
      </c>
      <c r="AQ13" s="6">
        <f>IF(AND((O13)&lt;85,N13&lt;137),"NO","SI")</f>
        <v/>
      </c>
      <c r="AR13" s="7">
        <f>IF((480*(10^(7.95-(O13/10))))&lt;480,480*(10^(7.95-(O13/10))),480)</f>
        <v/>
      </c>
      <c r="AS13" s="8">
        <f>IF((480*(10^(8.45-(O13/10))))&lt;480,480*(10^(8.45-(O13/10))),480)</f>
        <v/>
      </c>
      <c r="AT13" s="9">
        <f>IF((480*(10^(8.65-(O13/10))))&lt;480,480*(10^(8.65-(O13/10))),480)</f>
        <v/>
      </c>
      <c r="AU13" s="151">
        <f>IF(O13&lt;80,"0",IF((P13-O13)&lt;=2,('DPI art.191'!$G$3-(('DPI art.191'!$F$3-'DPI art.191'!$G$3)/4)*(P13-O13-2)),('DPI art.191'!$G$3-(('DPI art.191'!$F$3-'DPI art.191'!$H$3)/8)*(P13-O13-2))))</f>
        <v/>
      </c>
      <c r="AV13" s="24">
        <f>O13-AU13</f>
        <v/>
      </c>
      <c r="AW13" s="24">
        <f>IF(N13&lt;135,N13,N13-'DPI art.191'!$I$3)</f>
        <v/>
      </c>
      <c r="AX13" s="111">
        <f>IF(I13&lt;80,"0",IF((J13-I13)&lt;=2,('DPI art.191'!$G$7-(('DPI art.191'!$F$7-'DPI art.191'!$G$7)/4)*(I13-J13-2)),('DPI art.191'!$G$7-(('DPI art.191'!$G$7-'DPI art.191'!$H$7)/8)*(J13-I13-2))))</f>
        <v/>
      </c>
      <c r="AY13" s="24">
        <f>I13-AX13</f>
        <v/>
      </c>
      <c r="AZ13" s="24">
        <f>IF(H13&lt;135,H13,H13-'DPI art.191'!$I$7)</f>
        <v/>
      </c>
      <c r="BA13" s="111">
        <f>IF(O13&lt;80,"0",IF((P13-O13)&lt;=2,('DPI art.191'!$G$5-(('DPI art.191'!$F$5-'DPI art.191'!$G$5)/4)*(P13-O13-2)),('DPI art.191'!$G$5-(('DPI art.191'!$G$5-'DPI art.191'!$H$5)/8)*(P13-O13-2))))</f>
        <v/>
      </c>
      <c r="BB13" s="24">
        <f>R13-BA13</f>
        <v/>
      </c>
      <c r="BC13" s="24">
        <f>IF(N13&lt;135,N13,N13-'DPI art.191'!$I$5)</f>
        <v/>
      </c>
      <c r="BD13" s="111">
        <f>IF(O13&lt;80,"0",IF((P13-O13)&lt;=2,('DPI art.191'!$G$7-(('DPI art.191'!$F$7-'DPI art.191'!$G$7)/4)*(O13-P13-2)),('DPI art.191'!$G$7-(('DPI art.191'!$G$7-'DPI art.191'!$H$7)/8)*(P13-O13-2))))</f>
        <v/>
      </c>
      <c r="BE13" s="24">
        <f>O13-BD13</f>
        <v/>
      </c>
      <c r="BF13" s="24">
        <f>IF(N13&lt;135,N13,N13-'DPI art.191'!$I$7)</f>
        <v/>
      </c>
      <c r="BG13" s="108">
        <f>10^(0.1*R13)</f>
        <v/>
      </c>
      <c r="BH13" s="108">
        <f>10^(0.1*X13)</f>
        <v/>
      </c>
      <c r="BI13" s="108">
        <f>10^(0.1*AB13)</f>
        <v/>
      </c>
      <c r="BJ13" s="108">
        <f>10^(0.1*AF13)</f>
        <v/>
      </c>
      <c r="BK13" s="108">
        <f>10^(0.1*AJ13)</f>
        <v/>
      </c>
      <c r="BL13" s="108">
        <f>10^(0.1*AN13)</f>
        <v/>
      </c>
      <c r="BM13" s="106">
        <f>IF(R13&gt;0,(O13-R13),"")</f>
        <v/>
      </c>
      <c r="BN13" s="106">
        <f>IF(X13&gt;0,(O13-X13),"")</f>
        <v/>
      </c>
      <c r="BO13" s="106">
        <f>IF(AB13&gt;0,(O13-AB13),"")</f>
        <v/>
      </c>
      <c r="BP13" s="106">
        <f>IF(AF13&gt;0,(O13-AF13),"")</f>
        <v/>
      </c>
      <c r="BQ13" s="106">
        <f>IF(AJ13&gt;0,(O13-AJ13),"")</f>
        <v/>
      </c>
      <c r="BR13" s="106">
        <f>IF(AN13&gt;0,(O13-AN13),"")</f>
        <v/>
      </c>
      <c r="BS13" s="106">
        <f>COUNT(BM13:BR13)</f>
        <v/>
      </c>
      <c r="BT13" s="464">
        <f>IF(BS13=0,0,IF(BS13=1,0,1/(BS13*(BS13-1))))</f>
        <v/>
      </c>
      <c r="BU13" s="136">
        <f>IF(R13&gt;0,(BM13^2),"")</f>
        <v/>
      </c>
      <c r="BV13" s="136">
        <f>IF(X13&gt;0,(BN13^2),"")</f>
        <v/>
      </c>
      <c r="BW13" s="136">
        <f>IF(AB13&gt;0,(BO13^2),"")</f>
        <v/>
      </c>
      <c r="BX13" s="136">
        <f>IF(AF13&gt;0,(BP13^2),"")</f>
        <v/>
      </c>
      <c r="BY13" s="136">
        <f>IF(AJ13&gt;0,(BQ13^2),"")</f>
        <v/>
      </c>
      <c r="BZ13" s="136">
        <f>IF(AN13&gt;0,(BR13^2),"")</f>
        <v/>
      </c>
    </row>
    <row r="14" ht="25.5" customHeight="1" s="444">
      <c r="A14" s="340" t="inlineStr">
        <is>
          <t>031/28</t>
        </is>
      </c>
      <c r="B14" s="65" t="inlineStr">
        <is>
          <t>W9</t>
        </is>
      </c>
      <c r="C14" s="78" t="inlineStr">
        <is>
          <t>Autogru</t>
        </is>
      </c>
      <c r="D14" s="83" t="inlineStr">
        <is>
          <t>LOCATELLI</t>
        </is>
      </c>
      <c r="E14" s="83" t="inlineStr">
        <is>
          <t>GRIL 8600 T</t>
        </is>
      </c>
      <c r="F14" s="192" t="inlineStr">
        <is>
          <t>Movimentazione con autogru in esterno</t>
        </is>
      </c>
      <c r="G14" s="71" t="n">
        <v>45996</v>
      </c>
      <c r="H14" s="77" t="inlineStr">
        <is>
          <t>Compito</t>
        </is>
      </c>
      <c r="I14" s="77">
        <f>IF((V14-R14)&gt;3,"SI","")</f>
        <v/>
      </c>
      <c r="J14" s="77" t="inlineStr">
        <is>
          <t>SI</t>
        </is>
      </c>
      <c r="K14" s="77" t="n"/>
      <c r="L14" s="77" t="n"/>
      <c r="M14" s="137">
        <f>IF(R14&gt;0,(SQRT(BT14*(SUM(BU14:BZ14)))),"")</f>
        <v/>
      </c>
      <c r="N14" s="4">
        <f>IF(T14&gt;0,(MAX(T14,Z14,AD14,AH14,AL14,AP14))+SQRT(1.2^2+1^2),"")</f>
        <v/>
      </c>
      <c r="O14" s="3">
        <f>IF(R14="",0,10*LOG10(SUM(BG14:BL14)/(COUNT(R14,X14,AB14,AF14,AJ14,AN14))))</f>
        <v/>
      </c>
      <c r="P14" s="5">
        <f>IF(AND(Y14="",AC14="",AG14="",AK14="",AO14=""),S14,AVERAGE(S14,Y14,AC14,AG14,AK14,AO14)+STDEV(S14,Y14,AC14,AG14,AK14,AO14))</f>
        <v/>
      </c>
      <c r="Q14" s="14" t="n">
        <v>300</v>
      </c>
      <c r="R14" s="11" t="n">
        <v>75.5</v>
      </c>
      <c r="S14" s="12" t="n">
        <v>89.09999999999999</v>
      </c>
      <c r="T14" s="13" t="n">
        <v>117</v>
      </c>
      <c r="U14" s="79" t="n"/>
      <c r="V14" s="79" t="n"/>
      <c r="W14" s="10" t="n">
        <v>300</v>
      </c>
      <c r="X14" s="11" t="n">
        <v>79.40000000000001</v>
      </c>
      <c r="Y14" s="12" t="n">
        <v>87.5</v>
      </c>
      <c r="Z14" s="13" t="n">
        <v>106</v>
      </c>
      <c r="AA14" s="10" t="n">
        <v>300</v>
      </c>
      <c r="AB14" s="11" t="n">
        <v>75.90000000000001</v>
      </c>
      <c r="AC14" s="12" t="n">
        <v>86.40000000000001</v>
      </c>
      <c r="AD14" s="13" t="n">
        <v>104</v>
      </c>
      <c r="AE14" s="14" t="n">
        <v>300</v>
      </c>
      <c r="AF14" s="11" t="n">
        <v>79.2</v>
      </c>
      <c r="AG14" s="12" t="n">
        <v>87.8</v>
      </c>
      <c r="AH14" s="13" t="n">
        <v>120.3</v>
      </c>
      <c r="AI14" s="10" t="n">
        <v>300</v>
      </c>
      <c r="AJ14" s="11" t="n">
        <v>81.2</v>
      </c>
      <c r="AK14" s="12" t="n">
        <v>90.3</v>
      </c>
      <c r="AL14" s="13" t="n">
        <v>117.4</v>
      </c>
      <c r="AM14" s="10" t="n">
        <v>300</v>
      </c>
      <c r="AN14" s="11" t="n">
        <v>80.90000000000001</v>
      </c>
      <c r="AO14" s="12" t="n">
        <v>92.8</v>
      </c>
      <c r="AP14" s="13" t="n">
        <v>114.5</v>
      </c>
      <c r="AQ14" s="6">
        <f>IF(AND((O14)&lt;85,N14&lt;137),"NO","SI")</f>
        <v/>
      </c>
      <c r="AR14" s="7">
        <f>IF((480*(10^(7.95-(O14/10))))&lt;480,480*(10^(7.95-(O14/10))),480)</f>
        <v/>
      </c>
      <c r="AS14" s="8">
        <f>IF((480*(10^(8.45-(O14/10))))&lt;480,480*(10^(8.45-(O14/10))),480)</f>
        <v/>
      </c>
      <c r="AT14" s="9">
        <f>IF((480*(10^(8.65-(O14/10))))&lt;480,480*(10^(8.65-(O14/10))),480)</f>
        <v/>
      </c>
      <c r="AU14" s="151">
        <f>IF(O14&lt;80,"0",IF((P14-O14)&lt;=2,('DPI art.191'!$G$3-(('DPI art.191'!$F$3-'DPI art.191'!$G$3)/4)*(P14-O14-2)),('DPI art.191'!$G$3-(('DPI art.191'!$F$3-'DPI art.191'!$H$3)/8)*(P14-O14-2))))</f>
        <v/>
      </c>
      <c r="AV14" s="24">
        <f>O14-AU14</f>
        <v/>
      </c>
      <c r="AW14" s="24">
        <f>IF(N14&lt;135,N14,N14-'DPI art.191'!$I$3)</f>
        <v/>
      </c>
      <c r="AX14" s="111">
        <f>IF(I14&lt;80,"0",IF((J14-I14)&lt;=2,('DPI art.191'!$G$7-(('DPI art.191'!$F$7-'DPI art.191'!$G$7)/4)*(I14-J14-2)),('DPI art.191'!$G$7-(('DPI art.191'!$G$7-'DPI art.191'!$H$7)/8)*(J14-I14-2))))</f>
        <v/>
      </c>
      <c r="AY14" s="24">
        <f>I14-AX14</f>
        <v/>
      </c>
      <c r="AZ14" s="24">
        <f>IF(H14&lt;135,H14,H14-'DPI art.191'!$I$7)</f>
        <v/>
      </c>
      <c r="BA14" s="111">
        <f>IF(O14&lt;80,"0",IF((P14-O14)&lt;=2,('DPI art.191'!$G$5-(('DPI art.191'!$F$5-'DPI art.191'!$G$5)/4)*(P14-O14-2)),('DPI art.191'!$G$5-(('DPI art.191'!$G$5-'DPI art.191'!$H$5)/8)*(P14-O14-2))))</f>
        <v/>
      </c>
      <c r="BB14" s="24">
        <f>R14-BA14</f>
        <v/>
      </c>
      <c r="BC14" s="24">
        <f>IF(N14&lt;135,N14,N14-'DPI art.191'!$I$5)</f>
        <v/>
      </c>
      <c r="BD14" s="111">
        <f>IF(O14&lt;80,"0",IF((P14-O14)&lt;=2,('DPI art.191'!$G$7-(('DPI art.191'!$F$7-'DPI art.191'!$G$7)/4)*(O14-P14-2)),('DPI art.191'!$G$7-(('DPI art.191'!$G$7-'DPI art.191'!$H$7)/8)*(P14-O14-2))))</f>
        <v/>
      </c>
      <c r="BE14" s="24">
        <f>O14-BD14</f>
        <v/>
      </c>
      <c r="BF14" s="24">
        <f>IF(N14&lt;135,N14,N14-'DPI art.191'!$I$7)</f>
        <v/>
      </c>
      <c r="BG14" s="108">
        <f>10^(0.1*R14)</f>
        <v/>
      </c>
      <c r="BH14" s="108">
        <f>10^(0.1*X14)</f>
        <v/>
      </c>
      <c r="BI14" s="108">
        <f>10^(0.1*AB14)</f>
        <v/>
      </c>
      <c r="BJ14" s="108">
        <f>10^(0.1*AF14)</f>
        <v/>
      </c>
      <c r="BK14" s="108">
        <f>10^(0.1*AJ14)</f>
        <v/>
      </c>
      <c r="BL14" s="108">
        <f>10^(0.1*AN14)</f>
        <v/>
      </c>
      <c r="BM14" s="106">
        <f>IF(R14&gt;0,(O14-R14),"")</f>
        <v/>
      </c>
      <c r="BN14" s="106">
        <f>IF(X14&gt;0,(O14-X14),"")</f>
        <v/>
      </c>
      <c r="BO14" s="106">
        <f>IF(AB14&gt;0,(O14-AB14),"")</f>
        <v/>
      </c>
      <c r="BP14" s="106">
        <f>IF(AF14&gt;0,(O14-AF14),"")</f>
        <v/>
      </c>
      <c r="BQ14" s="106">
        <f>IF(AJ14&gt;0,(O14-AJ14),"")</f>
        <v/>
      </c>
      <c r="BR14" s="106">
        <f>IF(AN14&gt;0,(O14-AN14),"")</f>
        <v/>
      </c>
      <c r="BS14" s="106">
        <f>COUNT(BM14:BR14)</f>
        <v/>
      </c>
      <c r="BT14" s="464">
        <f>IF(BS14=0,0,IF(BS14=1,0,1/(BS14*(BS14-1))))</f>
        <v/>
      </c>
      <c r="BU14" s="136">
        <f>IF(R14&gt;0,(BM14^2),"")</f>
        <v/>
      </c>
      <c r="BV14" s="136">
        <f>IF(X14&gt;0,(BN14^2),"")</f>
        <v/>
      </c>
      <c r="BW14" s="136">
        <f>IF(AB14&gt;0,(BO14^2),"")</f>
        <v/>
      </c>
      <c r="BX14" s="136">
        <f>IF(AF14&gt;0,(BP14^2),"")</f>
        <v/>
      </c>
      <c r="BY14" s="136">
        <f>IF(AJ14&gt;0,(BQ14^2),"")</f>
        <v/>
      </c>
      <c r="BZ14" s="136">
        <f>IF(AN14&gt;0,(BR14^2),"")</f>
        <v/>
      </c>
    </row>
    <row r="15" ht="25.5" customHeight="1" s="444">
      <c r="A15" s="340" t="inlineStr">
        <is>
          <t>031/33</t>
        </is>
      </c>
      <c r="B15" s="65" t="inlineStr">
        <is>
          <t>W10</t>
        </is>
      </c>
      <c r="C15" s="78" t="inlineStr">
        <is>
          <t>Autogru</t>
        </is>
      </c>
      <c r="D15" s="83" t="inlineStr">
        <is>
          <t>CAMS</t>
        </is>
      </c>
      <c r="E15" s="83" t="inlineStr">
        <is>
          <t>SP180</t>
        </is>
      </c>
      <c r="F15" s="192" t="inlineStr">
        <is>
          <t>Movimentazione con autogru in esterno</t>
        </is>
      </c>
      <c r="G15" s="71" t="n">
        <v>45996</v>
      </c>
      <c r="H15" s="77" t="inlineStr">
        <is>
          <t>Compito</t>
        </is>
      </c>
      <c r="I15" s="77">
        <f>IF((V15-R15)&gt;3,"SI","")</f>
        <v/>
      </c>
      <c r="J15" s="77" t="inlineStr">
        <is>
          <t>SI</t>
        </is>
      </c>
      <c r="K15" s="77" t="n"/>
      <c r="L15" s="77" t="n"/>
      <c r="M15" s="137">
        <f>IF(R15&gt;0,(SQRT(BT15*(SUM(BU15:BZ15)))),"")</f>
        <v/>
      </c>
      <c r="N15" s="4">
        <f>IF(T15&gt;0,(MAX(T15,Z15,AD15,AH15,AL15,AP15))+SQRT(1.2^2+1^2),"")</f>
        <v/>
      </c>
      <c r="O15" s="3">
        <f>IF(R15="",0,10*LOG10(SUM(BG15:BL15)/(COUNT(R15,X15,AB15,AF15,AJ15,AN15))))</f>
        <v/>
      </c>
      <c r="P15" s="5">
        <f>IF(AND(Y15="",AC15="",AG15="",AK15="",AO15=""),S15,AVERAGE(S15,Y15,AC15,AG15,AK15,AO15)+STDEV(S15,Y15,AC15,AG15,AK15,AO15))</f>
        <v/>
      </c>
      <c r="Q15" s="14" t="n">
        <v>300</v>
      </c>
      <c r="R15" s="11" t="n">
        <v>81.5</v>
      </c>
      <c r="S15" s="12" t="n">
        <v>104.6</v>
      </c>
      <c r="T15" s="13" t="n">
        <v>131.2</v>
      </c>
      <c r="U15" s="79" t="n"/>
      <c r="V15" s="79" t="n"/>
      <c r="W15" s="10" t="n">
        <v>300</v>
      </c>
      <c r="X15" s="11" t="n">
        <v>80.59999999999999</v>
      </c>
      <c r="Y15" s="12" t="n">
        <v>107.5</v>
      </c>
      <c r="Z15" s="13" t="n">
        <v>121.1</v>
      </c>
      <c r="AA15" s="10" t="n">
        <v>300</v>
      </c>
      <c r="AB15" s="11" t="n">
        <v>81.40000000000001</v>
      </c>
      <c r="AC15" s="12" t="n">
        <v>110.3</v>
      </c>
      <c r="AD15" s="13" t="n">
        <v>121.2</v>
      </c>
      <c r="AE15" s="14" t="n">
        <v>300</v>
      </c>
      <c r="AF15" s="11" t="n">
        <v>82.8</v>
      </c>
      <c r="AG15" s="12" t="n">
        <v>106.1</v>
      </c>
      <c r="AH15" s="13" t="n">
        <v>120.7</v>
      </c>
      <c r="AI15" s="10" t="n">
        <v>300</v>
      </c>
      <c r="AJ15" s="11" t="n">
        <v>83</v>
      </c>
      <c r="AK15" s="12" t="n">
        <v>103.3</v>
      </c>
      <c r="AL15" s="13" t="n">
        <v>113.9</v>
      </c>
      <c r="AM15" s="10" t="n">
        <v>300</v>
      </c>
      <c r="AN15" s="11" t="n">
        <v>83.5</v>
      </c>
      <c r="AO15" s="12" t="n">
        <v>104</v>
      </c>
      <c r="AP15" s="13" t="n">
        <v>118.8</v>
      </c>
      <c r="AQ15" s="6">
        <f>IF(AND((O15)&lt;85,N15&lt;137),"NO","SI")</f>
        <v/>
      </c>
      <c r="AR15" s="7">
        <f>IF((480*(10^(7.95-(O15/10))))&lt;480,480*(10^(7.95-(O15/10))),480)</f>
        <v/>
      </c>
      <c r="AS15" s="8">
        <f>IF((480*(10^(8.45-(O15/10))))&lt;480,480*(10^(8.45-(O15/10))),480)</f>
        <v/>
      </c>
      <c r="AT15" s="9">
        <f>IF((480*(10^(8.65-(O15/10))))&lt;480,480*(10^(8.65-(O15/10))),480)</f>
        <v/>
      </c>
      <c r="AU15" s="151">
        <f>IF(O15&lt;80,"0",IF((P15-O15)&lt;=2,('DPI art.191'!$G$3-(('DPI art.191'!$F$3-'DPI art.191'!$G$3)/4)*(P15-O15-2)),('DPI art.191'!$G$3-(('DPI art.191'!$F$3-'DPI art.191'!$H$3)/8)*(P15-O15-2))))</f>
        <v/>
      </c>
      <c r="AV15" s="24">
        <f>O15-AU15</f>
        <v/>
      </c>
      <c r="AW15" s="24">
        <f>IF(N15&lt;135,N15,N15-'DPI art.191'!$I$3)</f>
        <v/>
      </c>
      <c r="AX15" s="111">
        <f>IF(I15&lt;80,"0",IF((J15-I15)&lt;=2,('DPI art.191'!$G$7-(('DPI art.191'!$F$7-'DPI art.191'!$G$7)/4)*(I15-J15-2)),('DPI art.191'!$G$7-(('DPI art.191'!$G$7-'DPI art.191'!$H$7)/8)*(J15-I15-2))))</f>
        <v/>
      </c>
      <c r="AY15" s="24">
        <f>I15-AX15</f>
        <v/>
      </c>
      <c r="AZ15" s="24">
        <f>IF(H15&lt;135,H15,H15-'DPI art.191'!$I$7)</f>
        <v/>
      </c>
      <c r="BA15" s="111">
        <f>IF(O15&lt;80,"0",IF((P15-O15)&lt;=2,('DPI art.191'!$G$5-(('DPI art.191'!$F$5-'DPI art.191'!$G$5)/4)*(P15-O15-2)),('DPI art.191'!$G$5-(('DPI art.191'!$G$5-'DPI art.191'!$H$5)/8)*(P15-O15-2))))</f>
        <v/>
      </c>
      <c r="BB15" s="24">
        <f>R15-BA15</f>
        <v/>
      </c>
      <c r="BC15" s="24">
        <f>IF(N15&lt;135,N15,N15-'DPI art.191'!$I$5)</f>
        <v/>
      </c>
      <c r="BD15" s="111">
        <f>IF(O15&lt;80,"0",IF((P15-O15)&lt;=2,('DPI art.191'!$G$7-(('DPI art.191'!$F$7-'DPI art.191'!$G$7)/4)*(O15-P15-2)),('DPI art.191'!$G$7-(('DPI art.191'!$G$7-'DPI art.191'!$H$7)/8)*(P15-O15-2))))</f>
        <v/>
      </c>
      <c r="BE15" s="24">
        <f>O15-BD15</f>
        <v/>
      </c>
      <c r="BF15" s="24">
        <f>IF(N15&lt;135,N15,N15-'DPI art.191'!$I$7)</f>
        <v/>
      </c>
      <c r="BG15" s="108">
        <f>10^(0.1*R15)</f>
        <v/>
      </c>
      <c r="BH15" s="108">
        <f>10^(0.1*X15)</f>
        <v/>
      </c>
      <c r="BI15" s="108">
        <f>10^(0.1*AB15)</f>
        <v/>
      </c>
      <c r="BJ15" s="108">
        <f>10^(0.1*AF15)</f>
        <v/>
      </c>
      <c r="BK15" s="108">
        <f>10^(0.1*AJ15)</f>
        <v/>
      </c>
      <c r="BL15" s="108">
        <f>10^(0.1*AN15)</f>
        <v/>
      </c>
      <c r="BM15" s="106">
        <f>IF(R15&gt;0,(O15-R15),"")</f>
        <v/>
      </c>
      <c r="BN15" s="106">
        <f>IF(X15&gt;0,(O15-X15),"")</f>
        <v/>
      </c>
      <c r="BO15" s="106">
        <f>IF(AB15&gt;0,(O15-AB15),"")</f>
        <v/>
      </c>
      <c r="BP15" s="106">
        <f>IF(AF15&gt;0,(O15-AF15),"")</f>
        <v/>
      </c>
      <c r="BQ15" s="106">
        <f>IF(AJ15&gt;0,(O15-AJ15),"")</f>
        <v/>
      </c>
      <c r="BR15" s="106">
        <f>IF(AN15&gt;0,(O15-AN15),"")</f>
        <v/>
      </c>
      <c r="BS15" s="106">
        <f>COUNT(BM15:BR15)</f>
        <v/>
      </c>
      <c r="BT15" s="464">
        <f>IF(BS15=0,0,IF(BS15=1,0,1/(BS15*(BS15-1))))</f>
        <v/>
      </c>
      <c r="BU15" s="136">
        <f>IF(R15&gt;0,(BM15^2),"")</f>
        <v/>
      </c>
      <c r="BV15" s="136">
        <f>IF(X15&gt;0,(BN15^2),"")</f>
        <v/>
      </c>
      <c r="BW15" s="136">
        <f>IF(AB15&gt;0,(BO15^2),"")</f>
        <v/>
      </c>
      <c r="BX15" s="136">
        <f>IF(AF15&gt;0,(BP15^2),"")</f>
        <v/>
      </c>
      <c r="BY15" s="136">
        <f>IF(AJ15&gt;0,(BQ15^2),"")</f>
        <v/>
      </c>
      <c r="BZ15" s="136">
        <f>IF(AN15&gt;0,(BR15^2),"")</f>
        <v/>
      </c>
    </row>
    <row r="16" ht="18.75" customHeight="1" s="444">
      <c r="A16" s="340" t="inlineStr">
        <is>
          <t>045/25</t>
        </is>
      </c>
      <c r="B16" s="65" t="inlineStr">
        <is>
          <t>W11</t>
        </is>
      </c>
      <c r="C16" s="78" t="inlineStr">
        <is>
          <t>Trattore</t>
        </is>
      </c>
      <c r="D16" s="83" t="inlineStr">
        <is>
          <t>NEW-HOLLAND</t>
        </is>
      </c>
      <c r="E16" s="83" t="inlineStr">
        <is>
          <t>T6-120</t>
        </is>
      </c>
      <c r="F16" s="192" t="inlineStr">
        <is>
          <t>Trasferimenti con trattore in esterno</t>
        </is>
      </c>
      <c r="G16" s="71" t="n">
        <v>45996</v>
      </c>
      <c r="H16" s="77" t="inlineStr">
        <is>
          <t>Compito</t>
        </is>
      </c>
      <c r="I16" s="77">
        <f>IF((V16-R16)&gt;3,"SI","")</f>
        <v/>
      </c>
      <c r="J16" s="77" t="inlineStr">
        <is>
          <t>SI</t>
        </is>
      </c>
      <c r="K16" s="77" t="n"/>
      <c r="L16" s="77" t="n"/>
      <c r="M16" s="137">
        <f>IF(R16&gt;0,(SQRT(BT16*(SUM(BU16:BZ16)))),"")</f>
        <v/>
      </c>
      <c r="N16" s="4">
        <f>IF(T16&gt;0,(MAX(T16,Z16,AD16,AH16,AL16,AP16))+SQRT(1.2^2+1^2),"")</f>
        <v/>
      </c>
      <c r="O16" s="3">
        <f>IF(R16="",0,10*LOG10(SUM(BG16:BL16)/(COUNT(R16,X16,AB16,AF16,AJ16,AN16))))</f>
        <v/>
      </c>
      <c r="P16" s="5">
        <f>IF(AND(Y16="",AC16="",AG16="",AK16="",AO16=""),S16,AVERAGE(S16,Y16,AC16,AG16,AK16,AO16)+STDEV(S16,Y16,AC16,AG16,AK16,AO16))</f>
        <v/>
      </c>
      <c r="Q16" s="14" t="n">
        <v>300</v>
      </c>
      <c r="R16" s="11" t="n">
        <v>82</v>
      </c>
      <c r="S16" s="12" t="n">
        <v>92.2</v>
      </c>
      <c r="T16" s="13" t="n">
        <v>132.5</v>
      </c>
      <c r="U16" s="79" t="n"/>
      <c r="V16" s="79" t="n"/>
      <c r="W16" s="10" t="n">
        <v>300</v>
      </c>
      <c r="X16" s="11" t="n">
        <v>89.7</v>
      </c>
      <c r="Y16" s="12" t="n">
        <v>100.1</v>
      </c>
      <c r="Z16" s="13" t="n">
        <v>134.7</v>
      </c>
      <c r="AA16" s="10" t="n">
        <v>300</v>
      </c>
      <c r="AB16" s="11" t="n">
        <v>91.40000000000001</v>
      </c>
      <c r="AC16" s="12" t="n">
        <v>93.3</v>
      </c>
      <c r="AD16" s="13" t="n">
        <v>117.9</v>
      </c>
      <c r="AE16" s="14" t="n">
        <v>300</v>
      </c>
      <c r="AF16" s="11" t="n">
        <v>82.8</v>
      </c>
      <c r="AG16" s="12" t="n">
        <v>94.7</v>
      </c>
      <c r="AH16" s="13" t="n">
        <v>135</v>
      </c>
      <c r="AI16" s="10" t="n">
        <v>300</v>
      </c>
      <c r="AJ16" s="11" t="n">
        <v>89.7</v>
      </c>
      <c r="AK16" s="12" t="n">
        <v>92</v>
      </c>
      <c r="AL16" s="13" t="n">
        <v>128.7</v>
      </c>
      <c r="AM16" s="10" t="n">
        <v>300</v>
      </c>
      <c r="AN16" s="11" t="n">
        <v>90.2</v>
      </c>
      <c r="AO16" s="12" t="n">
        <v>94.5</v>
      </c>
      <c r="AP16" s="13" t="n">
        <v>133.9</v>
      </c>
      <c r="AQ16" s="6">
        <f>IF(AND((O16)&lt;85,N16&lt;137),"NO","SI")</f>
        <v/>
      </c>
      <c r="AR16" s="7">
        <f>IF((480*(10^(7.95-(O16/10))))&lt;480,480*(10^(7.95-(O16/10))),480)</f>
        <v/>
      </c>
      <c r="AS16" s="8">
        <f>IF((480*(10^(8.45-(O16/10))))&lt;480,480*(10^(8.45-(O16/10))),480)</f>
        <v/>
      </c>
      <c r="AT16" s="9">
        <f>IF((480*(10^(8.65-(O16/10))))&lt;480,480*(10^(8.65-(O16/10))),480)</f>
        <v/>
      </c>
      <c r="AU16" s="151">
        <f>IF(O16&lt;80,"0",IF((P16-O16)&lt;=2,('DPI art.191'!$G$3-(('DPI art.191'!$F$3-'DPI art.191'!$G$3)/4)*(P16-O16-2)),('DPI art.191'!$G$3-(('DPI art.191'!$F$3-'DPI art.191'!$H$3)/8)*(P16-O16-2))))</f>
        <v/>
      </c>
      <c r="AV16" s="24">
        <f>O16-AU16</f>
        <v/>
      </c>
      <c r="AW16" s="24">
        <f>IF(N16&lt;135,N16,N16-'DPI art.191'!$I$3)</f>
        <v/>
      </c>
      <c r="AX16" s="111">
        <f>IF(I16&lt;80,"0",IF((J16-I16)&lt;=2,('DPI art.191'!$G$7-(('DPI art.191'!$F$7-'DPI art.191'!$G$7)/4)*(I16-J16-2)),('DPI art.191'!$G$7-(('DPI art.191'!$G$7-'DPI art.191'!$H$7)/8)*(J16-I16-2))))</f>
        <v/>
      </c>
      <c r="AY16" s="24">
        <f>I16-AX16</f>
        <v/>
      </c>
      <c r="AZ16" s="24">
        <f>IF(H16&lt;135,H16,H16-'DPI art.191'!$I$7)</f>
        <v/>
      </c>
      <c r="BA16" s="111">
        <f>IF(O16&lt;80,"0",IF((P16-O16)&lt;=2,('DPI art.191'!$G$5-(('DPI art.191'!$F$5-'DPI art.191'!$G$5)/4)*(P16-O16-2)),('DPI art.191'!$G$5-(('DPI art.191'!$G$5-'DPI art.191'!$H$5)/8)*(P16-O16-2))))</f>
        <v/>
      </c>
      <c r="BB16" s="24">
        <f>R16-BA16</f>
        <v/>
      </c>
      <c r="BC16" s="24">
        <f>IF(N16&lt;135,N16,N16-'DPI art.191'!$I$5)</f>
        <v/>
      </c>
      <c r="BD16" s="111">
        <f>IF(O16&lt;80,"0",IF((P16-O16)&lt;=2,('DPI art.191'!$G$7-(('DPI art.191'!$F$7-'DPI art.191'!$G$7)/4)*(O16-P16-2)),('DPI art.191'!$G$7-(('DPI art.191'!$G$7-'DPI art.191'!$H$7)/8)*(P16-O16-2))))</f>
        <v/>
      </c>
      <c r="BE16" s="24">
        <f>O16-BD16</f>
        <v/>
      </c>
      <c r="BF16" s="24">
        <f>IF(N16&lt;135,N16,N16-'DPI art.191'!$I$7)</f>
        <v/>
      </c>
      <c r="BG16" s="108">
        <f>10^(0.1*R16)</f>
        <v/>
      </c>
      <c r="BH16" s="108">
        <f>10^(0.1*X16)</f>
        <v/>
      </c>
      <c r="BI16" s="108">
        <f>10^(0.1*AB16)</f>
        <v/>
      </c>
      <c r="BJ16" s="108">
        <f>10^(0.1*AF16)</f>
        <v/>
      </c>
      <c r="BK16" s="108">
        <f>10^(0.1*AJ16)</f>
        <v/>
      </c>
      <c r="BL16" s="108">
        <f>10^(0.1*AN16)</f>
        <v/>
      </c>
      <c r="BM16" s="106">
        <f>IF(R16&gt;0,(O16-R16),"")</f>
        <v/>
      </c>
      <c r="BN16" s="106">
        <f>IF(X16&gt;0,(O16-X16),"")</f>
        <v/>
      </c>
      <c r="BO16" s="106">
        <f>IF(AB16&gt;0,(O16-AB16),"")</f>
        <v/>
      </c>
      <c r="BP16" s="106">
        <f>IF(AF16&gt;0,(O16-AF16),"")</f>
        <v/>
      </c>
      <c r="BQ16" s="106">
        <f>IF(AJ16&gt;0,(O16-AJ16),"")</f>
        <v/>
      </c>
      <c r="BR16" s="106">
        <f>IF(AN16&gt;0,(O16-AN16),"")</f>
        <v/>
      </c>
      <c r="BS16" s="106">
        <f>COUNT(BM16:BR16)</f>
        <v/>
      </c>
      <c r="BT16" s="464">
        <f>IF(BS16=0,0,IF(BS16=1,0,1/(BS16*(BS16-1))))</f>
        <v/>
      </c>
      <c r="BU16" s="136">
        <f>IF(R16&gt;0,(BM16^2),"")</f>
        <v/>
      </c>
      <c r="BV16" s="136">
        <f>IF(X16&gt;0,(BN16^2),"")</f>
        <v/>
      </c>
      <c r="BW16" s="136">
        <f>IF(AB16&gt;0,(BO16^2),"")</f>
        <v/>
      </c>
      <c r="BX16" s="136">
        <f>IF(AF16&gt;0,(BP16^2),"")</f>
        <v/>
      </c>
      <c r="BY16" s="136">
        <f>IF(AJ16&gt;0,(BQ16^2),"")</f>
        <v/>
      </c>
      <c r="BZ16" s="136">
        <f>IF(AN16&gt;0,(BR16^2),"")</f>
        <v/>
      </c>
    </row>
    <row r="17" ht="18.75" customHeight="1" s="444">
      <c r="A17" s="340" t="inlineStr">
        <is>
          <t>Gualdo 2</t>
        </is>
      </c>
      <c r="B17" s="65" t="inlineStr">
        <is>
          <t>W12</t>
        </is>
      </c>
      <c r="C17" s="78" t="inlineStr">
        <is>
          <t>Mola grande</t>
        </is>
      </c>
      <c r="D17" s="83" t="inlineStr">
        <is>
          <t>Bosch</t>
        </is>
      </c>
      <c r="E17" s="83" t="inlineStr">
        <is>
          <t>gws 22-230 J</t>
        </is>
      </c>
      <c r="F17" s="192" t="inlineStr">
        <is>
          <t>Molatura con mola grande</t>
        </is>
      </c>
      <c r="G17" s="71" t="n">
        <v>46003</v>
      </c>
      <c r="H17" s="77" t="inlineStr">
        <is>
          <t>Compito</t>
        </is>
      </c>
      <c r="I17" s="77">
        <f>IF((V17-R17)&gt;3,"SI","")</f>
        <v/>
      </c>
      <c r="J17" s="77" t="inlineStr">
        <is>
          <t>SI</t>
        </is>
      </c>
      <c r="K17" s="77" t="n"/>
      <c r="L17" s="77" t="n"/>
      <c r="M17" s="137">
        <f>IF(R17&gt;0,(SQRT(BT17*(SUM(BU17:BZ17)))),"")</f>
        <v/>
      </c>
      <c r="N17" s="4">
        <f>IF(T17&gt;0,(MAX(T17,Z17,AD17,AH17,AL17,AP17))+SQRT(1.2^2+1^2),"")</f>
        <v/>
      </c>
      <c r="O17" s="3">
        <f>IF(R17="",0,10*LOG10(SUM(BG17:BL17)/(COUNT(R17,X17,AB17,AF17,AJ17,AN17))))</f>
        <v/>
      </c>
      <c r="P17" s="5">
        <f>IF(AND(Y17="",AC17="",AG17="",AK17="",AO17=""),S17,AVERAGE(S17,Y17,AC17,AG17,AK17,AO17)+STDEV(S17,Y17,AC17,AG17,AK17,AO17))</f>
        <v/>
      </c>
      <c r="Q17" s="14" t="n">
        <v>300</v>
      </c>
      <c r="R17" s="11" t="n">
        <v>100.4</v>
      </c>
      <c r="S17" s="12" t="n">
        <v>99.90000000000001</v>
      </c>
      <c r="T17" s="13" t="n">
        <v>123.6</v>
      </c>
      <c r="U17" s="79" t="n"/>
      <c r="V17" s="79" t="n"/>
      <c r="W17" s="10" t="n">
        <v>300</v>
      </c>
      <c r="X17" s="11" t="n">
        <v>100.4</v>
      </c>
      <c r="Y17" s="12" t="n">
        <v>99.7</v>
      </c>
      <c r="Z17" s="13" t="n">
        <v>121</v>
      </c>
      <c r="AA17" s="10" t="n">
        <v>300</v>
      </c>
      <c r="AB17" s="11" t="n">
        <v>95</v>
      </c>
      <c r="AC17" s="12" t="n">
        <v>94.3</v>
      </c>
      <c r="AD17" s="13" t="n">
        <v>119.1</v>
      </c>
      <c r="AE17" s="14" t="n">
        <v>300</v>
      </c>
      <c r="AF17" s="11" t="n">
        <v>93.3</v>
      </c>
      <c r="AG17" s="12" t="n">
        <v>92.40000000000001</v>
      </c>
      <c r="AH17" s="13" t="n">
        <v>121</v>
      </c>
      <c r="AI17" s="10" t="n">
        <v>300</v>
      </c>
      <c r="AJ17" s="11" t="n">
        <v>99.90000000000001</v>
      </c>
      <c r="AK17" s="12" t="n">
        <v>98.90000000000001</v>
      </c>
      <c r="AL17" s="13" t="n">
        <v>120.6</v>
      </c>
      <c r="AM17" s="10" t="n">
        <v>300</v>
      </c>
      <c r="AN17" s="11" t="n">
        <v>98.59999999999999</v>
      </c>
      <c r="AO17" s="12" t="n">
        <v>98</v>
      </c>
      <c r="AP17" s="13" t="n">
        <v>121.8</v>
      </c>
      <c r="AQ17" s="6">
        <f>IF(AND((O17)&lt;85,N17&lt;137),"NO","SI")</f>
        <v/>
      </c>
      <c r="AR17" s="7">
        <f>IF((480*(10^(7.95-(O17/10))))&lt;480,480*(10^(7.95-(O17/10))),480)</f>
        <v/>
      </c>
      <c r="AS17" s="8">
        <f>IF((480*(10^(8.45-(O17/10))))&lt;480,480*(10^(8.45-(O17/10))),480)</f>
        <v/>
      </c>
      <c r="AT17" s="9">
        <f>IF((480*(10^(8.65-(O17/10))))&lt;480,480*(10^(8.65-(O17/10))),480)</f>
        <v/>
      </c>
      <c r="AU17" s="151">
        <f>IF(O17&lt;80,"0",IF((P17-O17)&lt;=2,('DPI art.191'!$G$3-(('DPI art.191'!$F$3-'DPI art.191'!$G$3)/4)*(P17-O17-2)),('DPI art.191'!$G$3-(('DPI art.191'!$F$3-'DPI art.191'!$H$3)/8)*(P17-O17-2))))</f>
        <v/>
      </c>
      <c r="AV17" s="24">
        <f>O17-AU17</f>
        <v/>
      </c>
      <c r="AW17" s="24">
        <f>IF(N17&lt;135,N17,N17-'DPI art.191'!$I$3)</f>
        <v/>
      </c>
      <c r="AX17" s="111">
        <f>IF(I17&lt;80,"0",IF((J17-I17)&lt;=2,('DPI art.191'!$G$7-(('DPI art.191'!$F$7-'DPI art.191'!$G$7)/4)*(I17-J17-2)),('DPI art.191'!$G$7-(('DPI art.191'!$G$7-'DPI art.191'!$H$7)/8)*(J17-I17-2))))</f>
        <v/>
      </c>
      <c r="AY17" s="24">
        <f>I17-AX17</f>
        <v/>
      </c>
      <c r="AZ17" s="24">
        <f>IF(H17&lt;135,H17,H17-'DPI art.191'!$I$7)</f>
        <v/>
      </c>
      <c r="BA17" s="111">
        <f>IF(O17&lt;80,"0",IF((P17-O17)&lt;=2,('DPI art.191'!$G$5-(('DPI art.191'!$F$5-'DPI art.191'!$G$5)/4)*(P17-O17-2)),('DPI art.191'!$G$5-(('DPI art.191'!$G$5-'DPI art.191'!$H$5)/8)*(P17-O17-2))))</f>
        <v/>
      </c>
      <c r="BB17" s="24">
        <f>R17-BA17</f>
        <v/>
      </c>
      <c r="BC17" s="24">
        <f>IF(N17&lt;135,N17,N17-'DPI art.191'!$I$5)</f>
        <v/>
      </c>
      <c r="BD17" s="111">
        <f>IF(O17&lt;80,"0",IF((P17-O17)&lt;=2,('DPI art.191'!$G$7-(('DPI art.191'!$F$7-'DPI art.191'!$G$7)/4)*(O17-P17-2)),('DPI art.191'!$G$7-(('DPI art.191'!$G$7-'DPI art.191'!$H$7)/8)*(P17-O17-2))))</f>
        <v/>
      </c>
      <c r="BE17" s="24">
        <f>O17-BD17</f>
        <v/>
      </c>
      <c r="BF17" s="24">
        <f>IF(N17&lt;135,N17,N17-'DPI art.191'!$I$7)</f>
        <v/>
      </c>
      <c r="BG17" s="108">
        <f>10^(0.1*R17)</f>
        <v/>
      </c>
      <c r="BH17" s="108">
        <f>10^(0.1*X17)</f>
        <v/>
      </c>
      <c r="BI17" s="108">
        <f>10^(0.1*AB17)</f>
        <v/>
      </c>
      <c r="BJ17" s="108">
        <f>10^(0.1*AF17)</f>
        <v/>
      </c>
      <c r="BK17" s="108">
        <f>10^(0.1*AJ17)</f>
        <v/>
      </c>
      <c r="BL17" s="108">
        <f>10^(0.1*AN17)</f>
        <v/>
      </c>
      <c r="BM17" s="106">
        <f>IF(R17&gt;0,(O17-R17),"")</f>
        <v/>
      </c>
      <c r="BN17" s="106">
        <f>IF(X17&gt;0,(O17-X17),"")</f>
        <v/>
      </c>
      <c r="BO17" s="106">
        <f>IF(AB17&gt;0,(O17-AB17),"")</f>
        <v/>
      </c>
      <c r="BP17" s="106">
        <f>IF(AF17&gt;0,(O17-AF17),"")</f>
        <v/>
      </c>
      <c r="BQ17" s="106">
        <f>IF(AJ17&gt;0,(O17-AJ17),"")</f>
        <v/>
      </c>
      <c r="BR17" s="106">
        <f>IF(AN17&gt;0,(O17-AN17),"")</f>
        <v/>
      </c>
      <c r="BS17" s="106">
        <f>COUNT(BM17:BR17)</f>
        <v/>
      </c>
      <c r="BT17" s="464">
        <f>IF(BS17=0,0,IF(BS17=1,0,1/(BS17*(BS17-1))))</f>
        <v/>
      </c>
      <c r="BU17" s="136">
        <f>IF(R17&gt;0,(BM17^2),"")</f>
        <v/>
      </c>
      <c r="BV17" s="136">
        <f>IF(X17&gt;0,(BN17^2),"")</f>
        <v/>
      </c>
      <c r="BW17" s="136">
        <f>IF(AB17&gt;0,(BO17^2),"")</f>
        <v/>
      </c>
      <c r="BX17" s="136">
        <f>IF(AF17&gt;0,(BP17^2),"")</f>
        <v/>
      </c>
      <c r="BY17" s="136">
        <f>IF(AJ17&gt;0,(BQ17^2),"")</f>
        <v/>
      </c>
      <c r="BZ17" s="136">
        <f>IF(AN17&gt;0,(BR17^2),"")</f>
        <v/>
      </c>
    </row>
    <row r="18" ht="18.75" customHeight="1" s="444">
      <c r="A18" s="340" t="inlineStr">
        <is>
          <t>Gualdo 2</t>
        </is>
      </c>
      <c r="B18" s="65" t="inlineStr">
        <is>
          <t>W13</t>
        </is>
      </c>
      <c r="C18" s="78" t="inlineStr">
        <is>
          <t>Mola piccola</t>
        </is>
      </c>
      <c r="D18" s="83" t="inlineStr">
        <is>
          <t>FEIN</t>
        </is>
      </c>
      <c r="E18" s="83" t="inlineStr">
        <is>
          <t>CG17-150</t>
        </is>
      </c>
      <c r="F18" s="192" t="inlineStr">
        <is>
          <t>Molatura con mola piccola</t>
        </is>
      </c>
      <c r="G18" s="71" t="n">
        <v>46003</v>
      </c>
      <c r="H18" s="77" t="inlineStr">
        <is>
          <t>Compito</t>
        </is>
      </c>
      <c r="I18" s="77">
        <f>IF((V18-R18)&gt;3,"SI","")</f>
        <v/>
      </c>
      <c r="J18" s="77" t="inlineStr">
        <is>
          <t>SI</t>
        </is>
      </c>
      <c r="K18" s="77" t="n"/>
      <c r="L18" s="77" t="n"/>
      <c r="M18" s="137">
        <f>IF(R18&gt;0,(SQRT(BT18*(SUM(BU18:BZ18)))),"")</f>
        <v/>
      </c>
      <c r="N18" s="4">
        <f>IF(T18&gt;0,(MAX(T18,Z18,AD18,AH18,AL18,AP18))+SQRT(1.2^2+1^2),"")</f>
        <v/>
      </c>
      <c r="O18" s="3">
        <f>IF(R18="",0,10*LOG10(SUM(BG18:BL18)/(COUNT(R18,X18,AB18,AF18,AJ18,AN18))))</f>
        <v/>
      </c>
      <c r="P18" s="5">
        <f>IF(AND(Y18="",AC18="",AG18="",AK18="",AO18=""),S18,AVERAGE(S18,Y18,AC18,AG18,AK18,AO18)+STDEV(S18,Y18,AC18,AG18,AK18,AO18))</f>
        <v/>
      </c>
      <c r="Q18" s="14" t="n">
        <v>300</v>
      </c>
      <c r="R18" s="11" t="n">
        <v>103.9</v>
      </c>
      <c r="S18" s="12" t="n">
        <v>102.5</v>
      </c>
      <c r="T18" s="13" t="n">
        <v>126.1</v>
      </c>
      <c r="U18" s="79" t="n"/>
      <c r="V18" s="79" t="n"/>
      <c r="W18" s="10" t="n">
        <v>300</v>
      </c>
      <c r="X18" s="11" t="n">
        <v>102.1</v>
      </c>
      <c r="Y18" s="12" t="n">
        <v>100.7</v>
      </c>
      <c r="Z18" s="13" t="n">
        <v>123.4</v>
      </c>
      <c r="AA18" s="10" t="n">
        <v>300</v>
      </c>
      <c r="AB18" s="11" t="n">
        <v>101.9</v>
      </c>
      <c r="AC18" s="12" t="n">
        <v>100.3</v>
      </c>
      <c r="AD18" s="13" t="n">
        <v>124.5</v>
      </c>
      <c r="AE18" s="14" t="n">
        <v>300</v>
      </c>
      <c r="AF18" s="11" t="n">
        <v>106.9</v>
      </c>
      <c r="AG18" s="12" t="n">
        <v>105.3</v>
      </c>
      <c r="AH18" s="13" t="n">
        <v>127.9</v>
      </c>
      <c r="AI18" s="10" t="n">
        <v>300</v>
      </c>
      <c r="AJ18" s="11" t="n">
        <v>103.9</v>
      </c>
      <c r="AK18" s="12" t="n">
        <v>102.3</v>
      </c>
      <c r="AL18" s="13" t="n">
        <v>126.4</v>
      </c>
      <c r="AM18" s="10" t="n">
        <v>300</v>
      </c>
      <c r="AN18" s="11" t="n">
        <v>91.40000000000001</v>
      </c>
      <c r="AO18" s="12" t="n">
        <v>90.59999999999999</v>
      </c>
      <c r="AP18" s="13" t="n">
        <v>119</v>
      </c>
      <c r="AQ18" s="6">
        <f>IF(AND((O18)&lt;85,N18&lt;137),"NO","SI")</f>
        <v/>
      </c>
      <c r="AR18" s="7">
        <f>IF((480*(10^(7.95-(O18/10))))&lt;480,480*(10^(7.95-(O18/10))),480)</f>
        <v/>
      </c>
      <c r="AS18" s="8">
        <f>IF((480*(10^(8.45-(O18/10))))&lt;480,480*(10^(8.45-(O18/10))),480)</f>
        <v/>
      </c>
      <c r="AT18" s="9">
        <f>IF((480*(10^(8.65-(O18/10))))&lt;480,480*(10^(8.65-(O18/10))),480)</f>
        <v/>
      </c>
      <c r="AU18" s="151">
        <f>IF(O18&lt;80,"0",IF((P18-O18)&lt;=2,('DPI art.191'!$G$3-(('DPI art.191'!$F$3-'DPI art.191'!$G$3)/4)*(P18-O18-2)),('DPI art.191'!$G$3-(('DPI art.191'!$F$3-'DPI art.191'!$H$3)/8)*(P18-O18-2))))</f>
        <v/>
      </c>
      <c r="AV18" s="24">
        <f>O18-AU18</f>
        <v/>
      </c>
      <c r="AW18" s="24">
        <f>IF(N18&lt;135,N18,N18-'DPI art.191'!$I$3)</f>
        <v/>
      </c>
      <c r="AX18" s="111">
        <f>IF(I18&lt;80,"0",IF((J18-I18)&lt;=2,('DPI art.191'!$G$7-(('DPI art.191'!$F$7-'DPI art.191'!$G$7)/4)*(I18-J18-2)),('DPI art.191'!$G$7-(('DPI art.191'!$G$7-'DPI art.191'!$H$7)/8)*(J18-I18-2))))</f>
        <v/>
      </c>
      <c r="AY18" s="24">
        <f>I18-AX18</f>
        <v/>
      </c>
      <c r="AZ18" s="24">
        <f>IF(H18&lt;135,H18,H18-'DPI art.191'!$I$7)</f>
        <v/>
      </c>
      <c r="BA18" s="111">
        <f>IF(O18&lt;80,"0",IF((P18-O18)&lt;=2,('DPI art.191'!$G$5-(('DPI art.191'!$F$5-'DPI art.191'!$G$5)/4)*(P18-O18-2)),('DPI art.191'!$G$5-(('DPI art.191'!$G$5-'DPI art.191'!$H$5)/8)*(P18-O18-2))))</f>
        <v/>
      </c>
      <c r="BB18" s="24">
        <f>R18-BA18</f>
        <v/>
      </c>
      <c r="BC18" s="24">
        <f>IF(N18&lt;135,N18,N18-'DPI art.191'!$I$5)</f>
        <v/>
      </c>
      <c r="BD18" s="111">
        <f>IF(O18&lt;80,"0",IF((P18-O18)&lt;=2,('DPI art.191'!$G$7-(('DPI art.191'!$F$7-'DPI art.191'!$G$7)/4)*(O18-P18-2)),('DPI art.191'!$G$7-(('DPI art.191'!$G$7-'DPI art.191'!$H$7)/8)*(P18-O18-2))))</f>
        <v/>
      </c>
      <c r="BE18" s="24">
        <f>O18-BD18</f>
        <v/>
      </c>
      <c r="BF18" s="24">
        <f>IF(N18&lt;135,N18,N18-'DPI art.191'!$I$7)</f>
        <v/>
      </c>
      <c r="BG18" s="108">
        <f>10^(0.1*R18)</f>
        <v/>
      </c>
      <c r="BH18" s="108">
        <f>10^(0.1*X18)</f>
        <v/>
      </c>
      <c r="BI18" s="108">
        <f>10^(0.1*AB18)</f>
        <v/>
      </c>
      <c r="BJ18" s="108">
        <f>10^(0.1*AF18)</f>
        <v/>
      </c>
      <c r="BK18" s="108">
        <f>10^(0.1*AJ18)</f>
        <v/>
      </c>
      <c r="BL18" s="108">
        <f>10^(0.1*AN18)</f>
        <v/>
      </c>
      <c r="BM18" s="106">
        <f>IF(R18&gt;0,(O18-R18),"")</f>
        <v/>
      </c>
      <c r="BN18" s="106">
        <f>IF(X18&gt;0,(O18-X18),"")</f>
        <v/>
      </c>
      <c r="BO18" s="106">
        <f>IF(AB18&gt;0,(O18-AB18),"")</f>
        <v/>
      </c>
      <c r="BP18" s="106">
        <f>IF(AF18&gt;0,(O18-AF18),"")</f>
        <v/>
      </c>
      <c r="BQ18" s="106">
        <f>IF(AJ18&gt;0,(O18-AJ18),"")</f>
        <v/>
      </c>
      <c r="BR18" s="106">
        <f>IF(AN18&gt;0,(O18-AN18),"")</f>
        <v/>
      </c>
      <c r="BS18" s="106">
        <f>COUNT(BM18:BR18)</f>
        <v/>
      </c>
      <c r="BT18" s="464">
        <f>IF(BS18=0,0,IF(BS18=1,0,1/(BS18*(BS18-1))))</f>
        <v/>
      </c>
      <c r="BU18" s="136">
        <f>IF(R18&gt;0,(BM18^2),"")</f>
        <v/>
      </c>
      <c r="BV18" s="136">
        <f>IF(X18&gt;0,(BN18^2),"")</f>
        <v/>
      </c>
      <c r="BW18" s="136">
        <f>IF(AB18&gt;0,(BO18^2),"")</f>
        <v/>
      </c>
      <c r="BX18" s="136">
        <f>IF(AF18&gt;0,(BP18^2),"")</f>
        <v/>
      </c>
      <c r="BY18" s="136">
        <f>IF(AJ18&gt;0,(BQ18^2),"")</f>
        <v/>
      </c>
      <c r="BZ18" s="136">
        <f>IF(AN18&gt;0,(BR18^2),"")</f>
        <v/>
      </c>
    </row>
    <row r="19" ht="25.5" customHeight="1" s="444">
      <c r="A19" s="340" t="inlineStr">
        <is>
          <t>Gualdo 2</t>
        </is>
      </c>
      <c r="B19" s="65" t="inlineStr">
        <is>
          <t>W14</t>
        </is>
      </c>
      <c r="C19" s="78" t="inlineStr">
        <is>
          <t>Movimentazioni interne con carroponte</t>
        </is>
      </c>
      <c r="D19" s="83" t="inlineStr">
        <is>
          <t>/</t>
        </is>
      </c>
      <c r="E19" s="83" t="inlineStr">
        <is>
          <t>/</t>
        </is>
      </c>
      <c r="F19" s="192" t="inlineStr">
        <is>
          <t>Movimentazione con carroponte</t>
        </is>
      </c>
      <c r="G19" s="71" t="n">
        <v>46003</v>
      </c>
      <c r="H19" s="77" t="inlineStr">
        <is>
          <t>Compito</t>
        </is>
      </c>
      <c r="I19" s="77">
        <f>IF((V19-R19)&gt;3,"SI","")</f>
        <v/>
      </c>
      <c r="J19" s="77" t="inlineStr">
        <is>
          <t>SI</t>
        </is>
      </c>
      <c r="K19" s="77" t="n"/>
      <c r="L19" s="77" t="n"/>
      <c r="M19" s="137">
        <f>IF(R19&gt;0,(SQRT(BT19*(SUM(BU19:BZ19)))),"")</f>
        <v/>
      </c>
      <c r="N19" s="4">
        <f>IF(T19&gt;0,(MAX(T19,Z19,AD19,AH19,AL19,AP19))+SQRT(1.2^2+1^2),"")</f>
        <v/>
      </c>
      <c r="O19" s="3">
        <f>IF(R19="",0,10*LOG10(SUM(BG19:BL19)/(COUNT(R19,X19,AB19,AF19,AJ19,AN19))))</f>
        <v/>
      </c>
      <c r="P19" s="5">
        <f>IF(AND(Y19="",AC19="",AG19="",AK19="",AO19=""),S19,AVERAGE(S19,Y19,AC19,AG19,AK19,AO19)+STDEV(S19,Y19,AC19,AG19,AK19,AO19))</f>
        <v/>
      </c>
      <c r="Q19" s="14" t="n">
        <v>300</v>
      </c>
      <c r="R19" s="11" t="n">
        <v>83</v>
      </c>
      <c r="S19" s="12" t="n">
        <v>85.5</v>
      </c>
      <c r="T19" s="13" t="n">
        <v>113.7</v>
      </c>
      <c r="U19" s="79" t="n"/>
      <c r="V19" s="79" t="n"/>
      <c r="W19" s="10" t="n">
        <v>300</v>
      </c>
      <c r="X19" s="11" t="n">
        <v>79.3</v>
      </c>
      <c r="Y19" s="12" t="n">
        <v>81.2</v>
      </c>
      <c r="Z19" s="13" t="n">
        <v>114.9</v>
      </c>
      <c r="AA19" s="10" t="n">
        <v>300</v>
      </c>
      <c r="AB19" s="11" t="n">
        <v>80.90000000000001</v>
      </c>
      <c r="AC19" s="12" t="n">
        <v>84.2</v>
      </c>
      <c r="AD19" s="13" t="n">
        <v>110.3</v>
      </c>
      <c r="AE19" s="14" t="n">
        <v>300</v>
      </c>
      <c r="AF19" s="11" t="n">
        <v>85.8</v>
      </c>
      <c r="AG19" s="12" t="n">
        <v>85.40000000000001</v>
      </c>
      <c r="AH19" s="13" t="n">
        <v>119.1</v>
      </c>
      <c r="AI19" s="10" t="n">
        <v>300</v>
      </c>
      <c r="AJ19" s="11" t="n">
        <v>75.40000000000001</v>
      </c>
      <c r="AK19" s="12" t="n">
        <v>79.8</v>
      </c>
      <c r="AL19" s="13" t="n">
        <v>108</v>
      </c>
      <c r="AM19" s="10" t="n">
        <v>300</v>
      </c>
      <c r="AN19" s="11" t="n">
        <v>77.8</v>
      </c>
      <c r="AO19" s="12" t="n">
        <v>79.90000000000001</v>
      </c>
      <c r="AP19" s="13" t="n">
        <v>120</v>
      </c>
      <c r="AQ19" s="6">
        <f>IF(AND((O19)&lt;85,N19&lt;137),"NO","SI")</f>
        <v/>
      </c>
      <c r="AR19" s="7">
        <f>IF((480*(10^(7.95-(O19/10))))&lt;480,480*(10^(7.95-(O19/10))),480)</f>
        <v/>
      </c>
      <c r="AS19" s="8">
        <f>IF((480*(10^(8.45-(O19/10))))&lt;480,480*(10^(8.45-(O19/10))),480)</f>
        <v/>
      </c>
      <c r="AT19" s="9">
        <f>IF((480*(10^(8.65-(O19/10))))&lt;480,480*(10^(8.65-(O19/10))),480)</f>
        <v/>
      </c>
      <c r="AU19" s="151">
        <f>IF(O19&lt;80,"0",IF((P19-O19)&lt;=2,('DPI art.191'!$G$3-(('DPI art.191'!$F$3-'DPI art.191'!$G$3)/4)*(P19-O19-2)),('DPI art.191'!$G$3-(('DPI art.191'!$F$3-'DPI art.191'!$H$3)/8)*(P19-O19-2))))</f>
        <v/>
      </c>
      <c r="AV19" s="24">
        <f>O19-AU19</f>
        <v/>
      </c>
      <c r="AW19" s="24">
        <f>IF(N19&lt;135,N19,N19-'DPI art.191'!$I$3)</f>
        <v/>
      </c>
      <c r="AX19" s="111">
        <f>IF(I19&lt;80,"0",IF((J19-I19)&lt;=2,('DPI art.191'!$G$7-(('DPI art.191'!$F$7-'DPI art.191'!$G$7)/4)*(I19-J19-2)),('DPI art.191'!$G$7-(('DPI art.191'!$G$7-'DPI art.191'!$H$7)/8)*(J19-I19-2))))</f>
        <v/>
      </c>
      <c r="AY19" s="24">
        <f>I19-AX19</f>
        <v/>
      </c>
      <c r="AZ19" s="24">
        <f>IF(H19&lt;135,H19,H19-'DPI art.191'!$I$7)</f>
        <v/>
      </c>
      <c r="BA19" s="111">
        <f>IF(O19&lt;80,"0",IF((P19-O19)&lt;=2,('DPI art.191'!$G$5-(('DPI art.191'!$F$5-'DPI art.191'!$G$5)/4)*(P19-O19-2)),('DPI art.191'!$G$5-(('DPI art.191'!$G$5-'DPI art.191'!$H$5)/8)*(P19-O19-2))))</f>
        <v/>
      </c>
      <c r="BB19" s="24">
        <f>R19-BA19</f>
        <v/>
      </c>
      <c r="BC19" s="24">
        <f>IF(N19&lt;135,N19,N19-'DPI art.191'!$I$5)</f>
        <v/>
      </c>
      <c r="BD19" s="111">
        <f>IF(O19&lt;80,"0",IF((P19-O19)&lt;=2,('DPI art.191'!$G$7-(('DPI art.191'!$F$7-'DPI art.191'!$G$7)/4)*(O19-P19-2)),('DPI art.191'!$G$7-(('DPI art.191'!$G$7-'DPI art.191'!$H$7)/8)*(P19-O19-2))))</f>
        <v/>
      </c>
      <c r="BE19" s="24">
        <f>O19-BD19</f>
        <v/>
      </c>
      <c r="BF19" s="24">
        <f>IF(N19&lt;135,N19,N19-'DPI art.191'!$I$7)</f>
        <v/>
      </c>
      <c r="BG19" s="108">
        <f>10^(0.1*R19)</f>
        <v/>
      </c>
      <c r="BH19" s="108">
        <f>10^(0.1*X19)</f>
        <v/>
      </c>
      <c r="BI19" s="108">
        <f>10^(0.1*AB19)</f>
        <v/>
      </c>
      <c r="BJ19" s="108">
        <f>10^(0.1*AF19)</f>
        <v/>
      </c>
      <c r="BK19" s="108">
        <f>10^(0.1*AJ19)</f>
        <v/>
      </c>
      <c r="BL19" s="108">
        <f>10^(0.1*AN19)</f>
        <v/>
      </c>
      <c r="BM19" s="106">
        <f>IF(R19&gt;0,(O19-R19),"")</f>
        <v/>
      </c>
      <c r="BN19" s="106">
        <f>IF(X19&gt;0,(O19-X19),"")</f>
        <v/>
      </c>
      <c r="BO19" s="106">
        <f>IF(AB19&gt;0,(O19-AB19),"")</f>
        <v/>
      </c>
      <c r="BP19" s="106">
        <f>IF(AF19&gt;0,(O19-AF19),"")</f>
        <v/>
      </c>
      <c r="BQ19" s="106">
        <f>IF(AJ19&gt;0,(O19-AJ19),"")</f>
        <v/>
      </c>
      <c r="BR19" s="106">
        <f>IF(AN19&gt;0,(O19-AN19),"")</f>
        <v/>
      </c>
      <c r="BS19" s="106">
        <f>COUNT(BM19:BR19)</f>
        <v/>
      </c>
      <c r="BT19" s="464">
        <f>IF(BS19=0,0,IF(BS19=1,0,1/(BS19*(BS19-1))))</f>
        <v/>
      </c>
      <c r="BU19" s="136">
        <f>IF(R19&gt;0,(BM19^2),"")</f>
        <v/>
      </c>
      <c r="BV19" s="136">
        <f>IF(X19&gt;0,(BN19^2),"")</f>
        <v/>
      </c>
      <c r="BW19" s="136">
        <f>IF(AB19&gt;0,(BO19^2),"")</f>
        <v/>
      </c>
      <c r="BX19" s="136">
        <f>IF(AF19&gt;0,(BP19^2),"")</f>
        <v/>
      </c>
      <c r="BY19" s="136">
        <f>IF(AJ19&gt;0,(BQ19^2),"")</f>
        <v/>
      </c>
      <c r="BZ19" s="136">
        <f>IF(AN19&gt;0,(BR19^2),"")</f>
        <v/>
      </c>
    </row>
    <row r="20" ht="25.5" customHeight="1" s="444">
      <c r="A20" s="340" t="inlineStr">
        <is>
          <t>031/30</t>
        </is>
      </c>
      <c r="B20" s="65" t="inlineStr">
        <is>
          <t>W15</t>
        </is>
      </c>
      <c r="C20" s="78" t="inlineStr">
        <is>
          <t>Autogru</t>
        </is>
      </c>
      <c r="D20" s="83" t="inlineStr">
        <is>
          <t>LIEBHERR</t>
        </is>
      </c>
      <c r="E20" s="83" t="inlineStr">
        <is>
          <t>LTM 1130-5.1</t>
        </is>
      </c>
      <c r="F20" s="192" t="inlineStr">
        <is>
          <t>Movimentazione con autogru in esterno</t>
        </is>
      </c>
      <c r="G20" s="71" t="n">
        <v>46003</v>
      </c>
      <c r="H20" s="77" t="inlineStr">
        <is>
          <t>Compito</t>
        </is>
      </c>
      <c r="I20" s="77">
        <f>IF((V20-R20)&gt;3,"SI","")</f>
        <v/>
      </c>
      <c r="J20" s="77" t="inlineStr">
        <is>
          <t>SI</t>
        </is>
      </c>
      <c r="K20" s="77" t="n"/>
      <c r="L20" s="77" t="n"/>
      <c r="M20" s="137">
        <f>IF(R20&gt;0,(SQRT(BT20*(SUM(BU20:BZ20)))),"")</f>
        <v/>
      </c>
      <c r="N20" s="4">
        <f>IF(T20&gt;0,(MAX(T20,Z20,AD20,AH20,AL20,AP20))+SQRT(1.2^2+1^2),"")</f>
        <v/>
      </c>
      <c r="O20" s="3">
        <f>IF(R20="",0,10*LOG10(SUM(BG20:BL20)/(COUNT(R20,X20,AB20,AF20,AJ20,AN20))))</f>
        <v/>
      </c>
      <c r="P20" s="5">
        <f>IF(AND(Y20="",AC20="",AG20="",AK20="",AO20=""),S20,AVERAGE(S20,Y20,AC20,AG20,AK20,AO20)+STDEV(S20,Y20,AC20,AG20,AK20,AO20))</f>
        <v/>
      </c>
      <c r="Q20" s="14" t="n">
        <v>300</v>
      </c>
      <c r="R20" s="11" t="n">
        <v>77.8</v>
      </c>
      <c r="S20" s="12" t="n">
        <v>83.59999999999999</v>
      </c>
      <c r="T20" s="13" t="n">
        <v>108.8</v>
      </c>
      <c r="U20" s="79" t="n"/>
      <c r="V20" s="79" t="n"/>
      <c r="W20" s="10" t="n">
        <v>300</v>
      </c>
      <c r="X20" s="11" t="n">
        <v>83.2</v>
      </c>
      <c r="Y20" s="12" t="n">
        <v>87.59999999999999</v>
      </c>
      <c r="Z20" s="13" t="n">
        <v>113.7</v>
      </c>
      <c r="AA20" s="10" t="n">
        <v>300</v>
      </c>
      <c r="AB20" s="11" t="n">
        <v>87</v>
      </c>
      <c r="AC20" s="12" t="n">
        <v>90.5</v>
      </c>
      <c r="AD20" s="13" t="n">
        <v>112.6</v>
      </c>
      <c r="AE20" s="14" t="n">
        <v>300</v>
      </c>
      <c r="AF20" s="11" t="n">
        <v>82.5</v>
      </c>
      <c r="AG20" s="12" t="n">
        <v>86.7</v>
      </c>
      <c r="AH20" s="13" t="n">
        <v>112.8</v>
      </c>
      <c r="AI20" s="10" t="n">
        <v>300</v>
      </c>
      <c r="AJ20" s="11" t="n">
        <v>77.90000000000001</v>
      </c>
      <c r="AK20" s="12" t="n">
        <v>84.59999999999999</v>
      </c>
      <c r="AL20" s="13" t="n">
        <v>109.7</v>
      </c>
      <c r="AM20" s="10" t="n">
        <v>300</v>
      </c>
      <c r="AN20" s="11" t="n">
        <v>78.09999999999999</v>
      </c>
      <c r="AO20" s="12" t="n">
        <v>84.90000000000001</v>
      </c>
      <c r="AP20" s="13" t="n">
        <v>110.2</v>
      </c>
      <c r="AQ20" s="6">
        <f>IF(AND((O20)&lt;85,N20&lt;137),"NO","SI")</f>
        <v/>
      </c>
      <c r="AR20" s="7">
        <f>IF((480*(10^(7.95-(O20/10))))&lt;480,480*(10^(7.95-(O20/10))),480)</f>
        <v/>
      </c>
      <c r="AS20" s="8">
        <f>IF((480*(10^(8.45-(O20/10))))&lt;480,480*(10^(8.45-(O20/10))),480)</f>
        <v/>
      </c>
      <c r="AT20" s="9">
        <f>IF((480*(10^(8.65-(O20/10))))&lt;480,480*(10^(8.65-(O20/10))),480)</f>
        <v/>
      </c>
      <c r="AU20" s="151">
        <f>IF(O20&lt;80,"0",IF((P20-O20)&lt;=2,('DPI art.191'!$G$3-(('DPI art.191'!$F$3-'DPI art.191'!$G$3)/4)*(P20-O20-2)),('DPI art.191'!$G$3-(('DPI art.191'!$F$3-'DPI art.191'!$H$3)/8)*(P20-O20-2))))</f>
        <v/>
      </c>
      <c r="AV20" s="24">
        <f>O20-AU20</f>
        <v/>
      </c>
      <c r="AW20" s="24">
        <f>IF(N20&lt;135,N20,N20-'DPI art.191'!$I$3)</f>
        <v/>
      </c>
      <c r="AX20" s="111">
        <f>IF(I20&lt;80,"0",IF((J20-I20)&lt;=2,('DPI art.191'!$G$7-(('DPI art.191'!$F$7-'DPI art.191'!$G$7)/4)*(I20-J20-2)),('DPI art.191'!$G$7-(('DPI art.191'!$G$7-'DPI art.191'!$H$7)/8)*(J20-I20-2))))</f>
        <v/>
      </c>
      <c r="AY20" s="24">
        <f>I20-AX20</f>
        <v/>
      </c>
      <c r="AZ20" s="24">
        <f>IF(H20&lt;135,H20,H20-'DPI art.191'!$I$7)</f>
        <v/>
      </c>
      <c r="BA20" s="111">
        <f>IF(O20&lt;80,"0",IF((P20-O20)&lt;=2,('DPI art.191'!$G$5-(('DPI art.191'!$F$5-'DPI art.191'!$G$5)/4)*(P20-O20-2)),('DPI art.191'!$G$5-(('DPI art.191'!$G$5-'DPI art.191'!$H$5)/8)*(P20-O20-2))))</f>
        <v/>
      </c>
      <c r="BB20" s="24">
        <f>R20-BA20</f>
        <v/>
      </c>
      <c r="BC20" s="24">
        <f>IF(N20&lt;135,N20,N20-'DPI art.191'!$I$5)</f>
        <v/>
      </c>
      <c r="BD20" s="111">
        <f>IF(O20&lt;80,"0",IF((P20-O20)&lt;=2,('DPI art.191'!$G$7-(('DPI art.191'!$F$7-'DPI art.191'!$G$7)/4)*(O20-P20-2)),('DPI art.191'!$G$7-(('DPI art.191'!$G$7-'DPI art.191'!$H$7)/8)*(P20-O20-2))))</f>
        <v/>
      </c>
      <c r="BE20" s="24">
        <f>O20-BD20</f>
        <v/>
      </c>
      <c r="BF20" s="24">
        <f>IF(N20&lt;135,N20,N20-'DPI art.191'!$I$7)</f>
        <v/>
      </c>
      <c r="BG20" s="108">
        <f>10^(0.1*R20)</f>
        <v/>
      </c>
      <c r="BH20" s="108">
        <f>10^(0.1*X20)</f>
        <v/>
      </c>
      <c r="BI20" s="108">
        <f>10^(0.1*AB20)</f>
        <v/>
      </c>
      <c r="BJ20" s="108">
        <f>10^(0.1*AF20)</f>
        <v/>
      </c>
      <c r="BK20" s="108">
        <f>10^(0.1*AJ20)</f>
        <v/>
      </c>
      <c r="BL20" s="108">
        <f>10^(0.1*AN20)</f>
        <v/>
      </c>
      <c r="BM20" s="106">
        <f>IF(R20&gt;0,(O20-R20),"")</f>
        <v/>
      </c>
      <c r="BN20" s="106">
        <f>IF(X20&gt;0,(O20-X20),"")</f>
        <v/>
      </c>
      <c r="BO20" s="106">
        <f>IF(AB20&gt;0,(O20-AB20),"")</f>
        <v/>
      </c>
      <c r="BP20" s="106">
        <f>IF(AF20&gt;0,(O20-AF20),"")</f>
        <v/>
      </c>
      <c r="BQ20" s="106">
        <f>IF(AJ20&gt;0,(O20-AJ20),"")</f>
        <v/>
      </c>
      <c r="BR20" s="106">
        <f>IF(AN20&gt;0,(O20-AN20),"")</f>
        <v/>
      </c>
      <c r="BS20" s="106">
        <f>COUNT(BM20:BR20)</f>
        <v/>
      </c>
      <c r="BT20" s="464">
        <f>IF(BS20=0,0,IF(BS20=1,0,1/(BS20*(BS20-1))))</f>
        <v/>
      </c>
      <c r="BU20" s="136">
        <f>IF(R20&gt;0,(BM20^2),"")</f>
        <v/>
      </c>
      <c r="BV20" s="136">
        <f>IF(X20&gt;0,(BN20^2),"")</f>
        <v/>
      </c>
      <c r="BW20" s="136">
        <f>IF(AB20&gt;0,(BO20^2),"")</f>
        <v/>
      </c>
      <c r="BX20" s="136">
        <f>IF(AF20&gt;0,(BP20^2),"")</f>
        <v/>
      </c>
      <c r="BY20" s="136">
        <f>IF(AJ20&gt;0,(BQ20^2),"")</f>
        <v/>
      </c>
      <c r="BZ20" s="136">
        <f>IF(AN20&gt;0,(BR20^2),"")</f>
        <v/>
      </c>
    </row>
    <row r="21" ht="25.5" customHeight="1" s="444">
      <c r="A21" s="340" t="inlineStr">
        <is>
          <t>458/29</t>
        </is>
      </c>
      <c r="B21" s="65" t="inlineStr">
        <is>
          <t>W16</t>
        </is>
      </c>
      <c r="C21" s="78" t="inlineStr">
        <is>
          <t>Carrello elevatore</t>
        </is>
      </c>
      <c r="D21" s="83" t="inlineStr">
        <is>
          <t>OM STILL</t>
        </is>
      </c>
      <c r="E21" s="83" t="inlineStr">
        <is>
          <t>RX 60-50/600</t>
        </is>
      </c>
      <c r="F21" s="192" t="inlineStr">
        <is>
          <t>Movimentazione con carrello elevatore</t>
        </is>
      </c>
      <c r="G21" s="71" t="n">
        <v>46003</v>
      </c>
      <c r="H21" s="77" t="inlineStr">
        <is>
          <t>Compito</t>
        </is>
      </c>
      <c r="I21" s="77">
        <f>IF((V21-R21)&gt;3,"SI","")</f>
        <v/>
      </c>
      <c r="J21" s="77" t="inlineStr">
        <is>
          <t>SI</t>
        </is>
      </c>
      <c r="K21" s="77" t="n"/>
      <c r="L21" s="77" t="n"/>
      <c r="M21" s="137">
        <f>IF(R21&gt;0,(SQRT(BT21*(SUM(BU21:BZ21)))),"")</f>
        <v/>
      </c>
      <c r="N21" s="4">
        <f>IF(T21&gt;0,(MAX(T21,Z21,AD21,AH21,AL21,AP21))+SQRT(1.2^2+1^2),"")</f>
        <v/>
      </c>
      <c r="O21" s="3">
        <f>IF(R21="",0,10*LOG10(SUM(BG21:BL21)/(COUNT(R21,X21,AB21,AF21,AJ21,AN21))))</f>
        <v/>
      </c>
      <c r="P21" s="5">
        <f>IF(AND(Y21="",AC21="",AG21="",AK21="",AO21=""),S21,AVERAGE(S21,Y21,AC21,AG21,AK21,AO21)+STDEV(S21,Y21,AC21,AG21,AK21,AO21))</f>
        <v/>
      </c>
      <c r="Q21" s="14" t="n">
        <v>300</v>
      </c>
      <c r="R21" s="11" t="n">
        <v>78.8</v>
      </c>
      <c r="S21" s="12" t="n">
        <v>96.40000000000001</v>
      </c>
      <c r="T21" s="13" t="n">
        <v>133.6</v>
      </c>
      <c r="U21" s="79" t="n"/>
      <c r="V21" s="79" t="n"/>
      <c r="W21" s="10" t="n">
        <v>300</v>
      </c>
      <c r="X21" s="11" t="n">
        <v>79.59999999999999</v>
      </c>
      <c r="Y21" s="12" t="n">
        <v>86.7</v>
      </c>
      <c r="Z21" s="13" t="n">
        <v>111.3</v>
      </c>
      <c r="AA21" s="10" t="n">
        <v>300</v>
      </c>
      <c r="AB21" s="11" t="n">
        <v>71.7</v>
      </c>
      <c r="AC21" s="12" t="n">
        <v>80.7</v>
      </c>
      <c r="AD21" s="13" t="n">
        <v>109.5</v>
      </c>
      <c r="AE21" s="14" t="n">
        <v>300</v>
      </c>
      <c r="AF21" s="11" t="n">
        <v>64.2</v>
      </c>
      <c r="AG21" s="12" t="n">
        <v>80</v>
      </c>
      <c r="AH21" s="13" t="n">
        <v>96.2</v>
      </c>
      <c r="AI21" s="10" t="n">
        <v>300</v>
      </c>
      <c r="AJ21" s="11" t="n">
        <v>65.5</v>
      </c>
      <c r="AK21" s="12" t="n">
        <v>81.90000000000001</v>
      </c>
      <c r="AL21" s="13" t="n">
        <v>103.3</v>
      </c>
      <c r="AM21" s="10" t="n">
        <v>300</v>
      </c>
      <c r="AN21" s="11" t="n">
        <v>72</v>
      </c>
      <c r="AO21" s="12" t="n">
        <v>82.8</v>
      </c>
      <c r="AP21" s="13" t="n">
        <v>111.6</v>
      </c>
      <c r="AQ21" s="6">
        <f>IF(AND((O21)&lt;85,N21&lt;137),"NO","SI")</f>
        <v/>
      </c>
      <c r="AR21" s="7">
        <f>IF((480*(10^(7.95-(O21/10))))&lt;480,480*(10^(7.95-(O21/10))),480)</f>
        <v/>
      </c>
      <c r="AS21" s="8">
        <f>IF((480*(10^(8.45-(O21/10))))&lt;480,480*(10^(8.45-(O21/10))),480)</f>
        <v/>
      </c>
      <c r="AT21" s="9">
        <f>IF((480*(10^(8.65-(O21/10))))&lt;480,480*(10^(8.65-(O21/10))),480)</f>
        <v/>
      </c>
      <c r="AU21" s="151">
        <f>IF(O21&lt;80,"0",IF((P21-O21)&lt;=2,('DPI art.191'!$G$3-(('DPI art.191'!$F$3-'DPI art.191'!$G$3)/4)*(P21-O21-2)),('DPI art.191'!$G$3-(('DPI art.191'!$F$3-'DPI art.191'!$H$3)/8)*(P21-O21-2))))</f>
        <v/>
      </c>
      <c r="AV21" s="24">
        <f>O21-AU21</f>
        <v/>
      </c>
      <c r="AW21" s="24">
        <f>IF(N21&lt;135,N21,N21-'DPI art.191'!$I$3)</f>
        <v/>
      </c>
      <c r="AX21" s="111">
        <f>IF(I21&lt;80,"0",IF((J21-I21)&lt;=2,('DPI art.191'!$G$7-(('DPI art.191'!$F$7-'DPI art.191'!$G$7)/4)*(I21-J21-2)),('DPI art.191'!$G$7-(('DPI art.191'!$G$7-'DPI art.191'!$H$7)/8)*(J21-I21-2))))</f>
        <v/>
      </c>
      <c r="AY21" s="24">
        <f>I21-AX21</f>
        <v/>
      </c>
      <c r="AZ21" s="24">
        <f>IF(H21&lt;135,H21,H21-'DPI art.191'!$I$7)</f>
        <v/>
      </c>
      <c r="BA21" s="111">
        <f>IF(O21&lt;80,"0",IF((P21-O21)&lt;=2,('DPI art.191'!$G$5-(('DPI art.191'!$F$5-'DPI art.191'!$G$5)/4)*(P21-O21-2)),('DPI art.191'!$G$5-(('DPI art.191'!$G$5-'DPI art.191'!$H$5)/8)*(P21-O21-2))))</f>
        <v/>
      </c>
      <c r="BB21" s="24">
        <f>R21-BA21</f>
        <v/>
      </c>
      <c r="BC21" s="24">
        <f>IF(N21&lt;135,N21,N21-'DPI art.191'!$I$5)</f>
        <v/>
      </c>
      <c r="BD21" s="111">
        <f>IF(O21&lt;80,"0",IF((P21-O21)&lt;=2,('DPI art.191'!$G$7-(('DPI art.191'!$F$7-'DPI art.191'!$G$7)/4)*(O21-P21-2)),('DPI art.191'!$G$7-(('DPI art.191'!$G$7-'DPI art.191'!$H$7)/8)*(P21-O21-2))))</f>
        <v/>
      </c>
      <c r="BE21" s="24">
        <f>O21-BD21</f>
        <v/>
      </c>
      <c r="BF21" s="24">
        <f>IF(N21&lt;135,N21,N21-'DPI art.191'!$I$7)</f>
        <v/>
      </c>
      <c r="BG21" s="108">
        <f>10^(0.1*R21)</f>
        <v/>
      </c>
      <c r="BH21" s="108">
        <f>10^(0.1*X21)</f>
        <v/>
      </c>
      <c r="BI21" s="108">
        <f>10^(0.1*AB21)</f>
        <v/>
      </c>
      <c r="BJ21" s="108">
        <f>10^(0.1*AF21)</f>
        <v/>
      </c>
      <c r="BK21" s="108">
        <f>10^(0.1*AJ21)</f>
        <v/>
      </c>
      <c r="BL21" s="108">
        <f>10^(0.1*AN21)</f>
        <v/>
      </c>
      <c r="BM21" s="106">
        <f>IF(R21&gt;0,(O21-R21),"")</f>
        <v/>
      </c>
      <c r="BN21" s="106">
        <f>IF(X21&gt;0,(O21-X21),"")</f>
        <v/>
      </c>
      <c r="BO21" s="106">
        <f>IF(AB21&gt;0,(O21-AB21),"")</f>
        <v/>
      </c>
      <c r="BP21" s="106">
        <f>IF(AF21&gt;0,(O21-AF21),"")</f>
        <v/>
      </c>
      <c r="BQ21" s="106">
        <f>IF(AJ21&gt;0,(O21-AJ21),"")</f>
        <v/>
      </c>
      <c r="BR21" s="106">
        <f>IF(AN21&gt;0,(O21-AN21),"")</f>
        <v/>
      </c>
      <c r="BS21" s="106">
        <f>COUNT(BM21:BR21)</f>
        <v/>
      </c>
      <c r="BT21" s="464">
        <f>IF(BS21=0,0,IF(BS21=1,0,1/(BS21*(BS21-1))))</f>
        <v/>
      </c>
      <c r="BU21" s="136">
        <f>IF(R21&gt;0,(BM21^2),"")</f>
        <v/>
      </c>
      <c r="BV21" s="136">
        <f>IF(X21&gt;0,(BN21^2),"")</f>
        <v/>
      </c>
      <c r="BW21" s="136">
        <f>IF(AB21&gt;0,(BO21^2),"")</f>
        <v/>
      </c>
      <c r="BX21" s="136">
        <f>IF(AF21&gt;0,(BP21^2),"")</f>
        <v/>
      </c>
      <c r="BY21" s="136">
        <f>IF(AJ21&gt;0,(BQ21^2),"")</f>
        <v/>
      </c>
      <c r="BZ21" s="136">
        <f>IF(AN21&gt;0,(BR21^2),"")</f>
        <v/>
      </c>
    </row>
    <row r="22" ht="25.5" customHeight="1" s="444">
      <c r="A22" s="340" t="inlineStr">
        <is>
          <t>024/B/PRS738</t>
        </is>
      </c>
      <c r="B22" s="65" t="inlineStr">
        <is>
          <t>W17</t>
        </is>
      </c>
      <c r="C22" s="78" t="inlineStr">
        <is>
          <t>Saldatrice a filo</t>
        </is>
      </c>
      <c r="D22" s="83" t="inlineStr">
        <is>
          <t>ESAB</t>
        </is>
      </c>
      <c r="E22" s="83" t="inlineStr">
        <is>
          <t>LAW520W - MEK4S</t>
        </is>
      </c>
      <c r="F22" s="192" t="inlineStr">
        <is>
          <t>Saldatura</t>
        </is>
      </c>
      <c r="G22" s="71" t="n">
        <v>46003</v>
      </c>
      <c r="H22" s="77" t="inlineStr">
        <is>
          <t>Compito</t>
        </is>
      </c>
      <c r="I22" s="77">
        <f>IF((V22-R22)&gt;3,"SI","")</f>
        <v/>
      </c>
      <c r="J22" s="77" t="inlineStr">
        <is>
          <t>SI</t>
        </is>
      </c>
      <c r="K22" s="77" t="n"/>
      <c r="L22" s="77" t="n"/>
      <c r="M22" s="137">
        <f>IF(R22&gt;0,(SQRT(BT22*(SUM(BU22:BZ22)))),"")</f>
        <v/>
      </c>
      <c r="N22" s="4">
        <f>IF(T22&gt;0,(MAX(T22,Z22,AD22,AH22,AL22,AP22))+SQRT(1.2^2+1^2),"")</f>
        <v/>
      </c>
      <c r="O22" s="3">
        <f>IF(R22="",0,10*LOG10(SUM(BG22:BL22)/(COUNT(R22,X22,AB22,AF22,AJ22,AN22))))</f>
        <v/>
      </c>
      <c r="P22" s="5">
        <f>IF(AND(Y22="",AC22="",AG22="",AK22="",AO22=""),S22,AVERAGE(S22,Y22,AC22,AG22,AK22,AO22)+STDEV(S22,Y22,AC22,AG22,AK22,AO22))</f>
        <v/>
      </c>
      <c r="Q22" s="14" t="n">
        <v>300</v>
      </c>
      <c r="R22" s="11" t="n">
        <v>84.90000000000001</v>
      </c>
      <c r="S22" s="12" t="n">
        <v>84.59999999999999</v>
      </c>
      <c r="T22" s="13" t="n">
        <v>124.3</v>
      </c>
      <c r="U22" s="79" t="n"/>
      <c r="V22" s="79" t="n"/>
      <c r="W22" s="10" t="n">
        <v>300</v>
      </c>
      <c r="X22" s="11" t="n">
        <v>81.8</v>
      </c>
      <c r="Y22" s="12" t="n">
        <v>82.40000000000001</v>
      </c>
      <c r="Z22" s="13" t="n">
        <v>123.2</v>
      </c>
      <c r="AA22" s="10" t="n">
        <v>300</v>
      </c>
      <c r="AB22" s="11" t="n">
        <v>86</v>
      </c>
      <c r="AC22" s="12" t="n">
        <v>87.09999999999999</v>
      </c>
      <c r="AD22" s="13" t="n">
        <v>120.9</v>
      </c>
      <c r="AE22" s="14" t="n">
        <v>300</v>
      </c>
      <c r="AF22" s="11" t="n">
        <v>84.59999999999999</v>
      </c>
      <c r="AG22" s="12" t="n">
        <v>85.09999999999999</v>
      </c>
      <c r="AH22" s="13" t="n">
        <v>118.3</v>
      </c>
      <c r="AI22" s="10" t="n">
        <v>300</v>
      </c>
      <c r="AJ22" s="11" t="n">
        <v>85.7</v>
      </c>
      <c r="AK22" s="12" t="n">
        <v>86.2</v>
      </c>
      <c r="AL22" s="13" t="n">
        <v>114.5</v>
      </c>
      <c r="AM22" s="10" t="n">
        <v>300</v>
      </c>
      <c r="AN22" s="11" t="n">
        <v>83.5</v>
      </c>
      <c r="AO22" s="12" t="n">
        <v>83.40000000000001</v>
      </c>
      <c r="AP22" s="13" t="n">
        <v>122.5</v>
      </c>
      <c r="AQ22" s="6">
        <f>IF(AND((O22)&lt;85,N22&lt;137),"NO","SI")</f>
        <v/>
      </c>
      <c r="AR22" s="7">
        <f>IF((480*(10^(7.95-(O22/10))))&lt;480,480*(10^(7.95-(O22/10))),480)</f>
        <v/>
      </c>
      <c r="AS22" s="8">
        <f>IF((480*(10^(8.45-(O22/10))))&lt;480,480*(10^(8.45-(O22/10))),480)</f>
        <v/>
      </c>
      <c r="AT22" s="9">
        <f>IF((480*(10^(8.65-(O22/10))))&lt;480,480*(10^(8.65-(O22/10))),480)</f>
        <v/>
      </c>
      <c r="AU22" s="151">
        <f>IF(O22&lt;80,"0",IF((P22-O22)&lt;=2,('DPI art.191'!$G$3-(('DPI art.191'!$F$3-'DPI art.191'!$G$3)/4)*(P22-O22-2)),('DPI art.191'!$G$3-(('DPI art.191'!$F$3-'DPI art.191'!$H$3)/8)*(P22-O22-2))))</f>
        <v/>
      </c>
      <c r="AV22" s="24">
        <f>O22-AU22</f>
        <v/>
      </c>
      <c r="AW22" s="24">
        <f>IF(N22&lt;135,N22,N22-'DPI art.191'!$I$3)</f>
        <v/>
      </c>
      <c r="AX22" s="111">
        <f>IF(I22&lt;80,"0",IF((J22-I22)&lt;=2,('DPI art.191'!$G$7-(('DPI art.191'!$F$7-'DPI art.191'!$G$7)/4)*(I22-J22-2)),('DPI art.191'!$G$7-(('DPI art.191'!$G$7-'DPI art.191'!$H$7)/8)*(J22-I22-2))))</f>
        <v/>
      </c>
      <c r="AY22" s="24">
        <f>I22-AX22</f>
        <v/>
      </c>
      <c r="AZ22" s="24">
        <f>IF(H22&lt;135,H22,H22-'DPI art.191'!$I$7)</f>
        <v/>
      </c>
      <c r="BA22" s="111">
        <f>IF(O22&lt;80,"0",IF((P22-O22)&lt;=2,('DPI art.191'!$G$5-(('DPI art.191'!$F$5-'DPI art.191'!$G$5)/4)*(P22-O22-2)),('DPI art.191'!$G$5-(('DPI art.191'!$G$5-'DPI art.191'!$H$5)/8)*(P22-O22-2))))</f>
        <v/>
      </c>
      <c r="BB22" s="24">
        <f>R22-BA22</f>
        <v/>
      </c>
      <c r="BC22" s="24">
        <f>IF(N22&lt;135,N22,N22-'DPI art.191'!$I$5)</f>
        <v/>
      </c>
      <c r="BD22" s="111">
        <f>IF(O22&lt;80,"0",IF((P22-O22)&lt;=2,('DPI art.191'!$G$7-(('DPI art.191'!$F$7-'DPI art.191'!$G$7)/4)*(O22-P22-2)),('DPI art.191'!$G$7-(('DPI art.191'!$G$7-'DPI art.191'!$H$7)/8)*(P22-O22-2))))</f>
        <v/>
      </c>
      <c r="BE22" s="24">
        <f>O22-BD22</f>
        <v/>
      </c>
      <c r="BF22" s="24">
        <f>IF(N22&lt;135,N22,N22-'DPI art.191'!$I$7)</f>
        <v/>
      </c>
      <c r="BG22" s="108">
        <f>10^(0.1*R22)</f>
        <v/>
      </c>
      <c r="BH22" s="108">
        <f>10^(0.1*X22)</f>
        <v/>
      </c>
      <c r="BI22" s="108">
        <f>10^(0.1*AB22)</f>
        <v/>
      </c>
      <c r="BJ22" s="108">
        <f>10^(0.1*AF22)</f>
        <v/>
      </c>
      <c r="BK22" s="108">
        <f>10^(0.1*AJ22)</f>
        <v/>
      </c>
      <c r="BL22" s="108">
        <f>10^(0.1*AN22)</f>
        <v/>
      </c>
      <c r="BM22" s="106">
        <f>IF(R22&gt;0,(O22-R22),"")</f>
        <v/>
      </c>
      <c r="BN22" s="106">
        <f>IF(X22&gt;0,(O22-X22),"")</f>
        <v/>
      </c>
      <c r="BO22" s="106">
        <f>IF(AB22&gt;0,(O22-AB22),"")</f>
        <v/>
      </c>
      <c r="BP22" s="106">
        <f>IF(AF22&gt;0,(O22-AF22),"")</f>
        <v/>
      </c>
      <c r="BQ22" s="106">
        <f>IF(AJ22&gt;0,(O22-AJ22),"")</f>
        <v/>
      </c>
      <c r="BR22" s="106">
        <f>IF(AN22&gt;0,(O22-AN22),"")</f>
        <v/>
      </c>
      <c r="BS22" s="106">
        <f>COUNT(BM22:BR22)</f>
        <v/>
      </c>
      <c r="BT22" s="464">
        <f>IF(BS22=0,0,IF(BS22=1,0,1/(BS22*(BS22-1))))</f>
        <v/>
      </c>
      <c r="BU22" s="136">
        <f>IF(R22&gt;0,(BM22^2),"")</f>
        <v/>
      </c>
      <c r="BV22" s="136">
        <f>IF(X22&gt;0,(BN22^2),"")</f>
        <v/>
      </c>
      <c r="BW22" s="136">
        <f>IF(AB22&gt;0,(BO22^2),"")</f>
        <v/>
      </c>
      <c r="BX22" s="136">
        <f>IF(AF22&gt;0,(BP22^2),"")</f>
        <v/>
      </c>
      <c r="BY22" s="136">
        <f>IF(AJ22&gt;0,(BQ22^2),"")</f>
        <v/>
      </c>
      <c r="BZ22" s="136">
        <f>IF(AN22&gt;0,(BR22^2),"")</f>
        <v/>
      </c>
    </row>
    <row r="23" ht="25.5" customHeight="1" s="444">
      <c r="A23" s="340" t="inlineStr">
        <is>
          <t>024/B/PRS701</t>
        </is>
      </c>
      <c r="B23" s="65" t="inlineStr">
        <is>
          <t>W18</t>
        </is>
      </c>
      <c r="C23" s="78" t="inlineStr">
        <is>
          <t>Saldatrice a filo</t>
        </is>
      </c>
      <c r="D23" s="83" t="inlineStr">
        <is>
          <t>ESAB</t>
        </is>
      </c>
      <c r="E23" s="83" t="inlineStr">
        <is>
          <t>LAW410W - MEK4S</t>
        </is>
      </c>
      <c r="F23" s="192" t="inlineStr">
        <is>
          <t>Saldatura</t>
        </is>
      </c>
      <c r="G23" s="71" t="n">
        <v>46003</v>
      </c>
      <c r="H23" s="77" t="inlineStr">
        <is>
          <t>Compito</t>
        </is>
      </c>
      <c r="I23" s="77">
        <f>IF((V23-R23)&gt;3,"SI","")</f>
        <v/>
      </c>
      <c r="J23" s="77" t="inlineStr">
        <is>
          <t>SI</t>
        </is>
      </c>
      <c r="K23" s="77" t="n"/>
      <c r="L23" s="77" t="n"/>
      <c r="M23" s="137">
        <f>IF(R23&gt;0,(SQRT(BT23*(SUM(BU23:BZ23)))),"")</f>
        <v/>
      </c>
      <c r="N23" s="4">
        <f>IF(T23&gt;0,(MAX(T23,Z23,AD23,AH23,AL23,AP23))+SQRT(1.2^2+1^2),"")</f>
        <v/>
      </c>
      <c r="O23" s="3">
        <f>IF(R23="",0,10*LOG10(SUM(BG23:BL23)/(COUNT(R23,X23,AB23,AF23,AJ23,AN23))))</f>
        <v/>
      </c>
      <c r="P23" s="5">
        <f>IF(AND(Y23="",AC23="",AG23="",AK23="",AO23=""),S23,AVERAGE(S23,Y23,AC23,AG23,AK23,AO23)+STDEV(S23,Y23,AC23,AG23,AK23,AO23))</f>
        <v/>
      </c>
      <c r="Q23" s="14" t="n">
        <v>300</v>
      </c>
      <c r="R23" s="11" t="n">
        <v>83</v>
      </c>
      <c r="S23" s="12" t="n">
        <v>82.8</v>
      </c>
      <c r="T23" s="13" t="n">
        <v>123.4</v>
      </c>
      <c r="U23" s="79" t="n"/>
      <c r="V23" s="79" t="n"/>
      <c r="W23" s="10" t="n">
        <v>300</v>
      </c>
      <c r="X23" s="11" t="n">
        <v>85.8</v>
      </c>
      <c r="Y23" s="12" t="n">
        <v>87.90000000000001</v>
      </c>
      <c r="Z23" s="13" t="n">
        <v>119</v>
      </c>
      <c r="AA23" s="10" t="n">
        <v>300</v>
      </c>
      <c r="AB23" s="11" t="n">
        <v>80.7</v>
      </c>
      <c r="AC23" s="12" t="n">
        <v>82.90000000000001</v>
      </c>
      <c r="AD23" s="13" t="n">
        <v>117.1</v>
      </c>
      <c r="AE23" s="14" t="n">
        <v>300</v>
      </c>
      <c r="AF23" s="11" t="n">
        <v>83.8</v>
      </c>
      <c r="AG23" s="12" t="n">
        <v>86</v>
      </c>
      <c r="AH23" s="13" t="n">
        <v>129.4</v>
      </c>
      <c r="AI23" s="10" t="n">
        <v>300</v>
      </c>
      <c r="AJ23" s="11" t="n">
        <v>96.5</v>
      </c>
      <c r="AK23" s="12" t="n">
        <v>95.8</v>
      </c>
      <c r="AL23" s="13" t="n">
        <v>133.8</v>
      </c>
      <c r="AM23" s="10" t="n">
        <v>300</v>
      </c>
      <c r="AN23" s="11" t="n">
        <v>82.59999999999999</v>
      </c>
      <c r="AO23" s="12" t="n">
        <v>84.3</v>
      </c>
      <c r="AP23" s="13" t="n">
        <v>114.9</v>
      </c>
      <c r="AQ23" s="6">
        <f>IF(AND((O23)&lt;85,N23&lt;137),"NO","SI")</f>
        <v/>
      </c>
      <c r="AR23" s="7">
        <f>IF((480*(10^(7.95-(O23/10))))&lt;480,480*(10^(7.95-(O23/10))),480)</f>
        <v/>
      </c>
      <c r="AS23" s="8">
        <f>IF((480*(10^(8.45-(O23/10))))&lt;480,480*(10^(8.45-(O23/10))),480)</f>
        <v/>
      </c>
      <c r="AT23" s="9">
        <f>IF((480*(10^(8.65-(O23/10))))&lt;480,480*(10^(8.65-(O23/10))),480)</f>
        <v/>
      </c>
      <c r="AU23" s="151">
        <f>IF(O23&lt;80,"0",IF((P23-O23)&lt;=2,('DPI art.191'!$G$3-(('DPI art.191'!$F$3-'DPI art.191'!$G$3)/4)*(P23-O23-2)),('DPI art.191'!$G$3-(('DPI art.191'!$F$3-'DPI art.191'!$H$3)/8)*(P23-O23-2))))</f>
        <v/>
      </c>
      <c r="AV23" s="24">
        <f>O23-AU23</f>
        <v/>
      </c>
      <c r="AW23" s="24">
        <f>IF(N23&lt;135,N23,N23-'DPI art.191'!$I$3)</f>
        <v/>
      </c>
      <c r="AX23" s="111">
        <f>IF(I23&lt;80,"0",IF((J23-I23)&lt;=2,('DPI art.191'!$G$7-(('DPI art.191'!$F$7-'DPI art.191'!$G$7)/4)*(I23-J23-2)),('DPI art.191'!$G$7-(('DPI art.191'!$G$7-'DPI art.191'!$H$7)/8)*(J23-I23-2))))</f>
        <v/>
      </c>
      <c r="AY23" s="24">
        <f>I23-AX23</f>
        <v/>
      </c>
      <c r="AZ23" s="24">
        <f>IF(H23&lt;135,H23,H23-'DPI art.191'!$I$7)</f>
        <v/>
      </c>
      <c r="BA23" s="111">
        <f>IF(O23&lt;80,"0",IF((P23-O23)&lt;=2,('DPI art.191'!$G$5-(('DPI art.191'!$F$5-'DPI art.191'!$G$5)/4)*(P23-O23-2)),('DPI art.191'!$G$5-(('DPI art.191'!$G$5-'DPI art.191'!$H$5)/8)*(P23-O23-2))))</f>
        <v/>
      </c>
      <c r="BB23" s="24">
        <f>R23-BA23</f>
        <v/>
      </c>
      <c r="BC23" s="24">
        <f>IF(N23&lt;135,N23,N23-'DPI art.191'!$I$5)</f>
        <v/>
      </c>
      <c r="BD23" s="111">
        <f>IF(O23&lt;80,"0",IF((P23-O23)&lt;=2,('DPI art.191'!$G$7-(('DPI art.191'!$F$7-'DPI art.191'!$G$7)/4)*(O23-P23-2)),('DPI art.191'!$G$7-(('DPI art.191'!$G$7-'DPI art.191'!$H$7)/8)*(P23-O23-2))))</f>
        <v/>
      </c>
      <c r="BE23" s="24">
        <f>O23-BD23</f>
        <v/>
      </c>
      <c r="BF23" s="24">
        <f>IF(N23&lt;135,N23,N23-'DPI art.191'!$I$7)</f>
        <v/>
      </c>
      <c r="BG23" s="108">
        <f>10^(0.1*R23)</f>
        <v/>
      </c>
      <c r="BH23" s="108">
        <f>10^(0.1*X23)</f>
        <v/>
      </c>
      <c r="BI23" s="108">
        <f>10^(0.1*AB23)</f>
        <v/>
      </c>
      <c r="BJ23" s="108">
        <f>10^(0.1*AF23)</f>
        <v/>
      </c>
      <c r="BK23" s="108">
        <f>10^(0.1*AJ23)</f>
        <v/>
      </c>
      <c r="BL23" s="108">
        <f>10^(0.1*AN23)</f>
        <v/>
      </c>
      <c r="BM23" s="106">
        <f>IF(R23&gt;0,(O23-R23),"")</f>
        <v/>
      </c>
      <c r="BN23" s="106">
        <f>IF(X23&gt;0,(O23-X23),"")</f>
        <v/>
      </c>
      <c r="BO23" s="106">
        <f>IF(AB23&gt;0,(O23-AB23),"")</f>
        <v/>
      </c>
      <c r="BP23" s="106">
        <f>IF(AF23&gt;0,(O23-AF23),"")</f>
        <v/>
      </c>
      <c r="BQ23" s="106">
        <f>IF(AJ23&gt;0,(O23-AJ23),"")</f>
        <v/>
      </c>
      <c r="BR23" s="106">
        <f>IF(AN23&gt;0,(O23-AN23),"")</f>
        <v/>
      </c>
      <c r="BS23" s="106">
        <f>COUNT(BM23:BR23)</f>
        <v/>
      </c>
      <c r="BT23" s="464">
        <f>IF(BS23=0,0,IF(BS23=1,0,1/(BS23*(BS23-1))))</f>
        <v/>
      </c>
      <c r="BU23" s="136">
        <f>IF(R23&gt;0,(BM23^2),"")</f>
        <v/>
      </c>
      <c r="BV23" s="136">
        <f>IF(X23&gt;0,(BN23^2),"")</f>
        <v/>
      </c>
      <c r="BW23" s="136">
        <f>IF(AB23&gt;0,(BO23^2),"")</f>
        <v/>
      </c>
      <c r="BX23" s="136">
        <f>IF(AF23&gt;0,(BP23^2),"")</f>
        <v/>
      </c>
      <c r="BY23" s="136">
        <f>IF(AJ23&gt;0,(BQ23^2),"")</f>
        <v/>
      </c>
      <c r="BZ23" s="136">
        <f>IF(AN23&gt;0,(BR23^2),"")</f>
        <v/>
      </c>
    </row>
    <row r="24" ht="18.75" customHeight="1" s="444">
      <c r="A24" s="340" t="inlineStr">
        <is>
          <t>Sabbiatura</t>
        </is>
      </c>
      <c r="B24" s="65" t="inlineStr">
        <is>
          <t>W19</t>
        </is>
      </c>
      <c r="C24" s="78" t="inlineStr">
        <is>
          <t>Sabbiatura</t>
        </is>
      </c>
      <c r="D24" s="83" t="inlineStr">
        <is>
          <t>/</t>
        </is>
      </c>
      <c r="E24" s="83" t="inlineStr">
        <is>
          <t>/</t>
        </is>
      </c>
      <c r="F24" s="192" t="inlineStr">
        <is>
          <t>Sabbiatura</t>
        </is>
      </c>
      <c r="G24" s="71" t="n">
        <v>46003</v>
      </c>
      <c r="H24" s="77" t="inlineStr">
        <is>
          <t>Compito</t>
        </is>
      </c>
      <c r="I24" s="77">
        <f>IF((V24-R24)&gt;3,"SI","")</f>
        <v/>
      </c>
      <c r="J24" s="77" t="inlineStr">
        <is>
          <t>SI</t>
        </is>
      </c>
      <c r="K24" s="77" t="n"/>
      <c r="L24" s="77" t="n"/>
      <c r="M24" s="137">
        <f>IF(R24&gt;0,(SQRT(BT24*(SUM(BU24:BZ24)))),"")</f>
        <v/>
      </c>
      <c r="N24" s="4">
        <f>IF(T24&gt;0,(MAX(T24,Z24,AD24,AH24,AL24,AP24))+SQRT(1.2^2+1^2),"")</f>
        <v/>
      </c>
      <c r="O24" s="3">
        <f>IF(R24="",0,10*LOG10(SUM(BG24:BL24)/(COUNT(R24,X24,AB24,AF24,AJ24,AN24))))</f>
        <v/>
      </c>
      <c r="P24" s="5">
        <f>IF(AND(Y24="",AC24="",AG24="",AK24="",AO24=""),S24,AVERAGE(S24,Y24,AC24,AG24,AK24,AO24)+STDEV(S24,Y24,AC24,AG24,AK24,AO24))</f>
        <v/>
      </c>
      <c r="Q24" s="14" t="n">
        <v>300</v>
      </c>
      <c r="R24" s="11" t="n">
        <v>88.3</v>
      </c>
      <c r="S24" s="12" t="n">
        <v>93.7</v>
      </c>
      <c r="T24" s="13" t="n">
        <v>127.5</v>
      </c>
      <c r="U24" s="79" t="n"/>
      <c r="V24" s="79" t="n"/>
      <c r="W24" s="10" t="n">
        <v>300</v>
      </c>
      <c r="X24" s="11" t="n">
        <v>92.7</v>
      </c>
      <c r="Y24" s="12" t="n">
        <v>94.2</v>
      </c>
      <c r="Z24" s="13" t="n">
        <v>121.7</v>
      </c>
      <c r="AA24" s="10" t="n">
        <v>300</v>
      </c>
      <c r="AB24" s="11" t="n">
        <v>92.8</v>
      </c>
      <c r="AC24" s="12" t="n">
        <v>94.5</v>
      </c>
      <c r="AD24" s="13" t="n">
        <v>121.3</v>
      </c>
      <c r="AE24" s="14" t="n">
        <v>300</v>
      </c>
      <c r="AF24" s="11" t="n">
        <v>91.40000000000001</v>
      </c>
      <c r="AG24" s="12" t="n">
        <v>93.3</v>
      </c>
      <c r="AH24" s="13" t="n">
        <v>122.8</v>
      </c>
      <c r="AI24" s="10" t="n">
        <v>300</v>
      </c>
      <c r="AJ24" s="11" t="n">
        <v>91.90000000000001</v>
      </c>
      <c r="AK24" s="12" t="n">
        <v>93.8</v>
      </c>
      <c r="AL24" s="13" t="n">
        <v>123</v>
      </c>
      <c r="AM24" s="10" t="n">
        <v>300</v>
      </c>
      <c r="AN24" s="11" t="n">
        <v>96.3</v>
      </c>
      <c r="AO24" s="12" t="n">
        <v>96.3</v>
      </c>
      <c r="AP24" s="13" t="n">
        <v>126.7</v>
      </c>
      <c r="AQ24" s="6">
        <f>IF(AND((O24)&lt;85,N24&lt;137),"NO","SI")</f>
        <v/>
      </c>
      <c r="AR24" s="7">
        <f>IF((480*(10^(7.95-(O24/10))))&lt;480,480*(10^(7.95-(O24/10))),480)</f>
        <v/>
      </c>
      <c r="AS24" s="8">
        <f>IF((480*(10^(8.45-(O24/10))))&lt;480,480*(10^(8.45-(O24/10))),480)</f>
        <v/>
      </c>
      <c r="AT24" s="9">
        <f>IF((480*(10^(8.65-(O24/10))))&lt;480,480*(10^(8.65-(O24/10))),480)</f>
        <v/>
      </c>
      <c r="AU24" s="151">
        <f>IF(O24&lt;80,"0",IF((P24-O24)&lt;=2,('DPI art.191'!$G$3-(('DPI art.191'!$F$3-'DPI art.191'!$G$3)/4)*(P24-O24-2)),('DPI art.191'!$G$3-(('DPI art.191'!$F$3-'DPI art.191'!$H$3)/8)*(P24-O24-2))))</f>
        <v/>
      </c>
      <c r="AV24" s="24">
        <f>O24-AU24</f>
        <v/>
      </c>
      <c r="AW24" s="24">
        <f>IF(N24&lt;135,N24,N24-'DPI art.191'!$I$3)</f>
        <v/>
      </c>
      <c r="AX24" s="111">
        <f>IF(I24&lt;80,"0",IF((J24-I24)&lt;=2,('DPI art.191'!$G$7-(('DPI art.191'!$F$7-'DPI art.191'!$G$7)/4)*(I24-J24-2)),('DPI art.191'!$G$7-(('DPI art.191'!$G$7-'DPI art.191'!$H$7)/8)*(J24-I24-2))))</f>
        <v/>
      </c>
      <c r="AY24" s="24">
        <f>I24-AX24</f>
        <v/>
      </c>
      <c r="AZ24" s="24">
        <f>IF(H24&lt;135,H24,H24-'DPI art.191'!$I$7)</f>
        <v/>
      </c>
      <c r="BA24" s="111">
        <f>IF(O24&lt;80,"0",IF((P24-O24)&lt;=2,('DPI art.191'!$G$5-(('DPI art.191'!$F$5-'DPI art.191'!$G$5)/4)*(P24-O24-2)),('DPI art.191'!$G$5-(('DPI art.191'!$G$5-'DPI art.191'!$H$5)/8)*(P24-O24-2))))</f>
        <v/>
      </c>
      <c r="BB24" s="24">
        <f>R24-BA24</f>
        <v/>
      </c>
      <c r="BC24" s="24">
        <f>IF(N24&lt;135,N24,N24-'DPI art.191'!$I$5)</f>
        <v/>
      </c>
      <c r="BD24" s="111">
        <f>IF(O24&lt;80,"0",IF((P24-O24)&lt;=2,('DPI art.191'!$G$7-(('DPI art.191'!$F$7-'DPI art.191'!$G$7)/4)*(O24-P24-2)),('DPI art.191'!$G$7-(('DPI art.191'!$G$7-'DPI art.191'!$H$7)/8)*(P24-O24-2))))</f>
        <v/>
      </c>
      <c r="BE24" s="24">
        <f>O24-BD24</f>
        <v/>
      </c>
      <c r="BF24" s="24">
        <f>IF(N24&lt;135,N24,N24-'DPI art.191'!$I$7)</f>
        <v/>
      </c>
      <c r="BG24" s="108">
        <f>10^(0.1*R24)</f>
        <v/>
      </c>
      <c r="BH24" s="108">
        <f>10^(0.1*X24)</f>
        <v/>
      </c>
      <c r="BI24" s="108">
        <f>10^(0.1*AB24)</f>
        <v/>
      </c>
      <c r="BJ24" s="108">
        <f>10^(0.1*AF24)</f>
        <v/>
      </c>
      <c r="BK24" s="108">
        <f>10^(0.1*AJ24)</f>
        <v/>
      </c>
      <c r="BL24" s="108">
        <f>10^(0.1*AN24)</f>
        <v/>
      </c>
      <c r="BM24" s="106">
        <f>IF(R24&gt;0,(O24-R24),"")</f>
        <v/>
      </c>
      <c r="BN24" s="106">
        <f>IF(X24&gt;0,(O24-X24),"")</f>
        <v/>
      </c>
      <c r="BO24" s="106">
        <f>IF(AB24&gt;0,(O24-AB24),"")</f>
        <v/>
      </c>
      <c r="BP24" s="106">
        <f>IF(AF24&gt;0,(O24-AF24),"")</f>
        <v/>
      </c>
      <c r="BQ24" s="106">
        <f>IF(AJ24&gt;0,(O24-AJ24),"")</f>
        <v/>
      </c>
      <c r="BR24" s="106">
        <f>IF(AN24&gt;0,(O24-AN24),"")</f>
        <v/>
      </c>
      <c r="BS24" s="106">
        <f>COUNT(BM24:BR24)</f>
        <v/>
      </c>
      <c r="BT24" s="464">
        <f>IF(BS24=0,0,IF(BS24=1,0,1/(BS24*(BS24-1))))</f>
        <v/>
      </c>
      <c r="BU24" s="136">
        <f>IF(R24&gt;0,(BM24^2),"")</f>
        <v/>
      </c>
      <c r="BV24" s="136">
        <f>IF(X24&gt;0,(BN24^2),"")</f>
        <v/>
      </c>
      <c r="BW24" s="136">
        <f>IF(AB24&gt;0,(BO24^2),"")</f>
        <v/>
      </c>
      <c r="BX24" s="136">
        <f>IF(AF24&gt;0,(BP24^2),"")</f>
        <v/>
      </c>
      <c r="BY24" s="136">
        <f>IF(AJ24&gt;0,(BQ24^2),"")</f>
        <v/>
      </c>
      <c r="BZ24" s="136">
        <f>IF(AN24&gt;0,(BR24^2),"")</f>
        <v/>
      </c>
    </row>
    <row r="25" ht="18.75" customHeight="1" s="444">
      <c r="A25" s="340" t="inlineStr">
        <is>
          <t>Verniciatura</t>
        </is>
      </c>
      <c r="B25" s="65" t="inlineStr">
        <is>
          <t>W20</t>
        </is>
      </c>
      <c r="C25" s="78" t="inlineStr">
        <is>
          <t>Verniciatura</t>
        </is>
      </c>
      <c r="D25" s="83" t="inlineStr">
        <is>
          <t>/</t>
        </is>
      </c>
      <c r="E25" s="83" t="inlineStr">
        <is>
          <t>/</t>
        </is>
      </c>
      <c r="F25" s="192" t="inlineStr">
        <is>
          <t>Vernciciatura</t>
        </is>
      </c>
      <c r="G25" s="71" t="n">
        <v>46003</v>
      </c>
      <c r="H25" s="77" t="inlineStr">
        <is>
          <t>Compito</t>
        </is>
      </c>
      <c r="I25" s="77">
        <f>IF((V25-R25)&gt;3,"SI","")</f>
        <v/>
      </c>
      <c r="J25" s="77" t="inlineStr">
        <is>
          <t>SI</t>
        </is>
      </c>
      <c r="K25" s="77" t="n"/>
      <c r="L25" s="77" t="n"/>
      <c r="M25" s="137">
        <f>IF(R25&gt;0,(SQRT(BT25*(SUM(BU25:BZ25)))),"")</f>
        <v/>
      </c>
      <c r="N25" s="4">
        <f>IF(T25&gt;0,(MAX(T25,Z25,AD25,AH25,AL25,AP25))+SQRT(1.2^2+1^2),"")</f>
        <v/>
      </c>
      <c r="O25" s="3">
        <f>IF(R25="",0,10*LOG10(SUM(BG25:BL25)/(COUNT(R25,X25,AB25,AF25,AJ25,AN25))))</f>
        <v/>
      </c>
      <c r="P25" s="5">
        <f>IF(AND(Y25="",AC25="",AG25="",AK25="",AO25=""),S25,AVERAGE(S25,Y25,AC25,AG25,AK25,AO25)+STDEV(S25,Y25,AC25,AG25,AK25,AO25))</f>
        <v/>
      </c>
      <c r="Q25" s="14" t="n">
        <v>300</v>
      </c>
      <c r="R25" s="11" t="n">
        <v>81.40000000000001</v>
      </c>
      <c r="S25" s="12" t="n">
        <v>84</v>
      </c>
      <c r="T25" s="13" t="n">
        <v>116.1</v>
      </c>
      <c r="U25" s="79" t="n"/>
      <c r="V25" s="79" t="n"/>
      <c r="W25" s="10" t="n">
        <v>300</v>
      </c>
      <c r="X25" s="11" t="n">
        <v>81.90000000000001</v>
      </c>
      <c r="Y25" s="12" t="n">
        <v>83.7</v>
      </c>
      <c r="Z25" s="13" t="n">
        <v>119.5</v>
      </c>
      <c r="AA25" s="10" t="n">
        <v>300</v>
      </c>
      <c r="AB25" s="11" t="n">
        <v>80.5</v>
      </c>
      <c r="AC25" s="12" t="n">
        <v>83.09999999999999</v>
      </c>
      <c r="AD25" s="13" t="n">
        <v>121.1</v>
      </c>
      <c r="AE25" s="14" t="n">
        <v>300</v>
      </c>
      <c r="AF25" s="11" t="n">
        <v>74</v>
      </c>
      <c r="AG25" s="12" t="n">
        <v>75.2</v>
      </c>
      <c r="AH25" s="13" t="n">
        <v>111.6</v>
      </c>
      <c r="AI25" s="10" t="n">
        <v>300</v>
      </c>
      <c r="AJ25" s="11" t="n">
        <v>78</v>
      </c>
      <c r="AK25" s="12" t="n">
        <v>78.7</v>
      </c>
      <c r="AL25" s="13" t="n">
        <v>114.8</v>
      </c>
      <c r="AM25" s="10" t="n">
        <v>300</v>
      </c>
      <c r="AN25" s="11" t="n">
        <v>79.40000000000001</v>
      </c>
      <c r="AO25" s="12" t="n">
        <v>81.40000000000001</v>
      </c>
      <c r="AP25" s="13" t="n">
        <v>116.8</v>
      </c>
      <c r="AQ25" s="6">
        <f>IF(AND((O25)&lt;85,N25&lt;137),"NO","SI")</f>
        <v/>
      </c>
      <c r="AR25" s="7">
        <f>IF((480*(10^(7.95-(O25/10))))&lt;480,480*(10^(7.95-(O25/10))),480)</f>
        <v/>
      </c>
      <c r="AS25" s="8">
        <f>IF((480*(10^(8.45-(O25/10))))&lt;480,480*(10^(8.45-(O25/10))),480)</f>
        <v/>
      </c>
      <c r="AT25" s="9">
        <f>IF((480*(10^(8.65-(O25/10))))&lt;480,480*(10^(8.65-(O25/10))),480)</f>
        <v/>
      </c>
      <c r="AU25" s="151">
        <f>IF(O25&lt;80,"0",IF((P25-O25)&lt;=2,('DPI art.191'!$G$3-(('DPI art.191'!$F$3-'DPI art.191'!$G$3)/4)*(P25-O25-2)),('DPI art.191'!$G$3-(('DPI art.191'!$F$3-'DPI art.191'!$H$3)/8)*(P25-O25-2))))</f>
        <v/>
      </c>
      <c r="AV25" s="24">
        <f>O25-AU25</f>
        <v/>
      </c>
      <c r="AW25" s="24">
        <f>IF(N25&lt;135,N25,N25-'DPI art.191'!$I$3)</f>
        <v/>
      </c>
      <c r="AX25" s="111">
        <f>IF(I25&lt;80,"0",IF((J25-I25)&lt;=2,('DPI art.191'!$G$7-(('DPI art.191'!$F$7-'DPI art.191'!$G$7)/4)*(I25-J25-2)),('DPI art.191'!$G$7-(('DPI art.191'!$G$7-'DPI art.191'!$H$7)/8)*(J25-I25-2))))</f>
        <v/>
      </c>
      <c r="AY25" s="24">
        <f>I25-AX25</f>
        <v/>
      </c>
      <c r="AZ25" s="24">
        <f>IF(H25&lt;135,H25,H25-'DPI art.191'!$I$7)</f>
        <v/>
      </c>
      <c r="BA25" s="111">
        <f>IF(O25&lt;80,"0",IF((P25-O25)&lt;=2,('DPI art.191'!$G$5-(('DPI art.191'!$F$5-'DPI art.191'!$G$5)/4)*(P25-O25-2)),('DPI art.191'!$G$5-(('DPI art.191'!$G$5-'DPI art.191'!$H$5)/8)*(P25-O25-2))))</f>
        <v/>
      </c>
      <c r="BB25" s="24">
        <f>R25-BA25</f>
        <v/>
      </c>
      <c r="BC25" s="24">
        <f>IF(N25&lt;135,N25,N25-'DPI art.191'!$I$5)</f>
        <v/>
      </c>
      <c r="BD25" s="111">
        <f>IF(O25&lt;80,"0",IF((P25-O25)&lt;=2,('DPI art.191'!$G$7-(('DPI art.191'!$F$7-'DPI art.191'!$G$7)/4)*(O25-P25-2)),('DPI art.191'!$G$7-(('DPI art.191'!$G$7-'DPI art.191'!$H$7)/8)*(P25-O25-2))))</f>
        <v/>
      </c>
      <c r="BE25" s="24">
        <f>O25-BD25</f>
        <v/>
      </c>
      <c r="BF25" s="24">
        <f>IF(N25&lt;135,N25,N25-'DPI art.191'!$I$7)</f>
        <v/>
      </c>
      <c r="BG25" s="108">
        <f>10^(0.1*R25)</f>
        <v/>
      </c>
      <c r="BH25" s="108">
        <f>10^(0.1*X25)</f>
        <v/>
      </c>
      <c r="BI25" s="108">
        <f>10^(0.1*AB25)</f>
        <v/>
      </c>
      <c r="BJ25" s="108">
        <f>10^(0.1*AF25)</f>
        <v/>
      </c>
      <c r="BK25" s="108">
        <f>10^(0.1*AJ25)</f>
        <v/>
      </c>
      <c r="BL25" s="108">
        <f>10^(0.1*AN25)</f>
        <v/>
      </c>
      <c r="BM25" s="106">
        <f>IF(R25&gt;0,(O25-R25),"")</f>
        <v/>
      </c>
      <c r="BN25" s="106">
        <f>IF(X25&gt;0,(O25-X25),"")</f>
        <v/>
      </c>
      <c r="BO25" s="106">
        <f>IF(AB25&gt;0,(O25-AB25),"")</f>
        <v/>
      </c>
      <c r="BP25" s="106">
        <f>IF(AF25&gt;0,(O25-AF25),"")</f>
        <v/>
      </c>
      <c r="BQ25" s="106">
        <f>IF(AJ25&gt;0,(O25-AJ25),"")</f>
        <v/>
      </c>
      <c r="BR25" s="106">
        <f>IF(AN25&gt;0,(O25-AN25),"")</f>
        <v/>
      </c>
      <c r="BS25" s="106">
        <f>COUNT(BM25:BR25)</f>
        <v/>
      </c>
      <c r="BT25" s="464">
        <f>IF(BS25=0,0,IF(BS25=1,0,1/(BS25*(BS25-1))))</f>
        <v/>
      </c>
      <c r="BU25" s="136">
        <f>IF(R25&gt;0,(BM25^2),"")</f>
        <v/>
      </c>
      <c r="BV25" s="136">
        <f>IF(X25&gt;0,(BN25^2),"")</f>
        <v/>
      </c>
      <c r="BW25" s="136">
        <f>IF(AB25&gt;0,(BO25^2),"")</f>
        <v/>
      </c>
      <c r="BX25" s="136">
        <f>IF(AF25&gt;0,(BP25^2),"")</f>
        <v/>
      </c>
      <c r="BY25" s="136">
        <f>IF(AJ25&gt;0,(BQ25^2),"")</f>
        <v/>
      </c>
      <c r="BZ25" s="136">
        <f>IF(AN25&gt;0,(BR25^2),"")</f>
        <v/>
      </c>
    </row>
    <row r="26" ht="25.5" customHeight="1" s="444">
      <c r="A26" s="340" t="inlineStr">
        <is>
          <t>273/11</t>
        </is>
      </c>
      <c r="B26" s="65" t="inlineStr">
        <is>
          <t>D1</t>
        </is>
      </c>
      <c r="C26" s="78" t="inlineStr">
        <is>
          <t>Sega a nastro</t>
        </is>
      </c>
      <c r="D26" s="83" t="inlineStr">
        <is>
          <t>FMB</t>
        </is>
      </c>
      <c r="E26" s="83" t="inlineStr">
        <is>
          <t xml:space="preserve">OLIMPUS 2 - Ø 500mm </t>
        </is>
      </c>
      <c r="F26" s="192" t="inlineStr">
        <is>
          <t>Taglio con sega a nastro</t>
        </is>
      </c>
      <c r="G26" s="71" t="n">
        <v>45996</v>
      </c>
      <c r="H26" s="77" t="inlineStr">
        <is>
          <t>Compito</t>
        </is>
      </c>
      <c r="I26" s="77">
        <f>IF((V26-R26)&gt;3,"SI","")</f>
        <v/>
      </c>
      <c r="J26" s="77">
        <f>IF((U26-R26)&gt;3,"SI","")</f>
        <v/>
      </c>
      <c r="K26" s="77" t="n"/>
      <c r="L26" s="77" t="n"/>
      <c r="M26" s="137">
        <f>IF(R26&gt;0,(SQRT(BT26*(SUM(BU26:BZ26)))),"")</f>
        <v/>
      </c>
      <c r="N26" s="4">
        <f>IF(T26&gt;0,(MAX(T26,Z26,AD26,AH26,AL26,AP26))+SQRT(1.2^2+1^2),"")</f>
        <v/>
      </c>
      <c r="O26" s="3">
        <f>IF(R26="",0,10*LOG10(SUM(BG26:BL26)/(COUNT(R26,X26,AB26,AF26,AJ26,AN26))))</f>
        <v/>
      </c>
      <c r="P26" s="5">
        <f>IF(AND(Y26="",AC26="",AG26="",AK26="",AO26=""),S26,AVERAGE(S26,Y26,AC26,AG26,AK26,AO26)+STDEV(S26,Y26,AC26,AG26,AK26,AO26))</f>
        <v/>
      </c>
      <c r="Q26" s="14" t="n">
        <v>300</v>
      </c>
      <c r="R26" s="11" t="n">
        <v>91.90000000000001</v>
      </c>
      <c r="S26" s="12" t="n">
        <v>91.2</v>
      </c>
      <c r="T26" s="13" t="n">
        <v>107.6</v>
      </c>
      <c r="U26" s="79" t="n">
        <v>92</v>
      </c>
      <c r="V26" s="79" t="n">
        <v>95.09999999999999</v>
      </c>
      <c r="W26" s="10" t="n">
        <v>300</v>
      </c>
      <c r="X26" s="11" t="n">
        <v>81.8</v>
      </c>
      <c r="Y26" s="12" t="n">
        <v>81.90000000000001</v>
      </c>
      <c r="Z26" s="13" t="n">
        <v>99.5</v>
      </c>
      <c r="AA26" s="10" t="n">
        <v>300</v>
      </c>
      <c r="AB26" s="11" t="n">
        <v>85.3</v>
      </c>
      <c r="AC26" s="12" t="n">
        <v>85</v>
      </c>
      <c r="AD26" s="13" t="n">
        <v>102.5</v>
      </c>
      <c r="AE26" s="14" t="n">
        <v>300</v>
      </c>
      <c r="AF26" s="11" t="n">
        <v>86.40000000000001</v>
      </c>
      <c r="AG26" s="12" t="n">
        <v>86</v>
      </c>
      <c r="AH26" s="13" t="n">
        <v>102.4</v>
      </c>
      <c r="AI26" s="10" t="n">
        <v>300</v>
      </c>
      <c r="AJ26" s="11" t="n">
        <v>85.7</v>
      </c>
      <c r="AK26" s="12" t="n">
        <v>85.40000000000001</v>
      </c>
      <c r="AL26" s="13" t="n">
        <v>103.1</v>
      </c>
      <c r="AM26" s="10" t="n">
        <v>300</v>
      </c>
      <c r="AN26" s="11" t="n">
        <v>83.59999999999999</v>
      </c>
      <c r="AO26" s="12" t="n">
        <v>83.3</v>
      </c>
      <c r="AP26" s="13" t="n">
        <v>104.6</v>
      </c>
      <c r="AQ26" s="6">
        <f>IF(AND((O26)&lt;85,N26&lt;137),"NO","SI")</f>
        <v/>
      </c>
      <c r="AR26" s="7">
        <f>IF((480*(10^(7.95-(O26/10))))&lt;480,480*(10^(7.95-(O26/10))),480)</f>
        <v/>
      </c>
      <c r="AS26" s="8">
        <f>IF((480*(10^(8.45-(O26/10))))&lt;480,480*(10^(8.45-(O26/10))),480)</f>
        <v/>
      </c>
      <c r="AT26" s="9">
        <f>IF((480*(10^(8.65-(O26/10))))&lt;480,480*(10^(8.65-(O26/10))),480)</f>
        <v/>
      </c>
      <c r="AU26" s="151">
        <f>IF(O26&lt;80,"0",IF((P26-O26)&lt;=2,('DPI art.191'!$G$3-(('DPI art.191'!$F$3-'DPI art.191'!$G$3)/4)*(P26-O26-2)),('DPI art.191'!$G$3-(('DPI art.191'!$F$3-'DPI art.191'!$H$3)/8)*(P26-O26-2))))</f>
        <v/>
      </c>
      <c r="AV26" s="24">
        <f>O26-AU26</f>
        <v/>
      </c>
      <c r="AW26" s="24">
        <f>IF(N26&lt;135,N26,N26-'DPI art.191'!$I$3)</f>
        <v/>
      </c>
      <c r="AX26" s="111">
        <f>IF(I26&lt;80,"0",IF((J26-I26)&lt;=2,('DPI art.191'!$G$7-(('DPI art.191'!$F$7-'DPI art.191'!$G$7)/4)*(I26-J26-2)),('DPI art.191'!$G$7-(('DPI art.191'!$G$7-'DPI art.191'!$H$7)/8)*(J26-I26-2))))</f>
        <v/>
      </c>
      <c r="AY26" s="24">
        <f>I26-AX26</f>
        <v/>
      </c>
      <c r="AZ26" s="24">
        <f>IF(H26&lt;135,H26,H26-'DPI art.191'!$I$7)</f>
        <v/>
      </c>
      <c r="BA26" s="111">
        <f>IF(O26&lt;80,"0",IF((P26-O26)&lt;=2,('DPI art.191'!$G$5-(('DPI art.191'!$F$5-'DPI art.191'!$G$5)/4)*(P26-O26-2)),('DPI art.191'!$G$5-(('DPI art.191'!$G$5-'DPI art.191'!$H$5)/8)*(P26-O26-2))))</f>
        <v/>
      </c>
      <c r="BB26" s="24">
        <f>R26-BA26</f>
        <v/>
      </c>
      <c r="BC26" s="24">
        <f>IF(N26&lt;135,N26,N26-'DPI art.191'!$I$5)</f>
        <v/>
      </c>
      <c r="BD26" s="111">
        <f>IF(O26&lt;80,"0",IF((P26-O26)&lt;=2,('DPI art.191'!$G$7-(('DPI art.191'!$F$7-'DPI art.191'!$G$7)/4)*(O26-P26-2)),('DPI art.191'!$G$7-(('DPI art.191'!$G$7-'DPI art.191'!$H$7)/8)*(P26-O26-2))))</f>
        <v/>
      </c>
      <c r="BE26" s="24">
        <f>O26-BD26</f>
        <v/>
      </c>
      <c r="BF26" s="24">
        <f>IF(N26&lt;135,N26,N26-'DPI art.191'!$I$7)</f>
        <v/>
      </c>
      <c r="BG26" s="108">
        <f>10^(0.1*R26)</f>
        <v/>
      </c>
      <c r="BH26" s="108">
        <f>10^(0.1*X26)</f>
        <v/>
      </c>
      <c r="BI26" s="108">
        <f>10^(0.1*AB26)</f>
        <v/>
      </c>
      <c r="BJ26" s="108">
        <f>10^(0.1*AF26)</f>
        <v/>
      </c>
      <c r="BK26" s="108">
        <f>10^(0.1*AJ26)</f>
        <v/>
      </c>
      <c r="BL26" s="108">
        <f>10^(0.1*AN26)</f>
        <v/>
      </c>
      <c r="BM26" s="106">
        <f>IF(R26&gt;0,(O26-R26),"")</f>
        <v/>
      </c>
      <c r="BN26" s="106">
        <f>IF(X26&gt;0,(O26-X26),"")</f>
        <v/>
      </c>
      <c r="BO26" s="106">
        <f>IF(AB26&gt;0,(O26-AB26),"")</f>
        <v/>
      </c>
      <c r="BP26" s="106">
        <f>IF(AF26&gt;0,(O26-AF26),"")</f>
        <v/>
      </c>
      <c r="BQ26" s="106">
        <f>IF(AJ26&gt;0,(O26-AJ26),"")</f>
        <v/>
      </c>
      <c r="BR26" s="106">
        <f>IF(AN26&gt;0,(O26-AN26),"")</f>
        <v/>
      </c>
      <c r="BS26" s="106">
        <f>COUNT(BM26:BR26)</f>
        <v/>
      </c>
      <c r="BT26" s="464">
        <f>IF(BS26=0,0,IF(BS26=1,0,1/(BS26*(BS26-1))))</f>
        <v/>
      </c>
      <c r="BU26" s="136">
        <f>IF(R26&gt;0,(BM26^2),"")</f>
        <v/>
      </c>
      <c r="BV26" s="136">
        <f>IF(X26&gt;0,(BN26^2),"")</f>
        <v/>
      </c>
      <c r="BW26" s="136">
        <f>IF(AB26&gt;0,(BO26^2),"")</f>
        <v/>
      </c>
      <c r="BX26" s="136">
        <f>IF(AF26&gt;0,(BP26^2),"")</f>
        <v/>
      </c>
      <c r="BY26" s="136">
        <f>IF(AJ26&gt;0,(BQ26^2),"")</f>
        <v/>
      </c>
      <c r="BZ26" s="136">
        <f>IF(AN26&gt;0,(BR26^2),"")</f>
        <v/>
      </c>
    </row>
    <row r="27" ht="25.5" customHeight="1" s="444">
      <c r="A27" s="340" t="inlineStr">
        <is>
          <t>273/12</t>
        </is>
      </c>
      <c r="B27" s="65" t="inlineStr">
        <is>
          <t>D2</t>
        </is>
      </c>
      <c r="C27" s="78" t="inlineStr">
        <is>
          <t>Sega a nastro</t>
        </is>
      </c>
      <c r="D27" s="83" t="inlineStr">
        <is>
          <t>SCORTEGAGNA</t>
        </is>
      </c>
      <c r="E27" s="83" t="inlineStr">
        <is>
          <t>RUSCH 260/320 AF</t>
        </is>
      </c>
      <c r="F27" s="192" t="inlineStr">
        <is>
          <t>Taglio con sega a nastro</t>
        </is>
      </c>
      <c r="G27" s="71" t="n">
        <v>45996</v>
      </c>
      <c r="H27" s="77" t="inlineStr">
        <is>
          <t>Compito</t>
        </is>
      </c>
      <c r="I27" s="77">
        <f>IF((V27-R27)&gt;3,"SI","")</f>
        <v/>
      </c>
      <c r="J27" s="77">
        <f>IF((U27-R27)&gt;3,"SI","")</f>
        <v/>
      </c>
      <c r="K27" s="77" t="n"/>
      <c r="L27" s="77" t="n"/>
      <c r="M27" s="137">
        <f>IF(R27&gt;0,(SQRT(BT27*(SUM(BU27:BZ27)))),"")</f>
        <v/>
      </c>
      <c r="N27" s="4">
        <f>IF(T27&gt;0,(MAX(T27,Z27,AD27,AH27,AL27,AP27))+SQRT(1.2^2+1^2),"")</f>
        <v/>
      </c>
      <c r="O27" s="3">
        <f>IF(R27="",0,10*LOG10(SUM(BG27:BL27)/(COUNT(R27,X27,AB27,AF27,AJ27,AN27))))</f>
        <v/>
      </c>
      <c r="P27" s="5">
        <f>IF(AND(Y27="",AC27="",AG27="",AK27="",AO27=""),S27,AVERAGE(S27,Y27,AC27,AG27,AK27,AO27)+STDEV(S27,Y27,AC27,AG27,AK27,AO27))</f>
        <v/>
      </c>
      <c r="Q27" s="14" t="n">
        <v>300</v>
      </c>
      <c r="R27" s="11" t="n">
        <v>76.5</v>
      </c>
      <c r="S27" s="12" t="n">
        <v>78.59999999999999</v>
      </c>
      <c r="T27" s="13" t="n">
        <v>105.9</v>
      </c>
      <c r="U27" s="79" t="n">
        <v>76.5</v>
      </c>
      <c r="V27" s="79" t="n">
        <v>79.90000000000001</v>
      </c>
      <c r="W27" s="10" t="n">
        <v>300</v>
      </c>
      <c r="X27" s="11" t="n">
        <v>74.8</v>
      </c>
      <c r="Y27" s="12" t="n">
        <v>77.90000000000001</v>
      </c>
      <c r="Z27" s="13" t="n">
        <v>106.8</v>
      </c>
      <c r="AA27" s="10" t="n">
        <v>300</v>
      </c>
      <c r="AB27" s="11" t="n">
        <v>78.2</v>
      </c>
      <c r="AC27" s="12" t="n">
        <v>79.2</v>
      </c>
      <c r="AD27" s="13" t="n">
        <v>102.2</v>
      </c>
      <c r="AE27" s="14" t="n">
        <v>300</v>
      </c>
      <c r="AF27" s="11" t="n">
        <v>77.8</v>
      </c>
      <c r="AG27" s="12" t="n">
        <v>79</v>
      </c>
      <c r="AH27" s="13" t="n">
        <v>102.7</v>
      </c>
      <c r="AI27" s="10" t="n">
        <v>300</v>
      </c>
      <c r="AJ27" s="11" t="n">
        <v>79.8</v>
      </c>
      <c r="AK27" s="12" t="n">
        <v>81</v>
      </c>
      <c r="AL27" s="13" t="n">
        <v>102</v>
      </c>
      <c r="AM27" s="10" t="n">
        <v>300</v>
      </c>
      <c r="AN27" s="11" t="n">
        <v>76.90000000000001</v>
      </c>
      <c r="AO27" s="12" t="n">
        <v>78.7</v>
      </c>
      <c r="AP27" s="13" t="n">
        <v>99.90000000000001</v>
      </c>
      <c r="AQ27" s="6">
        <f>IF(AND((O27)&lt;85,N27&lt;137),"NO","SI")</f>
        <v/>
      </c>
      <c r="AR27" s="7">
        <f>IF((480*(10^(7.95-(O27/10))))&lt;480,480*(10^(7.95-(O27/10))),480)</f>
        <v/>
      </c>
      <c r="AS27" s="8">
        <f>IF((480*(10^(8.45-(O27/10))))&lt;480,480*(10^(8.45-(O27/10))),480)</f>
        <v/>
      </c>
      <c r="AT27" s="9">
        <f>IF((480*(10^(8.65-(O27/10))))&lt;480,480*(10^(8.65-(O27/10))),480)</f>
        <v/>
      </c>
      <c r="AU27" s="151">
        <f>IF(O27&lt;80,"0",IF((P27-O27)&lt;=2,('DPI art.191'!$G$3-(('DPI art.191'!$F$3-'DPI art.191'!$G$3)/4)*(P27-O27-2)),('DPI art.191'!$G$3-(('DPI art.191'!$F$3-'DPI art.191'!$H$3)/8)*(P27-O27-2))))</f>
        <v/>
      </c>
      <c r="AV27" s="24">
        <f>O27-AU27</f>
        <v/>
      </c>
      <c r="AW27" s="24">
        <f>IF(N27&lt;135,N27,N27-'DPI art.191'!$I$3)</f>
        <v/>
      </c>
      <c r="AX27" s="111">
        <f>IF(I27&lt;80,"0",IF((J27-I27)&lt;=2,('DPI art.191'!$G$7-(('DPI art.191'!$F$7-'DPI art.191'!$G$7)/4)*(I27-J27-2)),('DPI art.191'!$G$7-(('DPI art.191'!$G$7-'DPI art.191'!$H$7)/8)*(J27-I27-2))))</f>
        <v/>
      </c>
      <c r="AY27" s="24">
        <f>I27-AX27</f>
        <v/>
      </c>
      <c r="AZ27" s="24">
        <f>IF(H27&lt;135,H27,H27-'DPI art.191'!$I$7)</f>
        <v/>
      </c>
      <c r="BA27" s="111">
        <f>IF(O27&lt;80,"0",IF((P27-O27)&lt;=2,('DPI art.191'!$G$5-(('DPI art.191'!$F$5-'DPI art.191'!$G$5)/4)*(P27-O27-2)),('DPI art.191'!$G$5-(('DPI art.191'!$G$5-'DPI art.191'!$H$5)/8)*(P27-O27-2))))</f>
        <v/>
      </c>
      <c r="BB27" s="24">
        <f>R27-BA27</f>
        <v/>
      </c>
      <c r="BC27" s="24">
        <f>IF(N27&lt;135,N27,N27-'DPI art.191'!$I$5)</f>
        <v/>
      </c>
      <c r="BD27" s="111">
        <f>IF(O27&lt;80,"0",IF((P27-O27)&lt;=2,('DPI art.191'!$G$7-(('DPI art.191'!$F$7-'DPI art.191'!$G$7)/4)*(O27-P27-2)),('DPI art.191'!$G$7-(('DPI art.191'!$G$7-'DPI art.191'!$H$7)/8)*(P27-O27-2))))</f>
        <v/>
      </c>
      <c r="BE27" s="24">
        <f>O27-BD27</f>
        <v/>
      </c>
      <c r="BF27" s="24">
        <f>IF(N27&lt;135,N27,N27-'DPI art.191'!$I$7)</f>
        <v/>
      </c>
      <c r="BG27" s="108">
        <f>10^(0.1*R27)</f>
        <v/>
      </c>
      <c r="BH27" s="108">
        <f>10^(0.1*X27)</f>
        <v/>
      </c>
      <c r="BI27" s="108">
        <f>10^(0.1*AB27)</f>
        <v/>
      </c>
      <c r="BJ27" s="108">
        <f>10^(0.1*AF27)</f>
        <v/>
      </c>
      <c r="BK27" s="108">
        <f>10^(0.1*AJ27)</f>
        <v/>
      </c>
      <c r="BL27" s="108">
        <f>10^(0.1*AN27)</f>
        <v/>
      </c>
      <c r="BM27" s="106">
        <f>IF(R27&gt;0,(O27-R27),"")</f>
        <v/>
      </c>
      <c r="BN27" s="106">
        <f>IF(X27&gt;0,(O27-X27),"")</f>
        <v/>
      </c>
      <c r="BO27" s="106">
        <f>IF(AB27&gt;0,(O27-AB27),"")</f>
        <v/>
      </c>
      <c r="BP27" s="106">
        <f>IF(AF27&gt;0,(O27-AF27),"")</f>
        <v/>
      </c>
      <c r="BQ27" s="106">
        <f>IF(AJ27&gt;0,(O27-AJ27),"")</f>
        <v/>
      </c>
      <c r="BR27" s="106">
        <f>IF(AN27&gt;0,(O27-AN27),"")</f>
        <v/>
      </c>
      <c r="BS27" s="106">
        <f>COUNT(BM27:BR27)</f>
        <v/>
      </c>
      <c r="BT27" s="464">
        <f>IF(BS27=0,0,IF(BS27=1,0,1/(BS27*(BS27-1))))</f>
        <v/>
      </c>
      <c r="BU27" s="136">
        <f>IF(R27&gt;0,(BM27^2),"")</f>
        <v/>
      </c>
      <c r="BV27" s="136">
        <f>IF(X27&gt;0,(BN27^2),"")</f>
        <v/>
      </c>
      <c r="BW27" s="136">
        <f>IF(AB27&gt;0,(BO27^2),"")</f>
        <v/>
      </c>
      <c r="BX27" s="136">
        <f>IF(AF27&gt;0,(BP27^2),"")</f>
        <v/>
      </c>
      <c r="BY27" s="136">
        <f>IF(AJ27&gt;0,(BQ27^2),"")</f>
        <v/>
      </c>
      <c r="BZ27" s="136">
        <f>IF(AN27&gt;0,(BR27^2),"")</f>
        <v/>
      </c>
    </row>
    <row r="28" ht="18.75" customHeight="1" s="444">
      <c r="A28" s="340" t="inlineStr">
        <is>
          <t>252/06</t>
        </is>
      </c>
      <c r="B28" s="65" t="inlineStr">
        <is>
          <t>D3</t>
        </is>
      </c>
      <c r="C28" s="78" t="inlineStr">
        <is>
          <t>Calandra</t>
        </is>
      </c>
      <c r="D28" s="83" t="inlineStr">
        <is>
          <t>DAVI - PROMAU</t>
        </is>
      </c>
      <c r="E28" s="83" t="inlineStr">
        <is>
          <t>MCB P30</t>
        </is>
      </c>
      <c r="F28" s="192" t="inlineStr">
        <is>
          <t>Calandratura</t>
        </is>
      </c>
      <c r="G28" s="71" t="n">
        <v>45996</v>
      </c>
      <c r="H28" s="77" t="inlineStr">
        <is>
          <t>Compito</t>
        </is>
      </c>
      <c r="I28" s="77">
        <f>IF((V28-R28)&gt;3,"SI","")</f>
        <v/>
      </c>
      <c r="J28" s="77">
        <f>IF((U28-R28)&gt;3,"SI","")</f>
        <v/>
      </c>
      <c r="K28" s="77" t="n"/>
      <c r="L28" s="77" t="n"/>
      <c r="M28" s="137">
        <f>IF(R28&gt;0,(SQRT(BT28*(SUM(BU28:BZ28)))),"")</f>
        <v/>
      </c>
      <c r="N28" s="4">
        <f>IF(T28&gt;0,(MAX(T28,Z28,AD28,AH28,AL28,AP28))+SQRT(1.2^2+1^2),"")</f>
        <v/>
      </c>
      <c r="O28" s="3">
        <f>IF(R28="",0,10*LOG10(SUM(BG28:BL28)/(COUNT(R28,X28,AB28,AF28,AJ28,AN28))))</f>
        <v/>
      </c>
      <c r="P28" s="5">
        <f>IF(AND(Y28="",AC28="",AG28="",AK28="",AO28=""),S28,AVERAGE(S28,Y28,AC28,AG28,AK28,AO28)+STDEV(S28,Y28,AC28,AG28,AK28,AO28))</f>
        <v/>
      </c>
      <c r="Q28" s="14" t="n">
        <v>300</v>
      </c>
      <c r="R28" s="11" t="n">
        <v>78</v>
      </c>
      <c r="S28" s="12" t="n">
        <v>81.2</v>
      </c>
      <c r="T28" s="13" t="n">
        <v>113.8</v>
      </c>
      <c r="U28" s="79" t="n">
        <v>78</v>
      </c>
      <c r="V28" s="79" t="n">
        <v>83.5</v>
      </c>
      <c r="W28" s="10" t="n">
        <v>300</v>
      </c>
      <c r="X28" s="11" t="n">
        <v>77.59999999999999</v>
      </c>
      <c r="Y28" s="12" t="n">
        <v>80.8</v>
      </c>
      <c r="Z28" s="13" t="n">
        <v>110.9</v>
      </c>
      <c r="AA28" s="10" t="n">
        <v>300</v>
      </c>
      <c r="AB28" s="11" t="n">
        <v>80.09999999999999</v>
      </c>
      <c r="AC28" s="12" t="n">
        <v>83.3</v>
      </c>
      <c r="AD28" s="13" t="n">
        <v>113.1</v>
      </c>
      <c r="AE28" s="14" t="n">
        <v>300</v>
      </c>
      <c r="AF28" s="11" t="n">
        <v>82.09999999999999</v>
      </c>
      <c r="AG28" s="12" t="n">
        <v>85.09999999999999</v>
      </c>
      <c r="AH28" s="13" t="n">
        <v>115.6</v>
      </c>
      <c r="AI28" s="10" t="n">
        <v>300</v>
      </c>
      <c r="AJ28" s="11" t="n">
        <v>85.5</v>
      </c>
      <c r="AK28" s="12" t="n">
        <v>86.59999999999999</v>
      </c>
      <c r="AL28" s="13" t="n">
        <v>118</v>
      </c>
      <c r="AM28" s="10" t="n">
        <v>300</v>
      </c>
      <c r="AN28" s="11" t="n">
        <v>83.5</v>
      </c>
      <c r="AO28" s="12" t="n">
        <v>83.40000000000001</v>
      </c>
      <c r="AP28" s="13" t="n">
        <v>106</v>
      </c>
      <c r="AQ28" s="6">
        <f>IF(AND((O28)&lt;85,N28&lt;137),"NO","SI")</f>
        <v/>
      </c>
      <c r="AR28" s="7">
        <f>IF((480*(10^(7.95-(O28/10))))&lt;480,480*(10^(7.95-(O28/10))),480)</f>
        <v/>
      </c>
      <c r="AS28" s="8">
        <f>IF((480*(10^(8.45-(O28/10))))&lt;480,480*(10^(8.45-(O28/10))),480)</f>
        <v/>
      </c>
      <c r="AT28" s="9">
        <f>IF((480*(10^(8.65-(O28/10))))&lt;480,480*(10^(8.65-(O28/10))),480)</f>
        <v/>
      </c>
      <c r="AU28" s="151">
        <f>IF(O28&lt;80,"0",IF((P28-O28)&lt;=2,('DPI art.191'!$G$3-(('DPI art.191'!$F$3-'DPI art.191'!$G$3)/4)*(P28-O28-2)),('DPI art.191'!$G$3-(('DPI art.191'!$F$3-'DPI art.191'!$H$3)/8)*(P28-O28-2))))</f>
        <v/>
      </c>
      <c r="AV28" s="24">
        <f>O28-AU28</f>
        <v/>
      </c>
      <c r="AW28" s="24">
        <f>IF(N28&lt;135,N28,N28-'DPI art.191'!$I$3)</f>
        <v/>
      </c>
      <c r="AX28" s="111">
        <f>IF(I28&lt;80,"0",IF((J28-I28)&lt;=2,('DPI art.191'!$G$7-(('DPI art.191'!$F$7-'DPI art.191'!$G$7)/4)*(I28-J28-2)),('DPI art.191'!$G$7-(('DPI art.191'!$G$7-'DPI art.191'!$H$7)/8)*(J28-I28-2))))</f>
        <v/>
      </c>
      <c r="AY28" s="24">
        <f>I28-AX28</f>
        <v/>
      </c>
      <c r="AZ28" s="24">
        <f>IF(H28&lt;135,H28,H28-'DPI art.191'!$I$7)</f>
        <v/>
      </c>
      <c r="BA28" s="111">
        <f>IF(O28&lt;80,"0",IF((P28-O28)&lt;=2,('DPI art.191'!$G$5-(('DPI art.191'!$F$5-'DPI art.191'!$G$5)/4)*(P28-O28-2)),('DPI art.191'!$G$5-(('DPI art.191'!$G$5-'DPI art.191'!$H$5)/8)*(P28-O28-2))))</f>
        <v/>
      </c>
      <c r="BB28" s="24">
        <f>R28-BA28</f>
        <v/>
      </c>
      <c r="BC28" s="24">
        <f>IF(N28&lt;135,N28,N28-'DPI art.191'!$I$5)</f>
        <v/>
      </c>
      <c r="BD28" s="111">
        <f>IF(O28&lt;80,"0",IF((P28-O28)&lt;=2,('DPI art.191'!$G$7-(('DPI art.191'!$F$7-'DPI art.191'!$G$7)/4)*(O28-P28-2)),('DPI art.191'!$G$7-(('DPI art.191'!$G$7-'DPI art.191'!$H$7)/8)*(P28-O28-2))))</f>
        <v/>
      </c>
      <c r="BE28" s="24">
        <f>O28-BD28</f>
        <v/>
      </c>
      <c r="BF28" s="24">
        <f>IF(N28&lt;135,N28,N28-'DPI art.191'!$I$7)</f>
        <v/>
      </c>
      <c r="BG28" s="108">
        <f>10^(0.1*R28)</f>
        <v/>
      </c>
      <c r="BH28" s="108">
        <f>10^(0.1*X28)</f>
        <v/>
      </c>
      <c r="BI28" s="108">
        <f>10^(0.1*AB28)</f>
        <v/>
      </c>
      <c r="BJ28" s="108">
        <f>10^(0.1*AF28)</f>
        <v/>
      </c>
      <c r="BK28" s="108">
        <f>10^(0.1*AJ28)</f>
        <v/>
      </c>
      <c r="BL28" s="108">
        <f>10^(0.1*AN28)</f>
        <v/>
      </c>
      <c r="BM28" s="106">
        <f>IF(R28&gt;0,(O28-R28),"")</f>
        <v/>
      </c>
      <c r="BN28" s="106">
        <f>IF(X28&gt;0,(O28-X28),"")</f>
        <v/>
      </c>
      <c r="BO28" s="106">
        <f>IF(AB28&gt;0,(O28-AB28),"")</f>
        <v/>
      </c>
      <c r="BP28" s="106">
        <f>IF(AF28&gt;0,(O28-AF28),"")</f>
        <v/>
      </c>
      <c r="BQ28" s="106">
        <f>IF(AJ28&gt;0,(O28-AJ28),"")</f>
        <v/>
      </c>
      <c r="BR28" s="106">
        <f>IF(AN28&gt;0,(O28-AN28),"")</f>
        <v/>
      </c>
      <c r="BS28" s="106">
        <f>COUNT(BM28:BR28)</f>
        <v/>
      </c>
      <c r="BT28" s="464">
        <f>IF(BS28=0,0,IF(BS28=1,0,1/(BS28*(BS28-1))))</f>
        <v/>
      </c>
      <c r="BU28" s="136">
        <f>IF(R28&gt;0,(BM28^2),"")</f>
        <v/>
      </c>
      <c r="BV28" s="136">
        <f>IF(X28&gt;0,(BN28^2),"")</f>
        <v/>
      </c>
      <c r="BW28" s="136">
        <f>IF(AB28&gt;0,(BO28^2),"")</f>
        <v/>
      </c>
      <c r="BX28" s="136">
        <f>IF(AF28&gt;0,(BP28^2),"")</f>
        <v/>
      </c>
      <c r="BY28" s="136">
        <f>IF(AJ28&gt;0,(BQ28^2),"")</f>
        <v/>
      </c>
      <c r="BZ28" s="136">
        <f>IF(AN28&gt;0,(BR28^2),"")</f>
        <v/>
      </c>
    </row>
    <row r="29" ht="18.75" customHeight="1" s="444">
      <c r="A29" s="340" t="inlineStr">
        <is>
          <t>016/0579</t>
        </is>
      </c>
      <c r="B29" s="65" t="inlineStr">
        <is>
          <t>D4</t>
        </is>
      </c>
      <c r="C29" s="78" t="inlineStr">
        <is>
          <t>Mola grande</t>
        </is>
      </c>
      <c r="D29" s="83" t="inlineStr">
        <is>
          <t>BOSCH</t>
        </is>
      </c>
      <c r="E29" s="83" t="inlineStr">
        <is>
          <t>gws 22-230 LVI</t>
        </is>
      </c>
      <c r="F29" s="192" t="inlineStr">
        <is>
          <t>Molatura con mola grande</t>
        </is>
      </c>
      <c r="G29" s="71" t="n">
        <v>45996</v>
      </c>
      <c r="H29" s="77" t="inlineStr">
        <is>
          <t>Compito</t>
        </is>
      </c>
      <c r="I29" s="77">
        <f>IF((V29-R29)&gt;3,"SI","")</f>
        <v/>
      </c>
      <c r="J29" s="77" t="inlineStr">
        <is>
          <t>SI</t>
        </is>
      </c>
      <c r="K29" s="77" t="n"/>
      <c r="L29" s="77" t="n"/>
      <c r="M29" s="137">
        <f>IF(R29&gt;0,(SQRT(BT29*(SUM(BU29:BZ29)))),"")</f>
        <v/>
      </c>
      <c r="N29" s="4">
        <f>IF(T29&gt;0,(MAX(T29,Z29,AD29,AH29,AL29,AP29))+SQRT(1.2^2+1^2),"")</f>
        <v/>
      </c>
      <c r="O29" s="3">
        <f>IF(R29="",0,10*LOG10(SUM(BG29:BL29)/(COUNT(R29,X29,AB29,AF29,AJ29,AN29))))</f>
        <v/>
      </c>
      <c r="P29" s="5">
        <f>IF(AND(Y29="",AC29="",AG29="",AK29="",AO29=""),S29,AVERAGE(S29,Y29,AC29,AG29,AK29,AO29)+STDEV(S29,Y29,AC29,AG29,AK29,AO29))</f>
        <v/>
      </c>
      <c r="Q29" s="14" t="n">
        <v>300</v>
      </c>
      <c r="R29" s="11" t="n">
        <v>104.9</v>
      </c>
      <c r="S29" s="12" t="n">
        <v>103.4</v>
      </c>
      <c r="T29" s="13" t="n">
        <v>122</v>
      </c>
      <c r="U29" s="79" t="n">
        <v>104.8</v>
      </c>
      <c r="V29" s="79" t="n">
        <v>106.9</v>
      </c>
      <c r="W29" s="10" t="n">
        <v>300</v>
      </c>
      <c r="X29" s="11" t="n">
        <v>103.2</v>
      </c>
      <c r="Y29" s="12" t="n">
        <v>101.8</v>
      </c>
      <c r="Z29" s="13" t="n">
        <v>118.8</v>
      </c>
      <c r="AA29" s="10" t="n">
        <v>300</v>
      </c>
      <c r="AB29" s="11" t="n">
        <v>100.1</v>
      </c>
      <c r="AC29" s="12" t="n">
        <v>98.7</v>
      </c>
      <c r="AD29" s="13" t="n">
        <v>119.8</v>
      </c>
      <c r="AE29" s="14" t="n">
        <v>300</v>
      </c>
      <c r="AF29" s="11" t="n">
        <v>105.9</v>
      </c>
      <c r="AG29" s="12" t="n">
        <v>104.7</v>
      </c>
      <c r="AH29" s="13" t="n">
        <v>123.3</v>
      </c>
      <c r="AI29" s="10" t="n">
        <v>300</v>
      </c>
      <c r="AJ29" s="11" t="n">
        <v>107</v>
      </c>
      <c r="AK29" s="12" t="n">
        <v>105.5</v>
      </c>
      <c r="AL29" s="13" t="n">
        <v>124</v>
      </c>
      <c r="AM29" s="10" t="n">
        <v>300</v>
      </c>
      <c r="AN29" s="11" t="n">
        <v>105</v>
      </c>
      <c r="AO29" s="12" t="n">
        <v>103.4</v>
      </c>
      <c r="AP29" s="13" t="n">
        <v>124.8</v>
      </c>
      <c r="AQ29" s="6">
        <f>IF(AND((O29)&lt;85,N29&lt;137),"NO","SI")</f>
        <v/>
      </c>
      <c r="AR29" s="7">
        <f>IF((480*(10^(7.95-(O29/10))))&lt;480,480*(10^(7.95-(O29/10))),480)</f>
        <v/>
      </c>
      <c r="AS29" s="8">
        <f>IF((480*(10^(8.45-(O29/10))))&lt;480,480*(10^(8.45-(O29/10))),480)</f>
        <v/>
      </c>
      <c r="AT29" s="9">
        <f>IF((480*(10^(8.65-(O29/10))))&lt;480,480*(10^(8.65-(O29/10))),480)</f>
        <v/>
      </c>
      <c r="AU29" s="151">
        <f>IF(O29&lt;80,"0",IF((P29-O29)&lt;=2,('DPI art.191'!$G$3-(('DPI art.191'!$F$3-'DPI art.191'!$G$3)/4)*(P29-O29-2)),('DPI art.191'!$G$3-(('DPI art.191'!$F$3-'DPI art.191'!$H$3)/8)*(P29-O29-2))))</f>
        <v/>
      </c>
      <c r="AV29" s="24">
        <f>O29-AU29</f>
        <v/>
      </c>
      <c r="AW29" s="24">
        <f>IF(N29&lt;135,N29,N29-'DPI art.191'!$I$3)</f>
        <v/>
      </c>
      <c r="AX29" s="111">
        <f>IF(I29&lt;80,"0",IF((J29-I29)&lt;=2,('DPI art.191'!$G$7-(('DPI art.191'!$F$7-'DPI art.191'!$G$7)/4)*(I29-J29-2)),('DPI art.191'!$G$7-(('DPI art.191'!$G$7-'DPI art.191'!$H$7)/8)*(J29-I29-2))))</f>
        <v/>
      </c>
      <c r="AY29" s="24">
        <f>I29-AX29</f>
        <v/>
      </c>
      <c r="AZ29" s="24">
        <f>IF(H29&lt;135,H29,H29-'DPI art.191'!$I$7)</f>
        <v/>
      </c>
      <c r="BA29" s="111">
        <f>IF(O29&lt;80,"0",IF((P29-O29)&lt;=2,('DPI art.191'!$G$5-(('DPI art.191'!$F$5-'DPI art.191'!$G$5)/4)*(P29-O29-2)),('DPI art.191'!$G$5-(('DPI art.191'!$G$5-'DPI art.191'!$H$5)/8)*(P29-O29-2))))</f>
        <v/>
      </c>
      <c r="BB29" s="24">
        <f>R29-BA29</f>
        <v/>
      </c>
      <c r="BC29" s="24">
        <f>IF(N29&lt;135,N29,N29-'DPI art.191'!$I$5)</f>
        <v/>
      </c>
      <c r="BD29" s="111">
        <f>IF(O29&lt;80,"0",IF((P29-O29)&lt;=2,('DPI art.191'!$G$7-(('DPI art.191'!$F$7-'DPI art.191'!$G$7)/4)*(O29-P29-2)),('DPI art.191'!$G$7-(('DPI art.191'!$G$7-'DPI art.191'!$H$7)/8)*(P29-O29-2))))</f>
        <v/>
      </c>
      <c r="BE29" s="24">
        <f>O29-BD29</f>
        <v/>
      </c>
      <c r="BF29" s="24">
        <f>IF(N29&lt;135,N29,N29-'DPI art.191'!$I$7)</f>
        <v/>
      </c>
      <c r="BG29" s="108">
        <f>10^(0.1*R29)</f>
        <v/>
      </c>
      <c r="BH29" s="108">
        <f>10^(0.1*X29)</f>
        <v/>
      </c>
      <c r="BI29" s="108">
        <f>10^(0.1*AB29)</f>
        <v/>
      </c>
      <c r="BJ29" s="108">
        <f>10^(0.1*AF29)</f>
        <v/>
      </c>
      <c r="BK29" s="108">
        <f>10^(0.1*AJ29)</f>
        <v/>
      </c>
      <c r="BL29" s="108">
        <f>10^(0.1*AN29)</f>
        <v/>
      </c>
      <c r="BM29" s="106">
        <f>IF(R29&gt;0,(O29-R29),"")</f>
        <v/>
      </c>
      <c r="BN29" s="106">
        <f>IF(X29&gt;0,(O29-X29),"")</f>
        <v/>
      </c>
      <c r="BO29" s="106">
        <f>IF(AB29&gt;0,(O29-AB29),"")</f>
        <v/>
      </c>
      <c r="BP29" s="106">
        <f>IF(AF29&gt;0,(O29-AF29),"")</f>
        <v/>
      </c>
      <c r="BQ29" s="106">
        <f>IF(AJ29&gt;0,(O29-AJ29),"")</f>
        <v/>
      </c>
      <c r="BR29" s="106">
        <f>IF(AN29&gt;0,(O29-AN29),"")</f>
        <v/>
      </c>
      <c r="BS29" s="106">
        <f>COUNT(BM29:BR29)</f>
        <v/>
      </c>
      <c r="BT29" s="464">
        <f>IF(BS29=0,0,IF(BS29=1,0,1/(BS29*(BS29-1))))</f>
        <v/>
      </c>
      <c r="BU29" s="136">
        <f>IF(R29&gt;0,(BM29^2),"")</f>
        <v/>
      </c>
      <c r="BV29" s="136">
        <f>IF(X29&gt;0,(BN29^2),"")</f>
        <v/>
      </c>
      <c r="BW29" s="136">
        <f>IF(AB29&gt;0,(BO29^2),"")</f>
        <v/>
      </c>
      <c r="BX29" s="136">
        <f>IF(AF29&gt;0,(BP29^2),"")</f>
        <v/>
      </c>
      <c r="BY29" s="136">
        <f>IF(AJ29&gt;0,(BQ29^2),"")</f>
        <v/>
      </c>
      <c r="BZ29" s="136">
        <f>IF(AN29&gt;0,(BR29^2),"")</f>
        <v/>
      </c>
    </row>
    <row r="30" ht="18.75" customHeight="1" s="444">
      <c r="A30" s="340" t="inlineStr">
        <is>
          <t>017/1254</t>
        </is>
      </c>
      <c r="B30" s="65" t="inlineStr">
        <is>
          <t>D5</t>
        </is>
      </c>
      <c r="C30" s="78" t="inlineStr">
        <is>
          <t>Mola piccola</t>
        </is>
      </c>
      <c r="D30" s="83" t="inlineStr">
        <is>
          <t>FEIN</t>
        </is>
      </c>
      <c r="E30" s="83" t="inlineStr">
        <is>
          <t>CG17-150</t>
        </is>
      </c>
      <c r="F30" s="192" t="inlineStr">
        <is>
          <t>Molatura con mola piccola</t>
        </is>
      </c>
      <c r="G30" s="71" t="n">
        <v>45996</v>
      </c>
      <c r="H30" s="77" t="inlineStr">
        <is>
          <t>Compito</t>
        </is>
      </c>
      <c r="I30" s="77" t="n"/>
      <c r="J30" s="77">
        <f>IF((U30-R30)&gt;3,"SI","")</f>
        <v/>
      </c>
      <c r="K30" s="77" t="n"/>
      <c r="L30" s="77" t="n"/>
      <c r="M30" s="137">
        <f>IF(R30&gt;0,(SQRT(BT30*(SUM(BU30:BZ30)))),"")</f>
        <v/>
      </c>
      <c r="N30" s="4">
        <f>IF(T30&gt;0,(MAX(T30,Z30,AD30,AH30,AL30,AP30))+SQRT(1.2^2+1^2),"")</f>
        <v/>
      </c>
      <c r="O30" s="3">
        <f>IF(R30="",0,10*LOG10(SUM(BG30:BL30)/(COUNT(R30,X30,AB30,AF30,AJ30,AN30))))</f>
        <v/>
      </c>
      <c r="P30" s="5">
        <f>IF(AND(Y30="",AC30="",AG30="",AK30="",AO30=""),S30,AVERAGE(S30,Y30,AC30,AG30,AK30,AO30)+STDEV(S30,Y30,AC30,AG30,AK30,AO30))</f>
        <v/>
      </c>
      <c r="Q30" s="14" t="n">
        <v>300</v>
      </c>
      <c r="R30" s="11" t="n">
        <v>98</v>
      </c>
      <c r="S30" s="12" t="n">
        <v>100.5</v>
      </c>
      <c r="T30" s="13" t="n">
        <v>118.3</v>
      </c>
      <c r="U30" s="79" t="n">
        <v>102.2</v>
      </c>
      <c r="V30" s="79" t="n">
        <v>103.9</v>
      </c>
      <c r="W30" s="10" t="n">
        <v>300</v>
      </c>
      <c r="X30" s="11" t="n">
        <v>96</v>
      </c>
      <c r="Y30" s="12" t="n">
        <v>98</v>
      </c>
      <c r="Z30" s="13" t="n">
        <v>112.3</v>
      </c>
      <c r="AA30" s="10" t="n">
        <v>300</v>
      </c>
      <c r="AB30" s="11" t="n">
        <v>94</v>
      </c>
      <c r="AC30" s="12" t="n">
        <v>94.3</v>
      </c>
      <c r="AD30" s="13" t="n">
        <v>99.09999999999999</v>
      </c>
      <c r="AE30" s="14" t="n">
        <v>300</v>
      </c>
      <c r="AF30" s="11" t="n">
        <v>95.90000000000001</v>
      </c>
      <c r="AG30" s="12" t="n">
        <v>94.40000000000001</v>
      </c>
      <c r="AH30" s="13" t="n">
        <v>113.4</v>
      </c>
      <c r="AI30" s="10" t="n">
        <v>300</v>
      </c>
      <c r="AJ30" s="11" t="n">
        <v>101.9</v>
      </c>
      <c r="AK30" s="12" t="n">
        <v>100.3</v>
      </c>
      <c r="AL30" s="13" t="n">
        <v>116.2</v>
      </c>
      <c r="AM30" s="10" t="n">
        <v>300</v>
      </c>
      <c r="AN30" s="11" t="n">
        <v>95.59999999999999</v>
      </c>
      <c r="AO30" s="12" t="n">
        <v>97.3</v>
      </c>
      <c r="AP30" s="13" t="n">
        <v>107.9</v>
      </c>
      <c r="AQ30" s="6">
        <f>IF(AND((O30)&lt;85,N30&lt;137),"NO","SI")</f>
        <v/>
      </c>
      <c r="AR30" s="7">
        <f>IF((480*(10^(7.95-(O30/10))))&lt;480,480*(10^(7.95-(O30/10))),480)</f>
        <v/>
      </c>
      <c r="AS30" s="8">
        <f>IF((480*(10^(8.45-(O30/10))))&lt;480,480*(10^(8.45-(O30/10))),480)</f>
        <v/>
      </c>
      <c r="AT30" s="9">
        <f>IF((480*(10^(8.65-(O30/10))))&lt;480,480*(10^(8.65-(O30/10))),480)</f>
        <v/>
      </c>
      <c r="AU30" s="151">
        <f>IF(O30&lt;80,"0",IF((P30-O30)&lt;=2,('DPI art.191'!$G$3-(('DPI art.191'!$F$3-'DPI art.191'!$G$3)/4)*(P30-O30-2)),('DPI art.191'!$G$3-(('DPI art.191'!$F$3-'DPI art.191'!$H$3)/8)*(P30-O30-2))))</f>
        <v/>
      </c>
      <c r="AV30" s="24">
        <f>O30-AU30</f>
        <v/>
      </c>
      <c r="AW30" s="24">
        <f>IF(N30&lt;135,N30,N30-'DPI art.191'!$I$3)</f>
        <v/>
      </c>
      <c r="AX30" s="111">
        <f>IF(I30&lt;80,"0",IF((J30-I30)&lt;=2,('DPI art.191'!$G$7-(('DPI art.191'!$F$7-'DPI art.191'!$G$7)/4)*(I30-J30-2)),('DPI art.191'!$G$7-(('DPI art.191'!$G$7-'DPI art.191'!$H$7)/8)*(J30-I30-2))))</f>
        <v/>
      </c>
      <c r="AY30" s="24">
        <f>I30-AX30</f>
        <v/>
      </c>
      <c r="AZ30" s="24">
        <f>IF(H30&lt;135,H30,H30-'DPI art.191'!$I$7)</f>
        <v/>
      </c>
      <c r="BA30" s="111">
        <f>IF(O30&lt;80,"0",IF((P30-O30)&lt;=2,('DPI art.191'!$G$5-(('DPI art.191'!$F$5-'DPI art.191'!$G$5)/4)*(P30-O30-2)),('DPI art.191'!$G$5-(('DPI art.191'!$G$5-'DPI art.191'!$H$5)/8)*(P30-O30-2))))</f>
        <v/>
      </c>
      <c r="BB30" s="24">
        <f>R30-BA30</f>
        <v/>
      </c>
      <c r="BC30" s="24">
        <f>IF(N30&lt;135,N30,N30-'DPI art.191'!$I$5)</f>
        <v/>
      </c>
      <c r="BD30" s="111">
        <f>IF(O30&lt;80,"0",IF((P30-O30)&lt;=2,('DPI art.191'!$G$7-(('DPI art.191'!$F$7-'DPI art.191'!$G$7)/4)*(O30-P30-2)),('DPI art.191'!$G$7-(('DPI art.191'!$G$7-'DPI art.191'!$H$7)/8)*(P30-O30-2))))</f>
        <v/>
      </c>
      <c r="BE30" s="24">
        <f>O30-BD30</f>
        <v/>
      </c>
      <c r="BF30" s="24">
        <f>IF(N30&lt;135,N30,N30-'DPI art.191'!$I$7)</f>
        <v/>
      </c>
      <c r="BG30" s="108">
        <f>10^(0.1*R30)</f>
        <v/>
      </c>
      <c r="BH30" s="108">
        <f>10^(0.1*X30)</f>
        <v/>
      </c>
      <c r="BI30" s="108">
        <f>10^(0.1*AB30)</f>
        <v/>
      </c>
      <c r="BJ30" s="108">
        <f>10^(0.1*AF30)</f>
        <v/>
      </c>
      <c r="BK30" s="108">
        <f>10^(0.1*AJ30)</f>
        <v/>
      </c>
      <c r="BL30" s="108">
        <f>10^(0.1*AN30)</f>
        <v/>
      </c>
      <c r="BM30" s="106">
        <f>IF(R30&gt;0,(O30-R30),"")</f>
        <v/>
      </c>
      <c r="BN30" s="106">
        <f>IF(X30&gt;0,(O30-X30),"")</f>
        <v/>
      </c>
      <c r="BO30" s="106">
        <f>IF(AB30&gt;0,(O30-AB30),"")</f>
        <v/>
      </c>
      <c r="BP30" s="106">
        <f>IF(AF30&gt;0,(O30-AF30),"")</f>
        <v/>
      </c>
      <c r="BQ30" s="106">
        <f>IF(AJ30&gt;0,(O30-AJ30),"")</f>
        <v/>
      </c>
      <c r="BR30" s="106">
        <f>IF(AN30&gt;0,(O30-AN30),"")</f>
        <v/>
      </c>
      <c r="BS30" s="106">
        <f>COUNT(BM30:BR30)</f>
        <v/>
      </c>
      <c r="BT30" s="464">
        <f>IF(BS30=0,0,IF(BS30=1,0,1/(BS30*(BS30-1))))</f>
        <v/>
      </c>
      <c r="BU30" s="136">
        <f>IF(R30&gt;0,(BM30^2),"")</f>
        <v/>
      </c>
      <c r="BV30" s="136">
        <f>IF(X30&gt;0,(BN30^2),"")</f>
        <v/>
      </c>
      <c r="BW30" s="136">
        <f>IF(AB30&gt;0,(BO30^2),"")</f>
        <v/>
      </c>
      <c r="BX30" s="136">
        <f>IF(AF30&gt;0,(BP30^2),"")</f>
        <v/>
      </c>
      <c r="BY30" s="136">
        <f>IF(AJ30&gt;0,(BQ30^2),"")</f>
        <v/>
      </c>
      <c r="BZ30" s="136">
        <f>IF(AN30&gt;0,(BR30^2),"")</f>
        <v/>
      </c>
    </row>
    <row r="31" ht="25.5" customHeight="1" s="444">
      <c r="A31" s="340" t="inlineStr">
        <is>
          <t>024/B/PRS702</t>
        </is>
      </c>
      <c r="B31" s="65" t="inlineStr">
        <is>
          <t>D6</t>
        </is>
      </c>
      <c r="C31" s="78" t="inlineStr">
        <is>
          <t>Saldatrice a filo</t>
        </is>
      </c>
      <c r="D31" s="83" t="inlineStr">
        <is>
          <t>ESAB</t>
        </is>
      </c>
      <c r="E31" s="83" t="inlineStr">
        <is>
          <t>LAW520W - MEK4S</t>
        </is>
      </c>
      <c r="F31" s="192" t="inlineStr">
        <is>
          <t>Saldatura</t>
        </is>
      </c>
      <c r="G31" s="71" t="n">
        <v>45996</v>
      </c>
      <c r="H31" s="77" t="inlineStr">
        <is>
          <t>Compito</t>
        </is>
      </c>
      <c r="I31" s="77">
        <f>IF((V31-R31)&gt;3,"SI","")</f>
        <v/>
      </c>
      <c r="J31" s="77">
        <f>IF((U31-R31)&gt;3,"SI","")</f>
        <v/>
      </c>
      <c r="K31" s="77" t="n"/>
      <c r="L31" s="77" t="n"/>
      <c r="M31" s="137">
        <f>IF(R31&gt;0,(SQRT(BT31*(SUM(BU31:BZ31)))),"")</f>
        <v/>
      </c>
      <c r="N31" s="4">
        <f>IF(T31&gt;0,(MAX(T31,Z31,AD31,AH31,AL31,AP31))+SQRT(1.2^2+1^2),"")</f>
        <v/>
      </c>
      <c r="O31" s="3">
        <f>IF(R31="",0,10*LOG10(SUM(BG31:BL31)/(COUNT(R31,X31,AB31,AF31,AJ31,AN31))))</f>
        <v/>
      </c>
      <c r="P31" s="5">
        <f>IF(AND(Y31="",AC31="",AG31="",AK31="",AO31=""),S31,AVERAGE(S31,Y31,AC31,AG31,AK31,AO31)+STDEV(S31,Y31,AC31,AG31,AK31,AO31))</f>
        <v/>
      </c>
      <c r="Q31" s="14" t="n">
        <v>300</v>
      </c>
      <c r="R31" s="11" t="n">
        <v>83.5</v>
      </c>
      <c r="S31" s="12" t="n">
        <v>84.90000000000001</v>
      </c>
      <c r="T31" s="13" t="n">
        <v>106.8</v>
      </c>
      <c r="U31" s="79" t="n">
        <v>83.5</v>
      </c>
      <c r="V31" s="79" t="n">
        <v>86.59999999999999</v>
      </c>
      <c r="W31" s="10" t="n">
        <v>300</v>
      </c>
      <c r="X31" s="11" t="n">
        <v>82.2</v>
      </c>
      <c r="Y31" s="12" t="n">
        <v>82.59999999999999</v>
      </c>
      <c r="Z31" s="13" t="n">
        <v>106.6</v>
      </c>
      <c r="AA31" s="10" t="n">
        <v>300</v>
      </c>
      <c r="AB31" s="11" t="n">
        <v>85.8</v>
      </c>
      <c r="AC31" s="12" t="n">
        <v>85.5</v>
      </c>
      <c r="AD31" s="13" t="n">
        <v>125.3</v>
      </c>
      <c r="AE31" s="14" t="n">
        <v>300</v>
      </c>
      <c r="AF31" s="11" t="n">
        <v>80.90000000000001</v>
      </c>
      <c r="AG31" s="12" t="n">
        <v>81.3</v>
      </c>
      <c r="AH31" s="13" t="n">
        <v>108.8</v>
      </c>
      <c r="AI31" s="10" t="n">
        <v>300</v>
      </c>
      <c r="AJ31" s="11" t="n">
        <v>77.7</v>
      </c>
      <c r="AK31" s="12" t="n">
        <v>78.59999999999999</v>
      </c>
      <c r="AL31" s="13" t="n">
        <v>103.3</v>
      </c>
      <c r="AM31" s="10" t="n">
        <v>300</v>
      </c>
      <c r="AN31" s="11" t="n">
        <v>74.90000000000001</v>
      </c>
      <c r="AO31" s="12" t="n">
        <v>77.7</v>
      </c>
      <c r="AP31" s="13" t="n">
        <v>98.2</v>
      </c>
      <c r="AQ31" s="6">
        <f>IF(AND((O31)&lt;85,N31&lt;137),"NO","SI")</f>
        <v/>
      </c>
      <c r="AR31" s="7">
        <f>IF((480*(10^(7.95-(O31/10))))&lt;480,480*(10^(7.95-(O31/10))),480)</f>
        <v/>
      </c>
      <c r="AS31" s="8">
        <f>IF((480*(10^(8.45-(O31/10))))&lt;480,480*(10^(8.45-(O31/10))),480)</f>
        <v/>
      </c>
      <c r="AT31" s="9">
        <f>IF((480*(10^(8.65-(O31/10))))&lt;480,480*(10^(8.65-(O31/10))),480)</f>
        <v/>
      </c>
      <c r="AU31" s="151">
        <f>IF(O31&lt;80,"0",IF((P31-O31)&lt;=2,('DPI art.191'!$G$3-(('DPI art.191'!$F$3-'DPI art.191'!$G$3)/4)*(P31-O31-2)),('DPI art.191'!$G$3-(('DPI art.191'!$F$3-'DPI art.191'!$H$3)/8)*(P31-O31-2))))</f>
        <v/>
      </c>
      <c r="AV31" s="24">
        <f>O31-AU31</f>
        <v/>
      </c>
      <c r="AW31" s="24">
        <f>IF(N31&lt;135,N31,N31-'DPI art.191'!$I$3)</f>
        <v/>
      </c>
      <c r="AX31" s="111">
        <f>IF(I31&lt;80,"0",IF((J31-I31)&lt;=2,('DPI art.191'!$G$7-(('DPI art.191'!$F$7-'DPI art.191'!$G$7)/4)*(I31-J31-2)),('DPI art.191'!$G$7-(('DPI art.191'!$G$7-'DPI art.191'!$H$7)/8)*(J31-I31-2))))</f>
        <v/>
      </c>
      <c r="AY31" s="24">
        <f>I31-AX31</f>
        <v/>
      </c>
      <c r="AZ31" s="24">
        <f>IF(H31&lt;135,H31,H31-'DPI art.191'!$I$7)</f>
        <v/>
      </c>
      <c r="BA31" s="111">
        <f>IF(O31&lt;80,"0",IF((P31-O31)&lt;=2,('DPI art.191'!$G$5-(('DPI art.191'!$F$5-'DPI art.191'!$G$5)/4)*(P31-O31-2)),('DPI art.191'!$G$5-(('DPI art.191'!$G$5-'DPI art.191'!$H$5)/8)*(P31-O31-2))))</f>
        <v/>
      </c>
      <c r="BB31" s="24">
        <f>R31-BA31</f>
        <v/>
      </c>
      <c r="BC31" s="24">
        <f>IF(N31&lt;135,N31,N31-'DPI art.191'!$I$5)</f>
        <v/>
      </c>
      <c r="BD31" s="111">
        <f>IF(O31&lt;80,"0",IF((P31-O31)&lt;=2,('DPI art.191'!$G$7-(('DPI art.191'!$F$7-'DPI art.191'!$G$7)/4)*(O31-P31-2)),('DPI art.191'!$G$7-(('DPI art.191'!$G$7-'DPI art.191'!$H$7)/8)*(P31-O31-2))))</f>
        <v/>
      </c>
      <c r="BE31" s="24">
        <f>O31-BD31</f>
        <v/>
      </c>
      <c r="BF31" s="24">
        <f>IF(N31&lt;135,N31,N31-'DPI art.191'!$I$7)</f>
        <v/>
      </c>
      <c r="BG31" s="108">
        <f>10^(0.1*R31)</f>
        <v/>
      </c>
      <c r="BH31" s="108">
        <f>10^(0.1*X31)</f>
        <v/>
      </c>
      <c r="BI31" s="108">
        <f>10^(0.1*AB31)</f>
        <v/>
      </c>
      <c r="BJ31" s="108">
        <f>10^(0.1*AF31)</f>
        <v/>
      </c>
      <c r="BK31" s="108">
        <f>10^(0.1*AJ31)</f>
        <v/>
      </c>
      <c r="BL31" s="108">
        <f>10^(0.1*AN31)</f>
        <v/>
      </c>
      <c r="BM31" s="106">
        <f>IF(R31&gt;0,(O31-R31),"")</f>
        <v/>
      </c>
      <c r="BN31" s="106">
        <f>IF(X31&gt;0,(O31-X31),"")</f>
        <v/>
      </c>
      <c r="BO31" s="106">
        <f>IF(AB31&gt;0,(O31-AB31),"")</f>
        <v/>
      </c>
      <c r="BP31" s="106">
        <f>IF(AF31&gt;0,(O31-AF31),"")</f>
        <v/>
      </c>
      <c r="BQ31" s="106">
        <f>IF(AJ31&gt;0,(O31-AJ31),"")</f>
        <v/>
      </c>
      <c r="BR31" s="106">
        <f>IF(AN31&gt;0,(O31-AN31),"")</f>
        <v/>
      </c>
      <c r="BS31" s="106">
        <f>COUNT(BM31:BR31)</f>
        <v/>
      </c>
      <c r="BT31" s="464">
        <f>IF(BS31=0,0,IF(BS31=1,0,1/(BS31*(BS31-1))))</f>
        <v/>
      </c>
      <c r="BU31" s="136">
        <f>IF(R31&gt;0,(BM31^2),"")</f>
        <v/>
      </c>
      <c r="BV31" s="136">
        <f>IF(X31&gt;0,(BN31^2),"")</f>
        <v/>
      </c>
      <c r="BW31" s="136">
        <f>IF(AB31&gt;0,(BO31^2),"")</f>
        <v/>
      </c>
      <c r="BX31" s="136">
        <f>IF(AF31&gt;0,(BP31^2),"")</f>
        <v/>
      </c>
      <c r="BY31" s="136">
        <f>IF(AJ31&gt;0,(BQ31^2),"")</f>
        <v/>
      </c>
      <c r="BZ31" s="136">
        <f>IF(AN31&gt;0,(BR31^2),"")</f>
        <v/>
      </c>
    </row>
    <row r="32" ht="18.75" customHeight="1" s="444">
      <c r="A32" s="340" t="inlineStr">
        <is>
          <t>252/05</t>
        </is>
      </c>
      <c r="B32" s="65" t="inlineStr">
        <is>
          <t>D7</t>
        </is>
      </c>
      <c r="C32" s="78" t="inlineStr">
        <is>
          <t>Calandra</t>
        </is>
      </c>
      <c r="D32" s="83" t="inlineStr">
        <is>
          <t>FACCIN</t>
        </is>
      </c>
      <c r="E32" s="83" t="inlineStr">
        <is>
          <t>3HEL-2121</t>
        </is>
      </c>
      <c r="F32" s="192" t="inlineStr">
        <is>
          <t>Calandratura</t>
        </is>
      </c>
      <c r="G32" s="71" t="n">
        <v>45996</v>
      </c>
      <c r="H32" s="77" t="inlineStr">
        <is>
          <t>Compito</t>
        </is>
      </c>
      <c r="I32" s="77">
        <f>IF((V32-R32)&gt;3,"SI","")</f>
        <v/>
      </c>
      <c r="J32" s="77">
        <f>IF((U32-R32)&gt;3,"SI","")</f>
        <v/>
      </c>
      <c r="K32" s="77" t="n"/>
      <c r="L32" s="77" t="n"/>
      <c r="M32" s="137">
        <f>IF(R32&gt;0,(SQRT(BT32*(SUM(BU32:BZ32)))),"")</f>
        <v/>
      </c>
      <c r="N32" s="4">
        <f>IF(T32&gt;0,(MAX(T32,Z32,AD32,AH32,AL32,AP32))+SQRT(1.2^2+1^2),"")</f>
        <v/>
      </c>
      <c r="O32" s="3">
        <f>IF(R32="",0,10*LOG10(SUM(BG32:BL32)/(COUNT(R32,X32,AB32,AF32,AJ32,AN32))))</f>
        <v/>
      </c>
      <c r="P32" s="5">
        <f>IF(AND(Y32="",AC32="",AG32="",AK32="",AO32=""),S32,AVERAGE(S32,Y32,AC32,AG32,AK32,AO32)+STDEV(S32,Y32,AC32,AG32,AK32,AO32))</f>
        <v/>
      </c>
      <c r="Q32" s="14" t="n">
        <v>300</v>
      </c>
      <c r="R32" s="11" t="n">
        <v>83.5</v>
      </c>
      <c r="S32" s="12" t="n">
        <v>83.7</v>
      </c>
      <c r="T32" s="13" t="n">
        <v>107.3</v>
      </c>
      <c r="U32" s="79" t="n">
        <v>83.40000000000001</v>
      </c>
      <c r="V32" s="79" t="n">
        <v>90.40000000000001</v>
      </c>
      <c r="W32" s="10" t="n">
        <v>300</v>
      </c>
      <c r="X32" s="11" t="n">
        <v>84.59999999999999</v>
      </c>
      <c r="Y32" s="12" t="n">
        <v>84.7</v>
      </c>
      <c r="Z32" s="13" t="n">
        <v>104.1</v>
      </c>
      <c r="AA32" s="10" t="n">
        <v>300</v>
      </c>
      <c r="AB32" s="11" t="n">
        <v>88.59999999999999</v>
      </c>
      <c r="AC32" s="12" t="n">
        <v>88.40000000000001</v>
      </c>
      <c r="AD32" s="13" t="n">
        <v>125.7</v>
      </c>
      <c r="AE32" s="14" t="n">
        <v>300</v>
      </c>
      <c r="AF32" s="11" t="n">
        <v>90.90000000000001</v>
      </c>
      <c r="AG32" s="12" t="n">
        <v>91.2</v>
      </c>
      <c r="AH32" s="13" t="n">
        <v>122.8</v>
      </c>
      <c r="AI32" s="10" t="n">
        <v>300</v>
      </c>
      <c r="AJ32" s="11" t="n">
        <v>88.5</v>
      </c>
      <c r="AK32" s="12" t="n">
        <v>88.7</v>
      </c>
      <c r="AL32" s="13" t="n">
        <v>124.6</v>
      </c>
      <c r="AM32" s="10" t="n">
        <v>300</v>
      </c>
      <c r="AN32" s="11" t="n">
        <v>85.5</v>
      </c>
      <c r="AO32" s="12" t="n">
        <v>84.8</v>
      </c>
      <c r="AP32" s="13" t="n">
        <v>107.2</v>
      </c>
      <c r="AQ32" s="6">
        <f>IF(AND((O32)&lt;85,N32&lt;137),"NO","SI")</f>
        <v/>
      </c>
      <c r="AR32" s="7">
        <f>IF((480*(10^(7.95-(O32/10))))&lt;480,480*(10^(7.95-(O32/10))),480)</f>
        <v/>
      </c>
      <c r="AS32" s="8">
        <f>IF((480*(10^(8.45-(O32/10))))&lt;480,480*(10^(8.45-(O32/10))),480)</f>
        <v/>
      </c>
      <c r="AT32" s="9">
        <f>IF((480*(10^(8.65-(O32/10))))&lt;480,480*(10^(8.65-(O32/10))),480)</f>
        <v/>
      </c>
      <c r="AU32" s="151">
        <f>IF(O32&lt;80,"0",IF((P32-O32)&lt;=2,('DPI art.191'!$G$3-(('DPI art.191'!$F$3-'DPI art.191'!$G$3)/4)*(P32-O32-2)),('DPI art.191'!$G$3-(('DPI art.191'!$F$3-'DPI art.191'!$H$3)/8)*(P32-O32-2))))</f>
        <v/>
      </c>
      <c r="AV32" s="24">
        <f>O32-AU32</f>
        <v/>
      </c>
      <c r="AW32" s="24">
        <f>IF(N32&lt;135,N32,N32-'DPI art.191'!$I$3)</f>
        <v/>
      </c>
      <c r="AX32" s="111">
        <f>IF(I32&lt;80,"0",IF((J32-I32)&lt;=2,('DPI art.191'!$G$7-(('DPI art.191'!$F$7-'DPI art.191'!$G$7)/4)*(I32-J32-2)),('DPI art.191'!$G$7-(('DPI art.191'!$G$7-'DPI art.191'!$H$7)/8)*(J32-I32-2))))</f>
        <v/>
      </c>
      <c r="AY32" s="24">
        <f>I32-AX32</f>
        <v/>
      </c>
      <c r="AZ32" s="24">
        <f>IF(H32&lt;135,H32,H32-'DPI art.191'!$I$7)</f>
        <v/>
      </c>
      <c r="BA32" s="111">
        <f>IF(O32&lt;80,"0",IF((P32-O32)&lt;=2,('DPI art.191'!$G$5-(('DPI art.191'!$F$5-'DPI art.191'!$G$5)/4)*(P32-O32-2)),('DPI art.191'!$G$5-(('DPI art.191'!$G$5-'DPI art.191'!$H$5)/8)*(P32-O32-2))))</f>
        <v/>
      </c>
      <c r="BB32" s="24">
        <f>R32-BA32</f>
        <v/>
      </c>
      <c r="BC32" s="24">
        <f>IF(N32&lt;135,N32,N32-'DPI art.191'!$I$5)</f>
        <v/>
      </c>
      <c r="BD32" s="111">
        <f>IF(O32&lt;80,"0",IF((P32-O32)&lt;=2,('DPI art.191'!$G$7-(('DPI art.191'!$F$7-'DPI art.191'!$G$7)/4)*(O32-P32-2)),('DPI art.191'!$G$7-(('DPI art.191'!$G$7-'DPI art.191'!$H$7)/8)*(P32-O32-2))))</f>
        <v/>
      </c>
      <c r="BE32" s="24">
        <f>O32-BD32</f>
        <v/>
      </c>
      <c r="BF32" s="24">
        <f>IF(N32&lt;135,N32,N32-'DPI art.191'!$I$7)</f>
        <v/>
      </c>
      <c r="BG32" s="108">
        <f>10^(0.1*R32)</f>
        <v/>
      </c>
      <c r="BH32" s="108">
        <f>10^(0.1*X32)</f>
        <v/>
      </c>
      <c r="BI32" s="108">
        <f>10^(0.1*AB32)</f>
        <v/>
      </c>
      <c r="BJ32" s="108">
        <f>10^(0.1*AF32)</f>
        <v/>
      </c>
      <c r="BK32" s="108">
        <f>10^(0.1*AJ32)</f>
        <v/>
      </c>
      <c r="BL32" s="108">
        <f>10^(0.1*AN32)</f>
        <v/>
      </c>
      <c r="BM32" s="106">
        <f>IF(R32&gt;0,(O32-R32),"")</f>
        <v/>
      </c>
      <c r="BN32" s="106">
        <f>IF(X32&gt;0,(O32-X32),"")</f>
        <v/>
      </c>
      <c r="BO32" s="106">
        <f>IF(AB32&gt;0,(O32-AB32),"")</f>
        <v/>
      </c>
      <c r="BP32" s="106">
        <f>IF(AF32&gt;0,(O32-AF32),"")</f>
        <v/>
      </c>
      <c r="BQ32" s="106">
        <f>IF(AJ32&gt;0,(O32-AJ32),"")</f>
        <v/>
      </c>
      <c r="BR32" s="106">
        <f>IF(AN32&gt;0,(O32-AN32),"")</f>
        <v/>
      </c>
      <c r="BS32" s="106">
        <f>COUNT(BM32:BR32)</f>
        <v/>
      </c>
      <c r="BT32" s="464">
        <f>IF(BS32=0,0,IF(BS32=1,0,1/(BS32*(BS32-1))))</f>
        <v/>
      </c>
      <c r="BU32" s="136">
        <f>IF(R32&gt;0,(BM32^2),"")</f>
        <v/>
      </c>
      <c r="BV32" s="136">
        <f>IF(X32&gt;0,(BN32^2),"")</f>
        <v/>
      </c>
      <c r="BW32" s="136">
        <f>IF(AB32&gt;0,(BO32^2),"")</f>
        <v/>
      </c>
      <c r="BX32" s="136">
        <f>IF(AF32&gt;0,(BP32^2),"")</f>
        <v/>
      </c>
      <c r="BY32" s="136">
        <f>IF(AJ32&gt;0,(BQ32^2),"")</f>
        <v/>
      </c>
      <c r="BZ32" s="136">
        <f>IF(AN32&gt;0,(BR32^2),"")</f>
        <v/>
      </c>
    </row>
    <row r="33" ht="51" customHeight="1" s="444">
      <c r="A33" s="340" t="inlineStr">
        <is>
          <t>257/01</t>
        </is>
      </c>
      <c r="B33" s="65" t="inlineStr">
        <is>
          <t>D8</t>
        </is>
      </c>
      <c r="C33" s="78" t="inlineStr">
        <is>
          <t>Cesoia punzonatrice</t>
        </is>
      </c>
      <c r="D33" s="83" t="inlineStr">
        <is>
          <t>OMERA</t>
        </is>
      </c>
      <c r="E33" s="83" t="inlineStr">
        <is>
          <t xml:space="preserve">OMM45HY - Multimatic 13 (max thk = 30mm) </t>
        </is>
      </c>
      <c r="F33" s="192" t="inlineStr">
        <is>
          <t>Punzonatura</t>
        </is>
      </c>
      <c r="G33" s="71" t="n">
        <v>45996</v>
      </c>
      <c r="H33" s="77" t="inlineStr">
        <is>
          <t>Compito</t>
        </is>
      </c>
      <c r="I33" s="77">
        <f>IF((V33-R33)&gt;3,"SI","")</f>
        <v/>
      </c>
      <c r="J33" s="77" t="inlineStr">
        <is>
          <t>SI</t>
        </is>
      </c>
      <c r="K33" s="77" t="n"/>
      <c r="L33" s="77" t="n"/>
      <c r="M33" s="137">
        <f>IF(R33&gt;0,(SQRT(BT33*(SUM(BU33:BZ33)))),"")</f>
        <v/>
      </c>
      <c r="N33" s="4">
        <f>IF(T33&gt;0,(MAX(T33,Z33,AD33,AH33,AL33,AP33))+SQRT(1.2^2+1^2),"")</f>
        <v/>
      </c>
      <c r="O33" s="3">
        <f>IF(R33="",0,10*LOG10(SUM(BG33:BL33)/(COUNT(R33,X33,AB33,AF33,AJ33,AN33))))</f>
        <v/>
      </c>
      <c r="P33" s="5">
        <f>IF(AND(Y33="",AC33="",AG33="",AK33="",AO33=""),S33,AVERAGE(S33,Y33,AC33,AG33,AK33,AO33)+STDEV(S33,Y33,AC33,AG33,AK33,AO33))</f>
        <v/>
      </c>
      <c r="Q33" s="14" t="n">
        <v>300</v>
      </c>
      <c r="R33" s="11" t="n">
        <v>83.5</v>
      </c>
      <c r="S33" s="12" t="n">
        <v>83.90000000000001</v>
      </c>
      <c r="T33" s="13" t="n">
        <v>110.4</v>
      </c>
      <c r="U33" s="79" t="n">
        <v>83.5</v>
      </c>
      <c r="V33" s="79" t="n">
        <v>86.5</v>
      </c>
      <c r="W33" s="10" t="n">
        <v>300</v>
      </c>
      <c r="X33" s="11" t="n">
        <v>84</v>
      </c>
      <c r="Y33" s="12" t="n">
        <v>84.3</v>
      </c>
      <c r="Z33" s="13" t="n">
        <v>103.7</v>
      </c>
      <c r="AA33" s="10" t="n">
        <v>300</v>
      </c>
      <c r="AB33" s="11" t="n">
        <v>85</v>
      </c>
      <c r="AC33" s="12" t="n">
        <v>85.09999999999999</v>
      </c>
      <c r="AD33" s="13" t="n">
        <v>116.6</v>
      </c>
      <c r="AE33" s="14" t="n">
        <v>300</v>
      </c>
      <c r="AF33" s="11" t="n">
        <v>82.59999999999999</v>
      </c>
      <c r="AG33" s="12" t="n">
        <v>82.90000000000001</v>
      </c>
      <c r="AH33" s="13" t="n">
        <v>109.2</v>
      </c>
      <c r="AI33" s="10" t="n">
        <v>300</v>
      </c>
      <c r="AJ33" s="11" t="n">
        <v>84.7</v>
      </c>
      <c r="AK33" s="12" t="n">
        <v>84.3</v>
      </c>
      <c r="AL33" s="13" t="n">
        <v>108.9</v>
      </c>
      <c r="AM33" s="10" t="n">
        <v>300</v>
      </c>
      <c r="AN33" s="11" t="n">
        <v>84.59999999999999</v>
      </c>
      <c r="AO33" s="12" t="n">
        <v>84.3</v>
      </c>
      <c r="AP33" s="13" t="n">
        <v>108.2</v>
      </c>
      <c r="AQ33" s="6">
        <f>IF(AND((O33)&lt;85,N33&lt;137),"NO","SI")</f>
        <v/>
      </c>
      <c r="AR33" s="7">
        <f>IF((480*(10^(7.95-(O33/10))))&lt;480,480*(10^(7.95-(O33/10))),480)</f>
        <v/>
      </c>
      <c r="AS33" s="8">
        <f>IF((480*(10^(8.45-(O33/10))))&lt;480,480*(10^(8.45-(O33/10))),480)</f>
        <v/>
      </c>
      <c r="AT33" s="9">
        <f>IF((480*(10^(8.65-(O33/10))))&lt;480,480*(10^(8.65-(O33/10))),480)</f>
        <v/>
      </c>
      <c r="AU33" s="151">
        <f>IF(O33&lt;80,"0",IF((P33-O33)&lt;=2,('DPI art.191'!$G$3-(('DPI art.191'!$F$3-'DPI art.191'!$G$3)/4)*(P33-O33-2)),('DPI art.191'!$G$3-(('DPI art.191'!$F$3-'DPI art.191'!$H$3)/8)*(P33-O33-2))))</f>
        <v/>
      </c>
      <c r="AV33" s="24">
        <f>O33-AU33</f>
        <v/>
      </c>
      <c r="AW33" s="24">
        <f>IF(N33&lt;135,N33,N33-'DPI art.191'!$I$3)</f>
        <v/>
      </c>
      <c r="AX33" s="111">
        <f>IF(I33&lt;80,"0",IF((J33-I33)&lt;=2,('DPI art.191'!$G$7-(('DPI art.191'!$F$7-'DPI art.191'!$G$7)/4)*(I33-J33-2)),('DPI art.191'!$G$7-(('DPI art.191'!$G$7-'DPI art.191'!$H$7)/8)*(J33-I33-2))))</f>
        <v/>
      </c>
      <c r="AY33" s="24">
        <f>I33-AX33</f>
        <v/>
      </c>
      <c r="AZ33" s="24">
        <f>IF(H33&lt;135,H33,H33-'DPI art.191'!$I$7)</f>
        <v/>
      </c>
      <c r="BA33" s="111">
        <f>IF(O33&lt;80,"0",IF((P33-O33)&lt;=2,('DPI art.191'!$G$5-(('DPI art.191'!$F$5-'DPI art.191'!$G$5)/4)*(P33-O33-2)),('DPI art.191'!$G$5-(('DPI art.191'!$G$5-'DPI art.191'!$H$5)/8)*(P33-O33-2))))</f>
        <v/>
      </c>
      <c r="BB33" s="24">
        <f>R33-BA33</f>
        <v/>
      </c>
      <c r="BC33" s="24">
        <f>IF(N33&lt;135,N33,N33-'DPI art.191'!$I$5)</f>
        <v/>
      </c>
      <c r="BD33" s="111">
        <f>IF(O33&lt;80,"0",IF((P33-O33)&lt;=2,('DPI art.191'!$G$7-(('DPI art.191'!$F$7-'DPI art.191'!$G$7)/4)*(O33-P33-2)),('DPI art.191'!$G$7-(('DPI art.191'!$G$7-'DPI art.191'!$H$7)/8)*(P33-O33-2))))</f>
        <v/>
      </c>
      <c r="BE33" s="24">
        <f>O33-BD33</f>
        <v/>
      </c>
      <c r="BF33" s="24">
        <f>IF(N33&lt;135,N33,N33-'DPI art.191'!$I$7)</f>
        <v/>
      </c>
      <c r="BG33" s="108">
        <f>10^(0.1*R33)</f>
        <v/>
      </c>
      <c r="BH33" s="108">
        <f>10^(0.1*X33)</f>
        <v/>
      </c>
      <c r="BI33" s="108">
        <f>10^(0.1*AB33)</f>
        <v/>
      </c>
      <c r="BJ33" s="108">
        <f>10^(0.1*AF33)</f>
        <v/>
      </c>
      <c r="BK33" s="108">
        <f>10^(0.1*AJ33)</f>
        <v/>
      </c>
      <c r="BL33" s="108">
        <f>10^(0.1*AN33)</f>
        <v/>
      </c>
      <c r="BM33" s="106">
        <f>IF(R33&gt;0,(O33-R33),"")</f>
        <v/>
      </c>
      <c r="BN33" s="106">
        <f>IF(X33&gt;0,(O33-X33),"")</f>
        <v/>
      </c>
      <c r="BO33" s="106">
        <f>IF(AB33&gt;0,(O33-AB33),"")</f>
        <v/>
      </c>
      <c r="BP33" s="106">
        <f>IF(AF33&gt;0,(O33-AF33),"")</f>
        <v/>
      </c>
      <c r="BQ33" s="106">
        <f>IF(AJ33&gt;0,(O33-AJ33),"")</f>
        <v/>
      </c>
      <c r="BR33" s="106">
        <f>IF(AN33&gt;0,(O33-AN33),"")</f>
        <v/>
      </c>
      <c r="BS33" s="106">
        <f>COUNT(BM33:BR33)</f>
        <v/>
      </c>
      <c r="BT33" s="464">
        <f>IF(BS33=0,0,IF(BS33=1,0,1/(BS33*(BS33-1))))</f>
        <v/>
      </c>
      <c r="BU33" s="136">
        <f>IF(R33&gt;0,(BM33^2),"")</f>
        <v/>
      </c>
      <c r="BV33" s="136">
        <f>IF(X33&gt;0,(BN33^2),"")</f>
        <v/>
      </c>
      <c r="BW33" s="136">
        <f>IF(AB33&gt;0,(BO33^2),"")</f>
        <v/>
      </c>
      <c r="BX33" s="136">
        <f>IF(AF33&gt;0,(BP33^2),"")</f>
        <v/>
      </c>
      <c r="BY33" s="136">
        <f>IF(AJ33&gt;0,(BQ33^2),"")</f>
        <v/>
      </c>
      <c r="BZ33" s="136">
        <f>IF(AN33&gt;0,(BR33^2),"")</f>
        <v/>
      </c>
    </row>
    <row r="34" ht="18.75" customHeight="1" s="444">
      <c r="A34" s="340" t="inlineStr">
        <is>
          <t>Gualdo 1</t>
        </is>
      </c>
      <c r="B34" s="65" t="inlineStr">
        <is>
          <t>D9</t>
        </is>
      </c>
      <c r="C34" s="78" t="inlineStr">
        <is>
          <t>Movimentazioni esterne</t>
        </is>
      </c>
      <c r="D34" s="83" t="inlineStr">
        <is>
          <t>/</t>
        </is>
      </c>
      <c r="E34" s="83" t="inlineStr">
        <is>
          <t>/</t>
        </is>
      </c>
      <c r="F34" s="78" t="inlineStr">
        <is>
          <t>Movimentazioni esterne</t>
        </is>
      </c>
      <c r="G34" s="71" t="n">
        <v>45996</v>
      </c>
      <c r="H34" s="77" t="inlineStr">
        <is>
          <t>Compito</t>
        </is>
      </c>
      <c r="I34" s="77">
        <f>IF((V34-R34)&gt;3,"SI","")</f>
        <v/>
      </c>
      <c r="J34" s="77">
        <f>IF((U34-R34)&gt;3,"SI","")</f>
        <v/>
      </c>
      <c r="K34" s="77" t="n"/>
      <c r="L34" s="77" t="n"/>
      <c r="M34" s="137">
        <f>IF(R34&gt;0,(SQRT(BT34*(SUM(BU34:BZ34)))),"")</f>
        <v/>
      </c>
      <c r="N34" s="4">
        <f>IF(T34&gt;0,(MAX(T34,Z34,AD34,AH34,AL34,AP34))+SQRT(1.2^2+1^2),"")</f>
        <v/>
      </c>
      <c r="O34" s="3">
        <f>IF(R34="",0,10*LOG10(SUM(BG34:BL34)/(COUNT(R34,X34,AB34,AF34,AJ34,AN34))))</f>
        <v/>
      </c>
      <c r="P34" s="5">
        <f>IF(AND(Y34="",AC34="",AG34="",AK34="",AO34=""),S34,AVERAGE(S34,Y34,AC34,AG34,AK34,AO34)+STDEV(S34,Y34,AC34,AG34,AK34,AO34))</f>
        <v/>
      </c>
      <c r="Q34" s="14" t="n">
        <v>300</v>
      </c>
      <c r="R34" s="11" t="n">
        <v>68.5</v>
      </c>
      <c r="S34" s="12" t="n">
        <v>81.3</v>
      </c>
      <c r="T34" s="13" t="n">
        <v>98.09999999999999</v>
      </c>
      <c r="U34" s="79" t="n">
        <v>68.5</v>
      </c>
      <c r="V34" s="79" t="n">
        <v>71.7</v>
      </c>
      <c r="W34" s="10" t="n">
        <v>300</v>
      </c>
      <c r="X34" s="11" t="n">
        <v>71</v>
      </c>
      <c r="Y34" s="12" t="n">
        <v>82.09999999999999</v>
      </c>
      <c r="Z34" s="13" t="n">
        <v>111.1</v>
      </c>
      <c r="AA34" s="10" t="n">
        <v>300</v>
      </c>
      <c r="AB34" s="11" t="n">
        <v>69.40000000000001</v>
      </c>
      <c r="AC34" s="12" t="n">
        <v>81.09999999999999</v>
      </c>
      <c r="AD34" s="13" t="n">
        <v>104.1</v>
      </c>
      <c r="AE34" s="14" t="n">
        <v>300</v>
      </c>
      <c r="AF34" s="11" t="n">
        <v>66.7</v>
      </c>
      <c r="AG34" s="12" t="n">
        <v>76.90000000000001</v>
      </c>
      <c r="AH34" s="13" t="n">
        <v>99.2</v>
      </c>
      <c r="AI34" s="10" t="n">
        <v>300</v>
      </c>
      <c r="AJ34" s="11" t="n">
        <v>64.3</v>
      </c>
      <c r="AK34" s="12" t="n">
        <v>77.40000000000001</v>
      </c>
      <c r="AL34" s="13" t="n">
        <v>93.7</v>
      </c>
      <c r="AM34" s="10" t="n">
        <v>300</v>
      </c>
      <c r="AN34" s="11" t="n">
        <v>63.9</v>
      </c>
      <c r="AO34" s="12" t="n">
        <v>78.09999999999999</v>
      </c>
      <c r="AP34" s="13" t="n">
        <v>99.59999999999999</v>
      </c>
      <c r="AQ34" s="6">
        <f>IF(AND((O34)&lt;85,N34&lt;137),"NO","SI")</f>
        <v/>
      </c>
      <c r="AR34" s="7">
        <f>IF((480*(10^(7.95-(O34/10))))&lt;480,480*(10^(7.95-(O34/10))),480)</f>
        <v/>
      </c>
      <c r="AS34" s="8">
        <f>IF((480*(10^(8.45-(O34/10))))&lt;480,480*(10^(8.45-(O34/10))),480)</f>
        <v/>
      </c>
      <c r="AT34" s="9">
        <f>IF((480*(10^(8.65-(O34/10))))&lt;480,480*(10^(8.65-(O34/10))),480)</f>
        <v/>
      </c>
      <c r="AU34" s="151">
        <f>IF(O34&lt;80,"0",IF((P34-O34)&lt;=2,('DPI art.191'!$G$3-(('DPI art.191'!$F$3-'DPI art.191'!$G$3)/4)*(P34-O34-2)),('DPI art.191'!$G$3-(('DPI art.191'!$F$3-'DPI art.191'!$H$3)/8)*(P34-O34-2))))</f>
        <v/>
      </c>
      <c r="AV34" s="24">
        <f>O34-AU34</f>
        <v/>
      </c>
      <c r="AW34" s="24">
        <f>IF(N34&lt;135,N34,N34-'DPI art.191'!$I$3)</f>
        <v/>
      </c>
      <c r="AX34" s="111">
        <f>IF(I34&lt;80,"0",IF((J34-I34)&lt;=2,('DPI art.191'!$G$7-(('DPI art.191'!$F$7-'DPI art.191'!$G$7)/4)*(I34-J34-2)),('DPI art.191'!$G$7-(('DPI art.191'!$G$7-'DPI art.191'!$H$7)/8)*(J34-I34-2))))</f>
        <v/>
      </c>
      <c r="AY34" s="24">
        <f>I34-AX34</f>
        <v/>
      </c>
      <c r="AZ34" s="24">
        <f>IF(H34&lt;135,H34,H34-'DPI art.191'!$I$7)</f>
        <v/>
      </c>
      <c r="BA34" s="111">
        <f>IF(O34&lt;80,"0",IF((P34-O34)&lt;=2,('DPI art.191'!$G$5-(('DPI art.191'!$F$5-'DPI art.191'!$G$5)/4)*(P34-O34-2)),('DPI art.191'!$G$5-(('DPI art.191'!$G$5-'DPI art.191'!$H$5)/8)*(P34-O34-2))))</f>
        <v/>
      </c>
      <c r="BB34" s="24">
        <f>R34-BA34</f>
        <v/>
      </c>
      <c r="BC34" s="24">
        <f>IF(N34&lt;135,N34,N34-'DPI art.191'!$I$5)</f>
        <v/>
      </c>
      <c r="BD34" s="111">
        <f>IF(O34&lt;80,"0",IF((P34-O34)&lt;=2,('DPI art.191'!$G$7-(('DPI art.191'!$F$7-'DPI art.191'!$G$7)/4)*(O34-P34-2)),('DPI art.191'!$G$7-(('DPI art.191'!$G$7-'DPI art.191'!$H$7)/8)*(P34-O34-2))))</f>
        <v/>
      </c>
      <c r="BE34" s="24">
        <f>O34-BD34</f>
        <v/>
      </c>
      <c r="BF34" s="24">
        <f>IF(N34&lt;135,N34,N34-'DPI art.191'!$I$7)</f>
        <v/>
      </c>
      <c r="BG34" s="108">
        <f>10^(0.1*R34)</f>
        <v/>
      </c>
      <c r="BH34" s="108">
        <f>10^(0.1*X34)</f>
        <v/>
      </c>
      <c r="BI34" s="108">
        <f>10^(0.1*AB34)</f>
        <v/>
      </c>
      <c r="BJ34" s="108">
        <f>10^(0.1*AF34)</f>
        <v/>
      </c>
      <c r="BK34" s="108">
        <f>10^(0.1*AJ34)</f>
        <v/>
      </c>
      <c r="BL34" s="108">
        <f>10^(0.1*AN34)</f>
        <v/>
      </c>
      <c r="BM34" s="106">
        <f>IF(R34&gt;0,(O34-R34),"")</f>
        <v/>
      </c>
      <c r="BN34" s="106">
        <f>IF(X34&gt;0,(O34-X34),"")</f>
        <v/>
      </c>
      <c r="BO34" s="106">
        <f>IF(AB34&gt;0,(O34-AB34),"")</f>
        <v/>
      </c>
      <c r="BP34" s="106">
        <f>IF(AF34&gt;0,(O34-AF34),"")</f>
        <v/>
      </c>
      <c r="BQ34" s="106">
        <f>IF(AJ34&gt;0,(O34-AJ34),"")</f>
        <v/>
      </c>
      <c r="BR34" s="106">
        <f>IF(AN34&gt;0,(O34-AN34),"")</f>
        <v/>
      </c>
      <c r="BS34" s="106">
        <f>COUNT(BM34:BR34)</f>
        <v/>
      </c>
      <c r="BT34" s="464">
        <f>IF(BS34=0,0,IF(BS34=1,0,1/(BS34*(BS34-1))))</f>
        <v/>
      </c>
      <c r="BU34" s="136">
        <f>IF(R34&gt;0,(BM34^2),"")</f>
        <v/>
      </c>
      <c r="BV34" s="136">
        <f>IF(X34&gt;0,(BN34^2),"")</f>
        <v/>
      </c>
      <c r="BW34" s="136">
        <f>IF(AB34&gt;0,(BO34^2),"")</f>
        <v/>
      </c>
      <c r="BX34" s="136">
        <f>IF(AF34&gt;0,(BP34^2),"")</f>
        <v/>
      </c>
      <c r="BY34" s="136">
        <f>IF(AJ34&gt;0,(BQ34^2),"")</f>
        <v/>
      </c>
      <c r="BZ34" s="136">
        <f>IF(AN34&gt;0,(BR34^2),"")</f>
        <v/>
      </c>
    </row>
    <row r="35" ht="18.75" customHeight="1" s="444">
      <c r="A35" s="340" t="inlineStr">
        <is>
          <t>Gualdo 1</t>
        </is>
      </c>
      <c r="B35" s="65" t="inlineStr">
        <is>
          <t>D10</t>
        </is>
      </c>
      <c r="C35" s="78" t="inlineStr">
        <is>
          <t>Ufficio spedizioni</t>
        </is>
      </c>
      <c r="D35" s="83" t="inlineStr">
        <is>
          <t>/</t>
        </is>
      </c>
      <c r="E35" s="83" t="inlineStr">
        <is>
          <t>/</t>
        </is>
      </c>
      <c r="F35" s="192" t="inlineStr">
        <is>
          <t>Attività di ufficio</t>
        </is>
      </c>
      <c r="G35" s="71" t="n">
        <v>45996</v>
      </c>
      <c r="H35" s="77" t="inlineStr">
        <is>
          <t>Compito</t>
        </is>
      </c>
      <c r="I35" s="77">
        <f>IF((V35-R35)&gt;3,"SI","")</f>
        <v/>
      </c>
      <c r="J35" s="77">
        <f>IF((U35-R35)&gt;3,"SI","")</f>
        <v/>
      </c>
      <c r="K35" s="77" t="n"/>
      <c r="L35" s="77" t="n"/>
      <c r="M35" s="137">
        <f>IF(R35&gt;0,(SQRT(BT35*(SUM(BU35:BZ35)))),"")</f>
        <v/>
      </c>
      <c r="N35" s="4">
        <f>IF(T35&gt;0,(MAX(T35,Z35,AD35,AH35,AL35,AP35))+SQRT(1.2^2+1^2),"")</f>
        <v/>
      </c>
      <c r="O35" s="3">
        <f>IF(R35="",0,10*LOG10(SUM(BG35:BL35)/(COUNT(R35,X35,AB35,AF35,AJ35,AN35))))</f>
        <v/>
      </c>
      <c r="P35" s="5">
        <f>IF(AND(Y35="",AC35="",AG35="",AK35="",AO35=""),S35,AVERAGE(S35,Y35,AC35,AG35,AK35,AO35)+STDEV(S35,Y35,AC35,AG35,AK35,AO35))</f>
        <v/>
      </c>
      <c r="Q35" s="14" t="n">
        <v>300</v>
      </c>
      <c r="R35" s="11" t="n">
        <v>59.4</v>
      </c>
      <c r="S35" s="12" t="n">
        <v>65.59999999999999</v>
      </c>
      <c r="T35" s="13" t="n">
        <v>98.59999999999999</v>
      </c>
      <c r="U35" s="79" t="n">
        <v>59.6</v>
      </c>
      <c r="V35" s="79" t="n">
        <v>67.2</v>
      </c>
      <c r="W35" s="10" t="n">
        <v>300</v>
      </c>
      <c r="X35" s="11" t="n">
        <v>49.7</v>
      </c>
      <c r="Y35" s="12" t="n">
        <v>60.1</v>
      </c>
      <c r="Z35" s="13" t="n">
        <v>89.40000000000001</v>
      </c>
      <c r="AA35" s="10" t="n">
        <v>300</v>
      </c>
      <c r="AB35" s="11" t="n">
        <v>54.6</v>
      </c>
      <c r="AC35" s="12" t="n">
        <v>61.7</v>
      </c>
      <c r="AD35" s="13" t="n">
        <v>97.09999999999999</v>
      </c>
      <c r="AE35" s="14" t="n">
        <v>300</v>
      </c>
      <c r="AF35" s="11" t="n">
        <v>54.4</v>
      </c>
      <c r="AG35" s="12" t="n">
        <v>59.3</v>
      </c>
      <c r="AH35" s="13" t="n">
        <v>82.5</v>
      </c>
      <c r="AI35" s="10" t="n">
        <v>300</v>
      </c>
      <c r="AJ35" s="11" t="n">
        <v>49.1</v>
      </c>
      <c r="AK35" s="12" t="n">
        <v>62.9</v>
      </c>
      <c r="AL35" s="13" t="n">
        <v>89.8</v>
      </c>
      <c r="AM35" s="10" t="n">
        <v>300</v>
      </c>
      <c r="AN35" s="11" t="n">
        <v>57.5</v>
      </c>
      <c r="AO35" s="12" t="n">
        <v>63.9</v>
      </c>
      <c r="AP35" s="13" t="n">
        <v>95.09999999999999</v>
      </c>
      <c r="AQ35" s="6">
        <f>IF(AND((O35)&lt;85,N35&lt;137),"NO","SI")</f>
        <v/>
      </c>
      <c r="AR35" s="7">
        <f>IF((480*(10^(7.95-(O35/10))))&lt;480,480*(10^(7.95-(O35/10))),480)</f>
        <v/>
      </c>
      <c r="AS35" s="8">
        <f>IF((480*(10^(8.45-(O35/10))))&lt;480,480*(10^(8.45-(O35/10))),480)</f>
        <v/>
      </c>
      <c r="AT35" s="9">
        <f>IF((480*(10^(8.65-(O35/10))))&lt;480,480*(10^(8.65-(O35/10))),480)</f>
        <v/>
      </c>
      <c r="AU35" s="111">
        <f>IF(O35&lt;80,"0",IF((P35-O35)&lt;=2,('DPI art.191'!$G$3-(('DPI art.191'!$F$3-'DPI art.191'!$G$3)/4)*(P35-O35-2)),('DPI art.191'!$G$3-(('DPI art.191'!$G$3-'DPI art.191'!$H$3)/8)*(P35-O35-2))))</f>
        <v/>
      </c>
      <c r="AV35" s="24">
        <f>O35-AU35</f>
        <v/>
      </c>
      <c r="AW35" s="24">
        <f>IF(N35&lt;135,N35,N35-'DPI art.191'!$I$3)</f>
        <v/>
      </c>
      <c r="AX35" s="111">
        <f>IF(I35&lt;80,"0",IF((J35-I35)&lt;=2,('DPI art.191'!$G$7-(('DPI art.191'!$F$7-'DPI art.191'!$G$7)/4)*(I35-J35-2)),('DPI art.191'!$G$7-(('DPI art.191'!$G$7-'DPI art.191'!$H$7)/8)*(J35-I35-2))))</f>
        <v/>
      </c>
      <c r="AY35" s="24">
        <f>I35-AX35</f>
        <v/>
      </c>
      <c r="AZ35" s="24">
        <f>IF(H35&lt;135,H35,H35-'DPI art.191'!$I$7)</f>
        <v/>
      </c>
      <c r="BA35" s="111">
        <f>IF(O35&lt;80,"0",IF((P35-O35)&lt;=2,('DPI art.191'!$G$5-(('DPI art.191'!$F$5-'DPI art.191'!$G$5)/4)*(P35-O35-2)),('DPI art.191'!$G$5-(('DPI art.191'!$G$5-'DPI art.191'!$H$5)/8)*(P35-O35-2))))</f>
        <v/>
      </c>
      <c r="BB35" s="24">
        <f>R35-BA35</f>
        <v/>
      </c>
      <c r="BC35" s="24">
        <f>IF(N35&lt;135,N35,N35-'DPI art.191'!$I$5)</f>
        <v/>
      </c>
      <c r="BD35" s="111">
        <f>IF(O35&lt;80,"0",IF((P35-O35)&lt;=2,('DPI art.191'!$G$7-(('DPI art.191'!$F$7-'DPI art.191'!$G$7)/4)*(O35-P35-2)),('DPI art.191'!$G$7-(('DPI art.191'!$G$7-'DPI art.191'!$H$7)/8)*(P35-O35-2))))</f>
        <v/>
      </c>
      <c r="BE35" s="24">
        <f>O35-BD35</f>
        <v/>
      </c>
      <c r="BF35" s="24">
        <f>IF(N35&lt;135,N35,N35-'DPI art.191'!$I$7)</f>
        <v/>
      </c>
      <c r="BG35" s="108">
        <f>10^(0.1*R35)</f>
        <v/>
      </c>
      <c r="BH35" s="108">
        <f>10^(0.1*X35)</f>
        <v/>
      </c>
      <c r="BI35" s="108">
        <f>10^(0.1*AB35)</f>
        <v/>
      </c>
      <c r="BJ35" s="108">
        <f>10^(0.1*AF35)</f>
        <v/>
      </c>
      <c r="BK35" s="108">
        <f>10^(0.1*AJ35)</f>
        <v/>
      </c>
      <c r="BL35" s="108">
        <f>10^(0.1*AN35)</f>
        <v/>
      </c>
      <c r="BM35" s="106">
        <f>IF(R35&gt;0,(O35-R35),"")</f>
        <v/>
      </c>
      <c r="BN35" s="106">
        <f>IF(X35&gt;0,(O35-X35),"")</f>
        <v/>
      </c>
      <c r="BO35" s="106">
        <f>IF(AB35&gt;0,(O35-AB35),"")</f>
        <v/>
      </c>
      <c r="BP35" s="106">
        <f>IF(AF35&gt;0,(O35-AF35),"")</f>
        <v/>
      </c>
      <c r="BQ35" s="106">
        <f>IF(AJ35&gt;0,(O35-AJ35),"")</f>
        <v/>
      </c>
      <c r="BR35" s="106">
        <f>IF(AN35&gt;0,(O35-AN35),"")</f>
        <v/>
      </c>
      <c r="BS35" s="106">
        <f>COUNT(BM35:BR35)</f>
        <v/>
      </c>
      <c r="BT35" s="464">
        <f>IF(BS35=0,0,IF(BS35=1,0,1/(BS35*(BS35-1))))</f>
        <v/>
      </c>
      <c r="BU35" s="136">
        <f>IF(R35&gt;0,(BM35^2),"")</f>
        <v/>
      </c>
      <c r="BV35" s="136">
        <f>IF(X35&gt;0,(BN35^2),"")</f>
        <v/>
      </c>
      <c r="BW35" s="136">
        <f>IF(AB35&gt;0,(BO35^2),"")</f>
        <v/>
      </c>
      <c r="BX35" s="136">
        <f>IF(AF35&gt;0,(BP35^2),"")</f>
        <v/>
      </c>
      <c r="BY35" s="136">
        <f>IF(AJ35&gt;0,(BQ35^2),"")</f>
        <v/>
      </c>
      <c r="BZ35" s="136">
        <f>IF(AN35&gt;0,(BR35^2),"")</f>
        <v/>
      </c>
    </row>
    <row r="36" ht="18.75" customHeight="1" s="444">
      <c r="A36" s="340" t="inlineStr">
        <is>
          <t>Gualdo 1</t>
        </is>
      </c>
      <c r="B36" s="65" t="inlineStr">
        <is>
          <t>D11</t>
        </is>
      </c>
      <c r="C36" s="78" t="inlineStr">
        <is>
          <t>Magazzino produzione</t>
        </is>
      </c>
      <c r="D36" s="83" t="inlineStr">
        <is>
          <t>/</t>
        </is>
      </c>
      <c r="E36" s="83" t="inlineStr">
        <is>
          <t>/</t>
        </is>
      </c>
      <c r="F36" s="78" t="inlineStr">
        <is>
          <t>Attività di magazzino</t>
        </is>
      </c>
      <c r="G36" s="71" t="n">
        <v>45996</v>
      </c>
      <c r="H36" s="77" t="inlineStr">
        <is>
          <t>Compito</t>
        </is>
      </c>
      <c r="I36" s="77">
        <f>IF((V36-R36)&gt;3,"SI","")</f>
        <v/>
      </c>
      <c r="J36" s="77" t="inlineStr">
        <is>
          <t>SI</t>
        </is>
      </c>
      <c r="K36" s="77" t="n"/>
      <c r="L36" s="77" t="n"/>
      <c r="M36" s="137">
        <f>IF(R36&gt;0,(SQRT(BT36*(SUM(BU36:BZ36)))),"")</f>
        <v/>
      </c>
      <c r="N36" s="4">
        <f>IF(T36&gt;0,(MAX(T36,Z36,AD36,AH36,AL36,AP36))+SQRT(1.2^2+1^2),"")</f>
        <v/>
      </c>
      <c r="O36" s="3">
        <f>IF(R36="",0,10*LOG10(SUM(BG36:BL36)/(COUNT(R36,X36,AB36,AF36,AJ36,AN36))))</f>
        <v/>
      </c>
      <c r="P36" s="5">
        <f>IF(AND(Y36="",AC36="",AG36="",AK36="",AO36=""),S36,AVERAGE(S36,Y36,AC36,AG36,AK36,AO36)+STDEV(S36,Y36,AC36,AG36,AK36,AO36))</f>
        <v/>
      </c>
      <c r="Q36" s="14" t="n">
        <v>300</v>
      </c>
      <c r="R36" s="11" t="n">
        <v>73.40000000000001</v>
      </c>
      <c r="S36" s="12" t="n">
        <v>75.5</v>
      </c>
      <c r="T36" s="13" t="n">
        <v>94.5</v>
      </c>
      <c r="U36" s="79" t="n">
        <v>73.40000000000001</v>
      </c>
      <c r="V36" s="79" t="n">
        <v>75</v>
      </c>
      <c r="W36" s="10" t="n">
        <v>300</v>
      </c>
      <c r="X36" s="11" t="n">
        <v>70.3</v>
      </c>
      <c r="Y36" s="12" t="n">
        <v>72.90000000000001</v>
      </c>
      <c r="Z36" s="13" t="n">
        <v>89.09999999999999</v>
      </c>
      <c r="AA36" s="10" t="n">
        <v>300</v>
      </c>
      <c r="AB36" s="11" t="n">
        <v>73.2</v>
      </c>
      <c r="AC36" s="12" t="n">
        <v>74.59999999999999</v>
      </c>
      <c r="AD36" s="13" t="n">
        <v>95.5</v>
      </c>
      <c r="AE36" s="14" t="n">
        <v>300</v>
      </c>
      <c r="AF36" s="11" t="n">
        <v>70.3</v>
      </c>
      <c r="AG36" s="12" t="n">
        <v>74.8</v>
      </c>
      <c r="AH36" s="13" t="n">
        <v>96.90000000000001</v>
      </c>
      <c r="AI36" s="10" t="n">
        <v>300</v>
      </c>
      <c r="AJ36" s="11" t="n">
        <v>73.2</v>
      </c>
      <c r="AK36" s="12" t="n">
        <v>75.3</v>
      </c>
      <c r="AL36" s="13" t="n">
        <v>94.3</v>
      </c>
      <c r="AM36" s="10" t="n">
        <v>300</v>
      </c>
      <c r="AN36" s="11" t="n">
        <v>71.90000000000001</v>
      </c>
      <c r="AO36" s="12" t="n">
        <v>74.59999999999999</v>
      </c>
      <c r="AP36" s="13" t="n">
        <v>104.1</v>
      </c>
      <c r="AQ36" s="6">
        <f>IF(AND((O36)&lt;85,N36&lt;137),"NO","SI")</f>
        <v/>
      </c>
      <c r="AR36" s="7">
        <f>IF((480*(10^(7.95-(O36/10))))&lt;480,480*(10^(7.95-(O36/10))),480)</f>
        <v/>
      </c>
      <c r="AS36" s="8">
        <f>IF((480*(10^(8.45-(O36/10))))&lt;480,480*(10^(8.45-(O36/10))),480)</f>
        <v/>
      </c>
      <c r="AT36" s="9">
        <f>IF((480*(10^(8.65-(O36/10))))&lt;480,480*(10^(8.65-(O36/10))),480)</f>
        <v/>
      </c>
      <c r="AU36" s="111">
        <f>IF(O36&lt;80,"0",IF((P36-O36)&lt;=2,('DPI art.191'!$G$3-(('DPI art.191'!$F$3-'DPI art.191'!$G$3)/4)*(P36-O36-2)),('DPI art.191'!$G$3-(('DPI art.191'!$G$3-'DPI art.191'!$H$3)/8)*(P36-O36-2))))</f>
        <v/>
      </c>
      <c r="AV36" s="24">
        <f>O36-AU36</f>
        <v/>
      </c>
      <c r="AW36" s="24">
        <f>IF(N36&lt;135,N36,N36-'DPI art.191'!$I$3)</f>
        <v/>
      </c>
      <c r="AX36" s="111">
        <f>IF(I36&lt;80,"0",IF((J36-I36)&lt;=2,('DPI art.191'!$G$7-(('DPI art.191'!$F$7-'DPI art.191'!$G$7)/4)*(I36-J36-2)),('DPI art.191'!$G$7-(('DPI art.191'!$G$7-'DPI art.191'!$H$7)/8)*(J36-I36-2))))</f>
        <v/>
      </c>
      <c r="AY36" s="24">
        <f>I36-AX36</f>
        <v/>
      </c>
      <c r="AZ36" s="24">
        <f>IF(H36&lt;135,H36,H36-'DPI art.191'!$I$7)</f>
        <v/>
      </c>
      <c r="BA36" s="111">
        <f>IF(O36&lt;80,"0",IF((P36-O36)&lt;=2,('DPI art.191'!$G$5-(('DPI art.191'!$F$5-'DPI art.191'!$G$5)/4)*(P36-O36-2)),('DPI art.191'!$G$5-(('DPI art.191'!$G$5-'DPI art.191'!$H$5)/8)*(P36-O36-2))))</f>
        <v/>
      </c>
      <c r="BB36" s="24">
        <f>R36-BA36</f>
        <v/>
      </c>
      <c r="BC36" s="24">
        <f>IF(N36&lt;135,N36,N36-'DPI art.191'!$I$5)</f>
        <v/>
      </c>
      <c r="BD36" s="111">
        <f>IF(O36&lt;80,"0",IF((P36-O36)&lt;=2,('DPI art.191'!$G$7-(('DPI art.191'!$F$7-'DPI art.191'!$G$7)/4)*(O36-P36-2)),('DPI art.191'!$G$7-(('DPI art.191'!$G$7-'DPI art.191'!$H$7)/8)*(P36-O36-2))))</f>
        <v/>
      </c>
      <c r="BE36" s="24">
        <f>O36-BD36</f>
        <v/>
      </c>
      <c r="BF36" s="24">
        <f>IF(N36&lt;135,N36,N36-'DPI art.191'!$I$7)</f>
        <v/>
      </c>
      <c r="BG36" s="108">
        <f>10^(0.1*R36)</f>
        <v/>
      </c>
      <c r="BH36" s="108">
        <f>10^(0.1*X36)</f>
        <v/>
      </c>
      <c r="BI36" s="108">
        <f>10^(0.1*AB36)</f>
        <v/>
      </c>
      <c r="BJ36" s="108">
        <f>10^(0.1*AF36)</f>
        <v/>
      </c>
      <c r="BK36" s="108">
        <f>10^(0.1*AJ36)</f>
        <v/>
      </c>
      <c r="BL36" s="108">
        <f>10^(0.1*AN36)</f>
        <v/>
      </c>
      <c r="BM36" s="106">
        <f>IF(R36&gt;0,(O36-R36),"")</f>
        <v/>
      </c>
      <c r="BN36" s="106">
        <f>IF(X36&gt;0,(O36-X36),"")</f>
        <v/>
      </c>
      <c r="BO36" s="106">
        <f>IF(AB36&gt;0,(O36-AB36),"")</f>
        <v/>
      </c>
      <c r="BP36" s="106">
        <f>IF(AF36&gt;0,(O36-AF36),"")</f>
        <v/>
      </c>
      <c r="BQ36" s="106">
        <f>IF(AJ36&gt;0,(O36-AJ36),"")</f>
        <v/>
      </c>
      <c r="BR36" s="106">
        <f>IF(AN36&gt;0,(O36-AN36),"")</f>
        <v/>
      </c>
      <c r="BS36" s="106">
        <f>COUNT(BM36:BR36)</f>
        <v/>
      </c>
      <c r="BT36" s="464">
        <f>IF(BS36=0,0,IF(BS36=1,0,1/(BS36*(BS36-1))))</f>
        <v/>
      </c>
      <c r="BU36" s="136">
        <f>IF(R36&gt;0,(BM36^2),"")</f>
        <v/>
      </c>
      <c r="BV36" s="136">
        <f>IF(X36&gt;0,(BN36^2),"")</f>
        <v/>
      </c>
      <c r="BW36" s="136">
        <f>IF(AB36&gt;0,(BO36^2),"")</f>
        <v/>
      </c>
      <c r="BX36" s="136">
        <f>IF(AF36&gt;0,(BP36^2),"")</f>
        <v/>
      </c>
      <c r="BY36" s="136">
        <f>IF(AJ36&gt;0,(BQ36^2),"")</f>
        <v/>
      </c>
      <c r="BZ36" s="136">
        <f>IF(AN36&gt;0,(BR36^2),"")</f>
        <v/>
      </c>
    </row>
    <row r="37" ht="38.25" customHeight="1" s="444">
      <c r="A37" s="340" t="inlineStr">
        <is>
          <t>Gualdo 2</t>
        </is>
      </c>
      <c r="B37" s="65" t="inlineStr">
        <is>
          <t>D12</t>
        </is>
      </c>
      <c r="C37" s="78" t="inlineStr">
        <is>
          <t>Ambientale magazzino con operazioni di molatura in reparto officina</t>
        </is>
      </c>
      <c r="D37" s="83" t="inlineStr">
        <is>
          <t>/</t>
        </is>
      </c>
      <c r="E37" s="83" t="inlineStr">
        <is>
          <t>/</t>
        </is>
      </c>
      <c r="F37" s="78" t="inlineStr">
        <is>
          <t>Attività di magazzino</t>
        </is>
      </c>
      <c r="G37" s="71" t="n">
        <v>46003</v>
      </c>
      <c r="H37" s="77" t="inlineStr">
        <is>
          <t>Compito</t>
        </is>
      </c>
      <c r="I37" s="77">
        <f>IF((V37-R37)&gt;3,"SI","")</f>
        <v/>
      </c>
      <c r="J37" s="77" t="inlineStr">
        <is>
          <t>SI</t>
        </is>
      </c>
      <c r="K37" s="77" t="n"/>
      <c r="L37" s="77" t="n"/>
      <c r="M37" s="137">
        <f>IF(R37&gt;0,(SQRT(BT37*(SUM(BU37:BZ37)))),"")</f>
        <v/>
      </c>
      <c r="N37" s="4">
        <f>IF(T37&gt;0,(MAX(T37,Z37,AD37,AH37,AL37,AP37))+SQRT(1.2^2+1^2),"")</f>
        <v/>
      </c>
      <c r="O37" s="3">
        <f>IF(R37="",0,10*LOG10(SUM(BG37:BL37)/(COUNT(R37,X37,AB37,AF37,AJ37,AN37))))</f>
        <v/>
      </c>
      <c r="P37" s="5">
        <f>IF(AND(Y37="",AC37="",AG37="",AK37="",AO37=""),S37,AVERAGE(S37,Y37,AC37,AG37,AK37,AO37)+STDEV(S37,Y37,AC37,AG37,AK37,AO37))</f>
        <v/>
      </c>
      <c r="Q37" s="14" t="n">
        <v>300</v>
      </c>
      <c r="R37" s="11" t="n">
        <v>59.2</v>
      </c>
      <c r="S37" s="12" t="n">
        <v>58.7</v>
      </c>
      <c r="T37" s="13" t="n">
        <v>85.7</v>
      </c>
      <c r="U37" s="79" t="n">
        <v>59.2</v>
      </c>
      <c r="V37" s="79" t="n">
        <v>61</v>
      </c>
      <c r="W37" s="10" t="n">
        <v>300</v>
      </c>
      <c r="X37" s="11" t="n">
        <v>62.2</v>
      </c>
      <c r="Y37" s="12" t="n">
        <v>62</v>
      </c>
      <c r="Z37" s="13" t="n">
        <v>98.3</v>
      </c>
      <c r="AA37" s="10" t="n">
        <v>300</v>
      </c>
      <c r="AB37" s="11" t="n">
        <v>61.2</v>
      </c>
      <c r="AC37" s="12" t="n">
        <v>62</v>
      </c>
      <c r="AD37" s="13" t="n">
        <v>96.59999999999999</v>
      </c>
      <c r="AE37" s="14" t="n">
        <v>300</v>
      </c>
      <c r="AF37" s="11" t="n">
        <v>59.2</v>
      </c>
      <c r="AG37" s="12" t="n">
        <v>60.4</v>
      </c>
      <c r="AH37" s="13" t="n">
        <v>93.59999999999999</v>
      </c>
      <c r="AI37" s="10" t="n">
        <v>300</v>
      </c>
      <c r="AJ37" s="11" t="n">
        <v>60.2</v>
      </c>
      <c r="AK37" s="12" t="n">
        <v>61.1</v>
      </c>
      <c r="AL37" s="13" t="n">
        <v>89.40000000000001</v>
      </c>
      <c r="AM37" s="10" t="n">
        <v>300</v>
      </c>
      <c r="AN37" s="11" t="n">
        <v>50</v>
      </c>
      <c r="AO37" s="12" t="n">
        <v>57.2</v>
      </c>
      <c r="AP37" s="13" t="n">
        <v>94.90000000000001</v>
      </c>
      <c r="AQ37" s="6">
        <f>IF(AND((O37)&lt;85,N37&lt;137),"NO","SI")</f>
        <v/>
      </c>
      <c r="AR37" s="7">
        <f>IF((480*(10^(7.95-(O37/10))))&lt;480,480*(10^(7.95-(O37/10))),480)</f>
        <v/>
      </c>
      <c r="AS37" s="8">
        <f>IF((480*(10^(8.45-(O37/10))))&lt;480,480*(10^(8.45-(O37/10))),480)</f>
        <v/>
      </c>
      <c r="AT37" s="9">
        <f>IF((480*(10^(8.65-(O37/10))))&lt;480,480*(10^(8.65-(O37/10))),480)</f>
        <v/>
      </c>
      <c r="AU37" s="111">
        <f>IF(O37&lt;80,"0",IF((P37-O37)&lt;=2,('DPI art.191'!$G$3-(('DPI art.191'!$F$3-'DPI art.191'!$G$3)/4)*(P37-O37-2)),('DPI art.191'!$G$3-(('DPI art.191'!$G$3-'DPI art.191'!$H$3)/8)*(P37-O37-2))))</f>
        <v/>
      </c>
      <c r="AV37" s="24">
        <f>O37-AU37</f>
        <v/>
      </c>
      <c r="AW37" s="24">
        <f>IF(N37&lt;135,N37,N37-'DPI art.191'!$I$3)</f>
        <v/>
      </c>
      <c r="AX37" s="111">
        <f>IF(I37&lt;80,"0",IF((J37-I37)&lt;=2,('DPI art.191'!$G$7-(('DPI art.191'!$F$7-'DPI art.191'!$G$7)/4)*(I37-J37-2)),('DPI art.191'!$G$7-(('DPI art.191'!$G$7-'DPI art.191'!$H$7)/8)*(J37-I37-2))))</f>
        <v/>
      </c>
      <c r="AY37" s="24">
        <f>I37-AX37</f>
        <v/>
      </c>
      <c r="AZ37" s="24">
        <f>IF(H37&lt;135,H37,H37-'DPI art.191'!$I$7)</f>
        <v/>
      </c>
      <c r="BA37" s="111">
        <f>IF(O37&lt;80,"0",IF((P37-O37)&lt;=2,('DPI art.191'!$G$5-(('DPI art.191'!$F$5-'DPI art.191'!$G$5)/4)*(P37-O37-2)),('DPI art.191'!$G$5-(('DPI art.191'!$G$5-'DPI art.191'!$H$5)/8)*(P37-O37-2))))</f>
        <v/>
      </c>
      <c r="BB37" s="24">
        <f>R37-BA37</f>
        <v/>
      </c>
      <c r="BC37" s="24">
        <f>IF(N37&lt;135,N37,N37-'DPI art.191'!$I$5)</f>
        <v/>
      </c>
      <c r="BD37" s="111">
        <f>IF(O37&lt;80,"0",IF((P37-O37)&lt;=2,('DPI art.191'!$G$7-(('DPI art.191'!$F$7-'DPI art.191'!$G$7)/4)*(O37-P37-2)),('DPI art.191'!$G$7-(('DPI art.191'!$G$7-'DPI art.191'!$H$7)/8)*(P37-O37-2))))</f>
        <v/>
      </c>
      <c r="BE37" s="24">
        <f>O37-BD37</f>
        <v/>
      </c>
      <c r="BF37" s="24">
        <f>IF(N37&lt;135,N37,N37-'DPI art.191'!$I$7)</f>
        <v/>
      </c>
      <c r="BG37" s="108">
        <f>10^(0.1*R37)</f>
        <v/>
      </c>
      <c r="BH37" s="108">
        <f>10^(0.1*X37)</f>
        <v/>
      </c>
      <c r="BI37" s="108">
        <f>10^(0.1*AB37)</f>
        <v/>
      </c>
      <c r="BJ37" s="108">
        <f>10^(0.1*AF37)</f>
        <v/>
      </c>
      <c r="BK37" s="108">
        <f>10^(0.1*AJ37)</f>
        <v/>
      </c>
      <c r="BL37" s="108">
        <f>10^(0.1*AN37)</f>
        <v/>
      </c>
      <c r="BM37" s="106">
        <f>IF(R37&gt;0,(O37-R37),"")</f>
        <v/>
      </c>
      <c r="BN37" s="106">
        <f>IF(X37&gt;0,(O37-X37),"")</f>
        <v/>
      </c>
      <c r="BO37" s="106">
        <f>IF(AB37&gt;0,(O37-AB37),"")</f>
        <v/>
      </c>
      <c r="BP37" s="106">
        <f>IF(AF37&gt;0,(O37-AF37),"")</f>
        <v/>
      </c>
      <c r="BQ37" s="106">
        <f>IF(AJ37&gt;0,(O37-AJ37),"")</f>
        <v/>
      </c>
      <c r="BR37" s="106">
        <f>IF(AN37&gt;0,(O37-AN37),"")</f>
        <v/>
      </c>
      <c r="BS37" s="106">
        <f>COUNT(BM37:BR37)</f>
        <v/>
      </c>
      <c r="BT37" s="464">
        <f>IF(BS37=0,0,IF(BS37=1,0,1/(BS37*(BS37-1))))</f>
        <v/>
      </c>
      <c r="BU37" s="136">
        <f>IF(R37&gt;0,(BM37^2),"")</f>
        <v/>
      </c>
      <c r="BV37" s="136">
        <f>IF(X37&gt;0,(BN37^2),"")</f>
        <v/>
      </c>
      <c r="BW37" s="136">
        <f>IF(AB37&gt;0,(BO37^2),"")</f>
        <v/>
      </c>
      <c r="BX37" s="136">
        <f>IF(AF37&gt;0,(BP37^2),"")</f>
        <v/>
      </c>
      <c r="BY37" s="136">
        <f>IF(AJ37&gt;0,(BQ37^2),"")</f>
        <v/>
      </c>
      <c r="BZ37" s="136">
        <f>IF(AN37&gt;0,(BR37^2),"")</f>
        <v/>
      </c>
    </row>
    <row r="38" ht="38.25" customHeight="1" s="444">
      <c r="A38" s="340" t="inlineStr">
        <is>
          <t>Gualdo 2</t>
        </is>
      </c>
      <c r="B38" s="65" t="inlineStr">
        <is>
          <t>D13</t>
        </is>
      </c>
      <c r="C38" s="78" t="inlineStr">
        <is>
          <t>Ambientale magazzino con operazioni di movimentazione in reparto officina</t>
        </is>
      </c>
      <c r="D38" s="83" t="inlineStr">
        <is>
          <t>/</t>
        </is>
      </c>
      <c r="E38" s="83" t="inlineStr">
        <is>
          <t>/</t>
        </is>
      </c>
      <c r="F38" s="78" t="inlineStr">
        <is>
          <t>Attività di magazzino</t>
        </is>
      </c>
      <c r="G38" s="71" t="n">
        <v>46003</v>
      </c>
      <c r="H38" s="77" t="inlineStr">
        <is>
          <t>Compito</t>
        </is>
      </c>
      <c r="I38" s="77">
        <f>IF((V38-R38)&gt;3,"SI","")</f>
        <v/>
      </c>
      <c r="J38" s="77">
        <f>IF((U38-R38)&gt;3,"SI","")</f>
        <v/>
      </c>
      <c r="K38" s="77" t="n"/>
      <c r="L38" s="77" t="n"/>
      <c r="M38" s="137">
        <f>IF(R38&gt;0,(SQRT(BT38*(SUM(BU38:BZ38)))),"")</f>
        <v/>
      </c>
      <c r="N38" s="4">
        <f>IF(T38&gt;0,(MAX(T38,Z38,AD38,AH38,AL38,AP38))+SQRT(1.2^2+1^2),"")</f>
        <v/>
      </c>
      <c r="O38" s="3">
        <f>IF(R38="",0,10*LOG10(SUM(BG38:BL38)/(COUNT(R38,X38,AB38,AF38,AJ38,AN38))))</f>
        <v/>
      </c>
      <c r="P38" s="5">
        <f>IF(AND(Y38="",AC38="",AG38="",AK38="",AO38=""),S38,AVERAGE(S38,Y38,AC38,AG38,AK38,AO38)+STDEV(S38,Y38,AC38,AG38,AK38,AO38))</f>
        <v/>
      </c>
      <c r="Q38" s="14" t="n">
        <v>300</v>
      </c>
      <c r="R38" s="11" t="n">
        <v>47</v>
      </c>
      <c r="S38" s="12" t="n">
        <v>61.3</v>
      </c>
      <c r="T38" s="13" t="n">
        <v>93.09999999999999</v>
      </c>
      <c r="U38" s="79" t="n">
        <v>46.8</v>
      </c>
      <c r="V38" s="79" t="n">
        <v>54.6</v>
      </c>
      <c r="W38" s="10" t="n">
        <v>300</v>
      </c>
      <c r="X38" s="11" t="n">
        <v>47</v>
      </c>
      <c r="Y38" s="12" t="n">
        <v>54.8</v>
      </c>
      <c r="Z38" s="13" t="n">
        <v>88.09999999999999</v>
      </c>
      <c r="AA38" s="10" t="n">
        <v>300</v>
      </c>
      <c r="AB38" s="11" t="n">
        <v>50.7</v>
      </c>
      <c r="AC38" s="12" t="n">
        <v>54.9</v>
      </c>
      <c r="AD38" s="13" t="n">
        <v>86.2</v>
      </c>
      <c r="AE38" s="14" t="n">
        <v>300</v>
      </c>
      <c r="AF38" s="11" t="n">
        <v>47.9</v>
      </c>
      <c r="AG38" s="12" t="n">
        <v>58.6</v>
      </c>
      <c r="AH38" s="13" t="n">
        <v>85.3</v>
      </c>
      <c r="AI38" s="10" t="n">
        <v>300</v>
      </c>
      <c r="AJ38" s="11" t="n">
        <v>45.1</v>
      </c>
      <c r="AK38" s="12" t="n">
        <v>55.8</v>
      </c>
      <c r="AL38" s="13" t="n">
        <v>82.7</v>
      </c>
      <c r="AM38" s="10" t="n">
        <v>300</v>
      </c>
      <c r="AN38" s="11" t="n">
        <v>39.5</v>
      </c>
      <c r="AO38" s="12" t="n">
        <v>50.3</v>
      </c>
      <c r="AP38" s="13" t="n">
        <v>68.90000000000001</v>
      </c>
      <c r="AQ38" s="6">
        <f>IF(AND((O38)&lt;85,N38&lt;137),"NO","SI")</f>
        <v/>
      </c>
      <c r="AR38" s="7">
        <f>IF((480*(10^(7.95-(O38/10))))&lt;480,480*(10^(7.95-(O38/10))),480)</f>
        <v/>
      </c>
      <c r="AS38" s="8">
        <f>IF((480*(10^(8.45-(O38/10))))&lt;480,480*(10^(8.45-(O38/10))),480)</f>
        <v/>
      </c>
      <c r="AT38" s="9">
        <f>IF((480*(10^(8.65-(O38/10))))&lt;480,480*(10^(8.65-(O38/10))),480)</f>
        <v/>
      </c>
      <c r="AU38" s="111">
        <f>IF(O38&lt;80,"0",IF((P38-O38)&lt;=2,('DPI art.191'!$G$3-(('DPI art.191'!$F$3-'DPI art.191'!$G$3)/4)*(P38-O38-2)),('DPI art.191'!$G$3-(('DPI art.191'!$G$3-'DPI art.191'!$H$3)/8)*(P38-O38-2))))</f>
        <v/>
      </c>
      <c r="AV38" s="24">
        <f>O38-AU38</f>
        <v/>
      </c>
      <c r="AW38" s="24">
        <f>IF(N38&lt;135,N38,N38-'DPI art.191'!$I$3)</f>
        <v/>
      </c>
      <c r="AX38" s="111">
        <f>IF(I38&lt;80,"0",IF((J38-I38)&lt;=2,('DPI art.191'!$G$7-(('DPI art.191'!$F$7-'DPI art.191'!$G$7)/4)*(I38-J38-2)),('DPI art.191'!$G$7-(('DPI art.191'!$G$7-'DPI art.191'!$H$7)/8)*(J38-I38-2))))</f>
        <v/>
      </c>
      <c r="AY38" s="24">
        <f>I38-AX38</f>
        <v/>
      </c>
      <c r="AZ38" s="24">
        <f>IF(H38&lt;135,H38,H38-'DPI art.191'!$I$7)</f>
        <v/>
      </c>
      <c r="BA38" s="111">
        <f>IF(O38&lt;80,"0",IF((P38-O38)&lt;=2,('DPI art.191'!$G$5-(('DPI art.191'!$F$5-'DPI art.191'!$G$5)/4)*(P38-O38-2)),('DPI art.191'!$G$5-(('DPI art.191'!$G$5-'DPI art.191'!$H$5)/8)*(P38-O38-2))))</f>
        <v/>
      </c>
      <c r="BB38" s="24">
        <f>R38-BA38</f>
        <v/>
      </c>
      <c r="BC38" s="24">
        <f>IF(N38&lt;135,N38,N38-'DPI art.191'!$I$5)</f>
        <v/>
      </c>
      <c r="BD38" s="111">
        <f>IF(O38&lt;80,"0",IF((P38-O38)&lt;=2,('DPI art.191'!$G$7-(('DPI art.191'!$F$7-'DPI art.191'!$G$7)/4)*(O38-P38-2)),('DPI art.191'!$G$7-(('DPI art.191'!$G$7-'DPI art.191'!$H$7)/8)*(P38-O38-2))))</f>
        <v/>
      </c>
      <c r="BE38" s="24">
        <f>O38-BD38</f>
        <v/>
      </c>
      <c r="BF38" s="24">
        <f>IF(N38&lt;135,N38,N38-'DPI art.191'!$I$7)</f>
        <v/>
      </c>
      <c r="BG38" s="108">
        <f>10^(0.1*R38)</f>
        <v/>
      </c>
      <c r="BH38" s="108">
        <f>10^(0.1*X38)</f>
        <v/>
      </c>
      <c r="BI38" s="108">
        <f>10^(0.1*AB38)</f>
        <v/>
      </c>
      <c r="BJ38" s="108">
        <f>10^(0.1*AF38)</f>
        <v/>
      </c>
      <c r="BK38" s="108">
        <f>10^(0.1*AJ38)</f>
        <v/>
      </c>
      <c r="BL38" s="108">
        <f>10^(0.1*AN38)</f>
        <v/>
      </c>
      <c r="BM38" s="106">
        <f>IF(R38&gt;0,(O38-R38),"")</f>
        <v/>
      </c>
      <c r="BN38" s="106">
        <f>IF(X38&gt;0,(O38-X38),"")</f>
        <v/>
      </c>
      <c r="BO38" s="106">
        <f>IF(AB38&gt;0,(O38-AB38),"")</f>
        <v/>
      </c>
      <c r="BP38" s="106">
        <f>IF(AF38&gt;0,(O38-AF38),"")</f>
        <v/>
      </c>
      <c r="BQ38" s="106">
        <f>IF(AJ38&gt;0,(O38-AJ38),"")</f>
        <v/>
      </c>
      <c r="BR38" s="106">
        <f>IF(AN38&gt;0,(O38-AN38),"")</f>
        <v/>
      </c>
      <c r="BS38" s="106">
        <f>COUNT(BM38:BR38)</f>
        <v/>
      </c>
      <c r="BT38" s="464">
        <f>IF(BS38=0,0,IF(BS38=1,0,1/(BS38*(BS38-1))))</f>
        <v/>
      </c>
      <c r="BU38" s="136">
        <f>IF(R38&gt;0,(BM38^2),"")</f>
        <v/>
      </c>
      <c r="BV38" s="136">
        <f>IF(X38&gt;0,(BN38^2),"")</f>
        <v/>
      </c>
      <c r="BW38" s="136">
        <f>IF(AB38&gt;0,(BO38^2),"")</f>
        <v/>
      </c>
      <c r="BX38" s="136">
        <f>IF(AF38&gt;0,(BP38^2),"")</f>
        <v/>
      </c>
      <c r="BY38" s="136">
        <f>IF(AJ38&gt;0,(BQ38^2),"")</f>
        <v/>
      </c>
      <c r="BZ38" s="136">
        <f>IF(AN38&gt;0,(BR38^2),"")</f>
        <v/>
      </c>
    </row>
    <row r="39" ht="76.5" customHeight="1" s="444">
      <c r="A39" s="340" t="inlineStr">
        <is>
          <t>024/B/PRS748</t>
        </is>
      </c>
      <c r="B39" s="65" t="inlineStr">
        <is>
          <t>D14</t>
        </is>
      </c>
      <c r="C39" s="78" t="inlineStr">
        <is>
          <t>Saldatrice a filo - puntatura</t>
        </is>
      </c>
      <c r="D39" s="83" t="inlineStr">
        <is>
          <t>ESAB</t>
        </is>
      </c>
      <c r="E39" s="83" t="inlineStr">
        <is>
          <t>Generat. ARISTO MIG 5000I W MA6 Trainaf. ORIGO FEED 4804W MA24 10P</t>
        </is>
      </c>
      <c r="F39" s="192" t="inlineStr">
        <is>
          <t>Preparazione saldatura</t>
        </is>
      </c>
      <c r="G39" s="71" t="n">
        <v>46003</v>
      </c>
      <c r="H39" s="77" t="inlineStr">
        <is>
          <t>Compito</t>
        </is>
      </c>
      <c r="I39" s="77">
        <f>IF((V39-R39)&gt;3,"SI","")</f>
        <v/>
      </c>
      <c r="J39" s="77">
        <f>IF((U39-R39)&gt;3,"SI","")</f>
        <v/>
      </c>
      <c r="K39" s="77" t="n"/>
      <c r="L39" s="77" t="n"/>
      <c r="M39" s="137">
        <f>IF(R39&gt;0,(SQRT(BT39*(SUM(BU39:BZ39)))),"")</f>
        <v/>
      </c>
      <c r="N39" s="4">
        <f>IF(T39&gt;0,(MAX(T39,Z39,AD39,AH39,AL39,AP39))+SQRT(1.2^2+1^2),"")</f>
        <v/>
      </c>
      <c r="O39" s="3">
        <f>IF(R39="",0,10*LOG10(SUM(BG39:BL39)/(COUNT(R39,X39,AB39,AF39,AJ39,AN39))))</f>
        <v/>
      </c>
      <c r="P39" s="5">
        <f>IF(AND(Y39="",AC39="",AG39="",AK39="",AO39=""),S39,AVERAGE(S39,Y39,AC39,AG39,AK39,AO39)+STDEV(S39,Y39,AC39,AG39,AK39,AO39))</f>
        <v/>
      </c>
      <c r="Q39" s="14" t="n">
        <v>300</v>
      </c>
      <c r="R39" s="11" t="n">
        <v>41.4</v>
      </c>
      <c r="S39" s="12" t="n">
        <v>52.3</v>
      </c>
      <c r="T39" s="13" t="n">
        <v>83.2</v>
      </c>
      <c r="U39" s="79" t="n">
        <v>41.4</v>
      </c>
      <c r="V39" s="79" t="n">
        <v>47.1</v>
      </c>
      <c r="W39" s="10" t="n">
        <v>300</v>
      </c>
      <c r="X39" s="11" t="n">
        <v>39</v>
      </c>
      <c r="Y39" s="12" t="n">
        <v>53.2</v>
      </c>
      <c r="Z39" s="13" t="n">
        <v>88</v>
      </c>
      <c r="AA39" s="10" t="n">
        <v>300</v>
      </c>
      <c r="AB39" s="11" t="n">
        <v>40.2</v>
      </c>
      <c r="AC39" s="12" t="n">
        <v>50.8</v>
      </c>
      <c r="AD39" s="13" t="n">
        <v>79.3</v>
      </c>
      <c r="AE39" s="14" t="n">
        <v>300</v>
      </c>
      <c r="AF39" s="11" t="n">
        <v>57</v>
      </c>
      <c r="AG39" s="12" t="n">
        <v>59.9</v>
      </c>
      <c r="AH39" s="13" t="n">
        <v>91</v>
      </c>
      <c r="AI39" s="10" t="n">
        <v>300</v>
      </c>
      <c r="AJ39" s="11" t="n">
        <v>55.3</v>
      </c>
      <c r="AK39" s="12" t="n">
        <v>58.2</v>
      </c>
      <c r="AL39" s="13" t="n">
        <v>92.40000000000001</v>
      </c>
      <c r="AM39" s="10" t="n">
        <v>300</v>
      </c>
      <c r="AN39" s="11" t="n">
        <v>61.8</v>
      </c>
      <c r="AO39" s="12" t="n">
        <v>62.7</v>
      </c>
      <c r="AP39" s="13" t="n">
        <v>91.90000000000001</v>
      </c>
      <c r="AQ39" s="6">
        <f>IF(AND((O39)&lt;85,N39&lt;137),"NO","SI")</f>
        <v/>
      </c>
      <c r="AR39" s="7">
        <f>IF((480*(10^(7.95-(O39/10))))&lt;480,480*(10^(7.95-(O39/10))),480)</f>
        <v/>
      </c>
      <c r="AS39" s="8">
        <f>IF((480*(10^(8.45-(O39/10))))&lt;480,480*(10^(8.45-(O39/10))),480)</f>
        <v/>
      </c>
      <c r="AT39" s="9">
        <f>IF((480*(10^(8.65-(O39/10))))&lt;480,480*(10^(8.65-(O39/10))),480)</f>
        <v/>
      </c>
      <c r="AU39" s="111">
        <f>IF(O39&lt;80,"0",IF((P39-O39)&lt;=2,('DPI art.191'!$G$3-(('DPI art.191'!$F$3-'DPI art.191'!$G$3)/4)*(P39-O39-2)),('DPI art.191'!$G$3-(('DPI art.191'!$G$3-'DPI art.191'!$H$3)/8)*(P39-O39-2))))</f>
        <v/>
      </c>
      <c r="AV39" s="24">
        <f>O39-AU39</f>
        <v/>
      </c>
      <c r="AW39" s="24">
        <f>IF(N39&lt;135,N39,N39-'DPI art.191'!$I$3)</f>
        <v/>
      </c>
      <c r="AX39" s="111">
        <f>IF(I39&lt;80,"0",IF((J39-I39)&lt;=2,('DPI art.191'!$G$7-(('DPI art.191'!$F$7-'DPI art.191'!$G$7)/4)*(I39-J39-2)),('DPI art.191'!$G$7-(('DPI art.191'!$G$7-'DPI art.191'!$H$7)/8)*(J39-I39-2))))</f>
        <v/>
      </c>
      <c r="AY39" s="24">
        <f>I39-AX39</f>
        <v/>
      </c>
      <c r="AZ39" s="24">
        <f>IF(H39&lt;135,H39,H39-'DPI art.191'!$I$7)</f>
        <v/>
      </c>
      <c r="BA39" s="111">
        <f>IF(O39&lt;80,"0",IF((P39-O39)&lt;=2,('DPI art.191'!$G$5-(('DPI art.191'!$F$5-'DPI art.191'!$G$5)/4)*(P39-O39-2)),('DPI art.191'!$G$5-(('DPI art.191'!$G$5-'DPI art.191'!$H$5)/8)*(P39-O39-2))))</f>
        <v/>
      </c>
      <c r="BB39" s="24">
        <f>R39-BA39</f>
        <v/>
      </c>
      <c r="BC39" s="24">
        <f>IF(N39&lt;135,N39,N39-'DPI art.191'!$I$5)</f>
        <v/>
      </c>
      <c r="BD39" s="111">
        <f>IF(O39&lt;80,"0",IF((P39-O39)&lt;=2,('DPI art.191'!$G$7-(('DPI art.191'!$F$7-'DPI art.191'!$G$7)/4)*(O39-P39-2)),('DPI art.191'!$G$7-(('DPI art.191'!$G$7-'DPI art.191'!$H$7)/8)*(P39-O39-2))))</f>
        <v/>
      </c>
      <c r="BE39" s="24">
        <f>O39-BD39</f>
        <v/>
      </c>
      <c r="BF39" s="24">
        <f>IF(N39&lt;135,N39,N39-'DPI art.191'!$I$7)</f>
        <v/>
      </c>
      <c r="BG39" s="108">
        <f>10^(0.1*R39)</f>
        <v/>
      </c>
      <c r="BH39" s="108">
        <f>10^(0.1*X39)</f>
        <v/>
      </c>
      <c r="BI39" s="108">
        <f>10^(0.1*AB39)</f>
        <v/>
      </c>
      <c r="BJ39" s="108">
        <f>10^(0.1*AF39)</f>
        <v/>
      </c>
      <c r="BK39" s="108">
        <f>10^(0.1*AJ39)</f>
        <v/>
      </c>
      <c r="BL39" s="108">
        <f>10^(0.1*AN39)</f>
        <v/>
      </c>
      <c r="BM39" s="106">
        <f>IF(R39&gt;0,(O39-R39),"")</f>
        <v/>
      </c>
      <c r="BN39" s="106">
        <f>IF(X39&gt;0,(O39-X39),"")</f>
        <v/>
      </c>
      <c r="BO39" s="106">
        <f>IF(AB39&gt;0,(O39-AB39),"")</f>
        <v/>
      </c>
      <c r="BP39" s="106">
        <f>IF(AF39&gt;0,(O39-AF39),"")</f>
        <v/>
      </c>
      <c r="BQ39" s="106">
        <f>IF(AJ39&gt;0,(O39-AJ39),"")</f>
        <v/>
      </c>
      <c r="BR39" s="106">
        <f>IF(AN39&gt;0,(O39-AN39),"")</f>
        <v/>
      </c>
      <c r="BS39" s="106">
        <f>COUNT(BM39:BR39)</f>
        <v/>
      </c>
      <c r="BT39" s="464">
        <f>IF(BS39=0,0,IF(BS39=1,0,1/(BS39*(BS39-1))))</f>
        <v/>
      </c>
      <c r="BU39" s="136">
        <f>IF(R39&gt;0,(BM39^2),"")</f>
        <v/>
      </c>
      <c r="BV39" s="136">
        <f>IF(X39&gt;0,(BN39^2),"")</f>
        <v/>
      </c>
      <c r="BW39" s="136">
        <f>IF(AB39&gt;0,(BO39^2),"")</f>
        <v/>
      </c>
      <c r="BX39" s="136">
        <f>IF(AF39&gt;0,(BP39^2),"")</f>
        <v/>
      </c>
      <c r="BY39" s="136">
        <f>IF(AJ39&gt;0,(BQ39^2),"")</f>
        <v/>
      </c>
      <c r="BZ39" s="136">
        <f>IF(AN39&gt;0,(BR39^2),"")</f>
        <v/>
      </c>
    </row>
    <row r="40" ht="25.5" customHeight="1" s="444">
      <c r="A40" s="340" t="inlineStr">
        <is>
          <t>273/10</t>
        </is>
      </c>
      <c r="B40" s="65" t="inlineStr">
        <is>
          <t>D15</t>
        </is>
      </c>
      <c r="C40" s="78" t="inlineStr">
        <is>
          <t>Sega a nastro</t>
        </is>
      </c>
      <c r="D40" s="83" t="inlineStr">
        <is>
          <t>BIANCO</t>
        </is>
      </c>
      <c r="E40" s="83" t="inlineStr">
        <is>
          <t xml:space="preserve">270 SA 60° - Ø 250mm </t>
        </is>
      </c>
      <c r="F40" s="192" t="inlineStr">
        <is>
          <t>Taglio con sega a nastro</t>
        </is>
      </c>
      <c r="G40" s="71" t="n">
        <v>46003</v>
      </c>
      <c r="H40" s="77" t="inlineStr">
        <is>
          <t>Compito</t>
        </is>
      </c>
      <c r="I40" s="77">
        <f>IF((V40-R40)&gt;3,"SI","")</f>
        <v/>
      </c>
      <c r="J40" s="77">
        <f>IF((U40-R40)&gt;3,"SI","")</f>
        <v/>
      </c>
      <c r="K40" s="77" t="n"/>
      <c r="L40" s="77" t="n"/>
      <c r="M40" s="137">
        <f>IF(R40&gt;0,(SQRT(BT40*(SUM(BU40:BZ40)))),"")</f>
        <v/>
      </c>
      <c r="N40" s="4">
        <f>IF(T40&gt;0,(MAX(T40,Z40,AD40,AH40,AL40,AP40))+SQRT(1.2^2+1^2),"")</f>
        <v/>
      </c>
      <c r="O40" s="3">
        <f>IF(R40="",0,10*LOG10(SUM(BG40:BL40)/(COUNT(R40,X40,AB40,AF40,AJ40,AN40))))</f>
        <v/>
      </c>
      <c r="P40" s="5">
        <f>IF(AND(Y40="",AC40="",AG40="",AK40="",AO40=""),S40,AVERAGE(S40,Y40,AC40,AG40,AK40,AO40)+STDEV(S40,Y40,AC40,AG40,AK40,AO40))</f>
        <v/>
      </c>
      <c r="Q40" s="14" t="n">
        <v>300</v>
      </c>
      <c r="R40" s="11" t="n">
        <v>81</v>
      </c>
      <c r="S40" s="12" t="n">
        <v>82.2</v>
      </c>
      <c r="T40" s="13" t="n">
        <v>120.2</v>
      </c>
      <c r="U40" s="79" t="n">
        <v>81.09999999999999</v>
      </c>
      <c r="V40" s="79" t="n">
        <v>86.8</v>
      </c>
      <c r="W40" s="10" t="n">
        <v>300</v>
      </c>
      <c r="X40" s="11" t="n">
        <v>84.3</v>
      </c>
      <c r="Y40" s="12" t="n">
        <v>84.09999999999999</v>
      </c>
      <c r="Z40" s="13" t="n">
        <v>125.5</v>
      </c>
      <c r="AA40" s="10" t="n">
        <v>300</v>
      </c>
      <c r="AB40" s="11" t="n">
        <v>85.40000000000001</v>
      </c>
      <c r="AC40" s="12" t="n">
        <v>85</v>
      </c>
      <c r="AD40" s="13" t="n">
        <v>122.4</v>
      </c>
      <c r="AE40" s="14" t="n">
        <v>300</v>
      </c>
      <c r="AF40" s="11" t="n">
        <v>83.40000000000001</v>
      </c>
      <c r="AG40" s="12" t="n">
        <v>83.59999999999999</v>
      </c>
      <c r="AH40" s="13" t="n">
        <v>117.7</v>
      </c>
      <c r="AI40" s="10" t="n">
        <v>300</v>
      </c>
      <c r="AJ40" s="11" t="n">
        <v>82.90000000000001</v>
      </c>
      <c r="AK40" s="12" t="n">
        <v>83.09999999999999</v>
      </c>
      <c r="AL40" s="13" t="n">
        <v>118.6</v>
      </c>
      <c r="AM40" s="10" t="n">
        <v>300</v>
      </c>
      <c r="AN40" s="11" t="n">
        <v>81.40000000000001</v>
      </c>
      <c r="AO40" s="12" t="n">
        <v>81.90000000000001</v>
      </c>
      <c r="AP40" s="13" t="n">
        <v>121.9</v>
      </c>
      <c r="AQ40" s="6">
        <f>IF(AND((O40)&lt;85,N40&lt;137),"NO","SI")</f>
        <v/>
      </c>
      <c r="AR40" s="7">
        <f>IF((480*(10^(7.95-(O40/10))))&lt;480,480*(10^(7.95-(O40/10))),480)</f>
        <v/>
      </c>
      <c r="AS40" s="8">
        <f>IF((480*(10^(8.45-(O40/10))))&lt;480,480*(10^(8.45-(O40/10))),480)</f>
        <v/>
      </c>
      <c r="AT40" s="9">
        <f>IF((480*(10^(8.65-(O40/10))))&lt;480,480*(10^(8.65-(O40/10))),480)</f>
        <v/>
      </c>
      <c r="AU40" s="111">
        <f>IF(O40&lt;80,"0",IF((P40-O40)&lt;=2,('DPI art.191'!$G$3-(('DPI art.191'!$F$3-'DPI art.191'!$G$3)/4)*(P40-O40-2)),('DPI art.191'!$G$3-(('DPI art.191'!$G$3-'DPI art.191'!$H$3)/8)*(P40-O40-2))))</f>
        <v/>
      </c>
      <c r="AV40" s="24">
        <f>O40-AU40</f>
        <v/>
      </c>
      <c r="AW40" s="24">
        <f>IF(N40&lt;135,N40,N40-'DPI art.191'!$I$3)</f>
        <v/>
      </c>
      <c r="AX40" s="111">
        <f>IF(I40&lt;80,"0",IF((J40-I40)&lt;=2,('DPI art.191'!$G$7-(('DPI art.191'!$F$7-'DPI art.191'!$G$7)/4)*(I40-J40-2)),('DPI art.191'!$G$7-(('DPI art.191'!$G$7-'DPI art.191'!$H$7)/8)*(J40-I40-2))))</f>
        <v/>
      </c>
      <c r="AY40" s="24">
        <f>I40-AX40</f>
        <v/>
      </c>
      <c r="AZ40" s="24">
        <f>IF(H40&lt;135,H40,H40-'DPI art.191'!$I$7)</f>
        <v/>
      </c>
      <c r="BA40" s="111">
        <f>IF(O40&lt;80,"0",IF((P40-O40)&lt;=2,('DPI art.191'!$G$5-(('DPI art.191'!$F$5-'DPI art.191'!$G$5)/4)*(P40-O40-2)),('DPI art.191'!$G$5-(('DPI art.191'!$G$5-'DPI art.191'!$H$5)/8)*(P40-O40-2))))</f>
        <v/>
      </c>
      <c r="BB40" s="24">
        <f>R40-BA40</f>
        <v/>
      </c>
      <c r="BC40" s="24">
        <f>IF(N40&lt;135,N40,N40-'DPI art.191'!$I$5)</f>
        <v/>
      </c>
      <c r="BD40" s="111">
        <f>IF(O40&lt;80,"0",IF((P40-O40)&lt;=2,('DPI art.191'!$G$7-(('DPI art.191'!$F$7-'DPI art.191'!$G$7)/4)*(O40-P40-2)),('DPI art.191'!$G$7-(('DPI art.191'!$G$7-'DPI art.191'!$H$7)/8)*(P40-O40-2))))</f>
        <v/>
      </c>
      <c r="BE40" s="24">
        <f>O40-BD40</f>
        <v/>
      </c>
      <c r="BF40" s="24">
        <f>IF(N40&lt;135,N40,N40-'DPI art.191'!$I$7)</f>
        <v/>
      </c>
      <c r="BG40" s="108">
        <f>10^(0.1*R40)</f>
        <v/>
      </c>
      <c r="BH40" s="108">
        <f>10^(0.1*X40)</f>
        <v/>
      </c>
      <c r="BI40" s="108">
        <f>10^(0.1*AB40)</f>
        <v/>
      </c>
      <c r="BJ40" s="108">
        <f>10^(0.1*AF40)</f>
        <v/>
      </c>
      <c r="BK40" s="108">
        <f>10^(0.1*AJ40)</f>
        <v/>
      </c>
      <c r="BL40" s="108">
        <f>10^(0.1*AN40)</f>
        <v/>
      </c>
      <c r="BM40" s="106">
        <f>IF(R40&gt;0,(O40-R40),"")</f>
        <v/>
      </c>
      <c r="BN40" s="106">
        <f>IF(X40&gt;0,(O40-X40),"")</f>
        <v/>
      </c>
      <c r="BO40" s="106">
        <f>IF(AB40&gt;0,(O40-AB40),"")</f>
        <v/>
      </c>
      <c r="BP40" s="106">
        <f>IF(AF40&gt;0,(O40-AF40),"")</f>
        <v/>
      </c>
      <c r="BQ40" s="106">
        <f>IF(AJ40&gt;0,(O40-AJ40),"")</f>
        <v/>
      </c>
      <c r="BR40" s="106">
        <f>IF(AN40&gt;0,(O40-AN40),"")</f>
        <v/>
      </c>
      <c r="BS40" s="106">
        <f>COUNT(BM40:BR40)</f>
        <v/>
      </c>
      <c r="BT40" s="464">
        <f>IF(BS40=0,0,IF(BS40=1,0,1/(BS40*(BS40-1))))</f>
        <v/>
      </c>
      <c r="BU40" s="136">
        <f>IF(R40&gt;0,(BM40^2),"")</f>
        <v/>
      </c>
      <c r="BV40" s="136">
        <f>IF(X40&gt;0,(BN40^2),"")</f>
        <v/>
      </c>
      <c r="BW40" s="136">
        <f>IF(AB40&gt;0,(BO40^2),"")</f>
        <v/>
      </c>
      <c r="BX40" s="136">
        <f>IF(AF40&gt;0,(BP40^2),"")</f>
        <v/>
      </c>
      <c r="BY40" s="136">
        <f>IF(AJ40&gt;0,(BQ40^2),"")</f>
        <v/>
      </c>
      <c r="BZ40" s="136">
        <f>IF(AN40&gt;0,(BR40^2),"")</f>
        <v/>
      </c>
    </row>
    <row r="41" ht="25.5" customHeight="1" s="444">
      <c r="A41" s="340" t="inlineStr">
        <is>
          <t>Verniciatura</t>
        </is>
      </c>
      <c r="B41" s="65" t="inlineStr">
        <is>
          <t>D16</t>
        </is>
      </c>
      <c r="C41" s="78" t="inlineStr">
        <is>
          <t>Assistenza durante fase di puizia pezzi con aria compressa</t>
        </is>
      </c>
      <c r="D41" s="83" t="inlineStr">
        <is>
          <t>/</t>
        </is>
      </c>
      <c r="E41" s="83" t="inlineStr">
        <is>
          <t>/</t>
        </is>
      </c>
      <c r="F41" s="78" t="inlineStr">
        <is>
          <t>Assistenza durante fase di puizia pezzi con aria compressa</t>
        </is>
      </c>
      <c r="G41" s="71" t="n">
        <v>46003</v>
      </c>
      <c r="H41" s="77" t="inlineStr">
        <is>
          <t>Compito</t>
        </is>
      </c>
      <c r="I41" s="77">
        <f>IF((V41-R41)&gt;3,"SI","")</f>
        <v/>
      </c>
      <c r="J41" s="77">
        <f>IF((U41-R41)&gt;3,"SI","")</f>
        <v/>
      </c>
      <c r="K41" s="77" t="n"/>
      <c r="L41" s="77" t="n"/>
      <c r="M41" s="137">
        <f>IF(R41&gt;0,(SQRT(BT41*(SUM(BU41:BZ41)))),"")</f>
        <v/>
      </c>
      <c r="N41" s="4">
        <f>IF(T41&gt;0,(MAX(T41,Z41,AD41,AH41,AL41,AP41))+SQRT(1.2^2+1^2),"")</f>
        <v/>
      </c>
      <c r="O41" s="3">
        <f>IF(R41="",0,10*LOG10(SUM(BG41:BL41)/(COUNT(R41,X41,AB41,AF41,AJ41,AN41))))</f>
        <v/>
      </c>
      <c r="P41" s="5">
        <f>IF(AND(Y41="",AC41="",AG41="",AK41="",AO41=""),S41,AVERAGE(S41,Y41,AC41,AG41,AK41,AO41)+STDEV(S41,Y41,AC41,AG41,AK41,AO41))</f>
        <v/>
      </c>
      <c r="Q41" s="14" t="n">
        <v>300</v>
      </c>
      <c r="R41" s="11" t="n">
        <v>84.3</v>
      </c>
      <c r="S41" s="12" t="n">
        <v>84.5</v>
      </c>
      <c r="T41" s="13" t="n">
        <v>112.6</v>
      </c>
      <c r="U41" s="79" t="n">
        <v>84.2</v>
      </c>
      <c r="V41" s="79" t="n">
        <v>87.5</v>
      </c>
      <c r="W41" s="10" t="n">
        <v>300</v>
      </c>
      <c r="X41" s="11" t="n">
        <v>82.2</v>
      </c>
      <c r="Y41" s="12" t="n">
        <v>83.09999999999999</v>
      </c>
      <c r="Z41" s="13" t="n">
        <v>117.7</v>
      </c>
      <c r="AA41" s="10" t="n">
        <v>300</v>
      </c>
      <c r="AB41" s="11" t="n">
        <v>82.7</v>
      </c>
      <c r="AC41" s="12" t="n">
        <v>83.59999999999999</v>
      </c>
      <c r="AD41" s="13" t="n">
        <v>113.7</v>
      </c>
      <c r="AE41" s="14" t="n">
        <v>300</v>
      </c>
      <c r="AF41" s="11" t="n">
        <v>85.40000000000001</v>
      </c>
      <c r="AG41" s="12" t="n">
        <v>85.5</v>
      </c>
      <c r="AH41" s="13" t="n">
        <v>119.2</v>
      </c>
      <c r="AI41" s="10" t="n">
        <v>300</v>
      </c>
      <c r="AJ41" s="11" t="n">
        <v>85.90000000000001</v>
      </c>
      <c r="AK41" s="12" t="n">
        <v>86</v>
      </c>
      <c r="AL41" s="13" t="n">
        <v>112</v>
      </c>
      <c r="AM41" s="10" t="n">
        <v>300</v>
      </c>
      <c r="AN41" s="11" t="n">
        <v>79.09999999999999</v>
      </c>
      <c r="AO41" s="12" t="n">
        <v>82.40000000000001</v>
      </c>
      <c r="AP41" s="13" t="n">
        <v>113.2</v>
      </c>
      <c r="AQ41" s="6">
        <f>IF(AND((O41)&lt;85,N41&lt;137),"NO","SI")</f>
        <v/>
      </c>
      <c r="AR41" s="7">
        <f>IF((480*(10^(7.95-(O41/10))))&lt;480,480*(10^(7.95-(O41/10))),480)</f>
        <v/>
      </c>
      <c r="AS41" s="8">
        <f>IF((480*(10^(8.45-(O41/10))))&lt;480,480*(10^(8.45-(O41/10))),480)</f>
        <v/>
      </c>
      <c r="AT41" s="9">
        <f>IF((480*(10^(8.65-(O41/10))))&lt;480,480*(10^(8.65-(O41/10))),480)</f>
        <v/>
      </c>
      <c r="AU41" s="111">
        <f>IF(O41&lt;80,"0",IF((P41-O41)&lt;=2,('DPI art.191'!$G$3-(('DPI art.191'!$F$3-'DPI art.191'!$G$3)/4)*(P41-O41-2)),('DPI art.191'!$G$3-(('DPI art.191'!$G$3-'DPI art.191'!$H$3)/8)*(P41-O41-2))))</f>
        <v/>
      </c>
      <c r="AV41" s="24">
        <f>O41-AU41</f>
        <v/>
      </c>
      <c r="AW41" s="24">
        <f>IF(N41&lt;135,N41,N41-'DPI art.191'!$I$3)</f>
        <v/>
      </c>
      <c r="AX41" s="111">
        <f>IF(I41&lt;80,"0",IF((J41-I41)&lt;=2,('DPI art.191'!$G$7-(('DPI art.191'!$F$7-'DPI art.191'!$G$7)/4)*(I41-J41-2)),('DPI art.191'!$G$7-(('DPI art.191'!$G$7-'DPI art.191'!$H$7)/8)*(J41-I41-2))))</f>
        <v/>
      </c>
      <c r="AY41" s="24">
        <f>I41-AX41</f>
        <v/>
      </c>
      <c r="AZ41" s="24">
        <f>IF(H41&lt;135,H41,H41-'DPI art.191'!$I$7)</f>
        <v/>
      </c>
      <c r="BA41" s="111">
        <f>IF(O41&lt;80,"0",IF((P41-O41)&lt;=2,('DPI art.191'!$G$5-(('DPI art.191'!$F$5-'DPI art.191'!$G$5)/4)*(P41-O41-2)),('DPI art.191'!$G$5-(('DPI art.191'!$G$5-'DPI art.191'!$H$5)/8)*(P41-O41-2))))</f>
        <v/>
      </c>
      <c r="BB41" s="24">
        <f>R41-BA41</f>
        <v/>
      </c>
      <c r="BC41" s="24">
        <f>IF(N41&lt;135,N41,N41-'DPI art.191'!$I$5)</f>
        <v/>
      </c>
      <c r="BD41" s="111">
        <f>IF(O41&lt;80,"0",IF((P41-O41)&lt;=2,('DPI art.191'!$G$7-(('DPI art.191'!$F$7-'DPI art.191'!$G$7)/4)*(O41-P41-2)),('DPI art.191'!$G$7-(('DPI art.191'!$G$7-'DPI art.191'!$H$7)/8)*(P41-O41-2))))</f>
        <v/>
      </c>
      <c r="BE41" s="24">
        <f>O41-BD41</f>
        <v/>
      </c>
      <c r="BF41" s="24">
        <f>IF(N41&lt;135,N41,N41-'DPI art.191'!$I$7)</f>
        <v/>
      </c>
      <c r="BG41" s="108">
        <f>10^(0.1*R41)</f>
        <v/>
      </c>
      <c r="BH41" s="108">
        <f>10^(0.1*X41)</f>
        <v/>
      </c>
      <c r="BI41" s="108">
        <f>10^(0.1*AB41)</f>
        <v/>
      </c>
      <c r="BJ41" s="108">
        <f>10^(0.1*AF41)</f>
        <v/>
      </c>
      <c r="BK41" s="108">
        <f>10^(0.1*AJ41)</f>
        <v/>
      </c>
      <c r="BL41" s="108">
        <f>10^(0.1*AN41)</f>
        <v/>
      </c>
      <c r="BM41" s="106">
        <f>IF(R41&gt;0,(O41-R41),"")</f>
        <v/>
      </c>
      <c r="BN41" s="106">
        <f>IF(X41&gt;0,(O41-X41),"")</f>
        <v/>
      </c>
      <c r="BO41" s="106">
        <f>IF(AB41&gt;0,(O41-AB41),"")</f>
        <v/>
      </c>
      <c r="BP41" s="106">
        <f>IF(AF41&gt;0,(O41-AF41),"")</f>
        <v/>
      </c>
      <c r="BQ41" s="106">
        <f>IF(AJ41&gt;0,(O41-AJ41),"")</f>
        <v/>
      </c>
      <c r="BR41" s="106">
        <f>IF(AN41&gt;0,(O41-AN41),"")</f>
        <v/>
      </c>
      <c r="BS41" s="106">
        <f>COUNT(BM41:BR41)</f>
        <v/>
      </c>
      <c r="BT41" s="464">
        <f>IF(BS41=0,0,IF(BS41=1,0,1/(BS41*(BS41-1))))</f>
        <v/>
      </c>
      <c r="BU41" s="136">
        <f>IF(R41&gt;0,(BM41^2),"")</f>
        <v/>
      </c>
      <c r="BV41" s="136">
        <f>IF(X41&gt;0,(BN41^2),"")</f>
        <v/>
      </c>
      <c r="BW41" s="136">
        <f>IF(AB41&gt;0,(BO41^2),"")</f>
        <v/>
      </c>
      <c r="BX41" s="136">
        <f>IF(AF41&gt;0,(BP41^2),"")</f>
        <v/>
      </c>
      <c r="BY41" s="136">
        <f>IF(AJ41&gt;0,(BQ41^2),"")</f>
        <v/>
      </c>
      <c r="BZ41" s="136">
        <f>IF(AN41&gt;0,(BR41^2),"")</f>
        <v/>
      </c>
    </row>
    <row r="42" ht="25.5" customHeight="1" s="444">
      <c r="A42" s="340" t="inlineStr">
        <is>
          <t>Verniciatura</t>
        </is>
      </c>
      <c r="B42" s="65" t="inlineStr">
        <is>
          <t>D17</t>
        </is>
      </c>
      <c r="C42" s="78" t="inlineStr">
        <is>
          <t>Movimentazione pezzi in uscita dalla verniciatura</t>
        </is>
      </c>
      <c r="D42" s="83" t="inlineStr">
        <is>
          <t>/</t>
        </is>
      </c>
      <c r="E42" s="83" t="inlineStr">
        <is>
          <t>/</t>
        </is>
      </c>
      <c r="F42" s="78" t="inlineStr">
        <is>
          <t>Movimentazione pezzi in uscita dalla verniciatura</t>
        </is>
      </c>
      <c r="G42" s="71" t="n">
        <v>46003</v>
      </c>
      <c r="H42" s="77" t="inlineStr">
        <is>
          <t>Compito</t>
        </is>
      </c>
      <c r="I42" s="77">
        <f>IF((V42-R42)&gt;3,"SI","")</f>
        <v/>
      </c>
      <c r="J42" s="77" t="inlineStr">
        <is>
          <t>SI</t>
        </is>
      </c>
      <c r="K42" s="77" t="n"/>
      <c r="L42" s="77" t="n"/>
      <c r="M42" s="137">
        <f>IF(R42&gt;0,(SQRT(BT42*(SUM(BU42:BZ42)))),"")</f>
        <v/>
      </c>
      <c r="N42" s="4">
        <f>IF(T42&gt;0,(MAX(T42,Z42,AD42,AH42,AL42,AP42))+SQRT(1.2^2+1^2),"")</f>
        <v/>
      </c>
      <c r="O42" s="3">
        <f>IF(R42="",0,10*LOG10(SUM(BG42:BL42)/(COUNT(R42,X42,AB42,AF42,AJ42,AN42))))</f>
        <v/>
      </c>
      <c r="P42" s="5">
        <f>IF(AND(Y42="",AC42="",AG42="",AK42="",AO42=""),S42,AVERAGE(S42,Y42,AC42,AG42,AK42,AO42)+STDEV(S42,Y42,AC42,AG42,AK42,AO42))</f>
        <v/>
      </c>
      <c r="Q42" s="14" t="n">
        <v>300</v>
      </c>
      <c r="R42" s="11" t="n">
        <v>77.09999999999999</v>
      </c>
      <c r="S42" s="12" t="n">
        <v>77.8</v>
      </c>
      <c r="T42" s="13" t="n">
        <v>94.40000000000001</v>
      </c>
      <c r="U42" s="79" t="n">
        <v>77.09999999999999</v>
      </c>
      <c r="V42" s="79" t="n">
        <v>78.7</v>
      </c>
      <c r="W42" s="10" t="n">
        <v>300</v>
      </c>
      <c r="X42" s="11" t="n">
        <v>76.5</v>
      </c>
      <c r="Y42" s="12" t="n">
        <v>77.2</v>
      </c>
      <c r="Z42" s="13" t="n">
        <v>92.5</v>
      </c>
      <c r="AA42" s="10" t="n">
        <v>300</v>
      </c>
      <c r="AB42" s="11" t="n">
        <v>77.40000000000001</v>
      </c>
      <c r="AC42" s="12" t="n">
        <v>77.5</v>
      </c>
      <c r="AD42" s="13" t="n">
        <v>94.40000000000001</v>
      </c>
      <c r="AE42" s="14" t="n">
        <v>300</v>
      </c>
      <c r="AF42" s="11" t="n">
        <v>75.2</v>
      </c>
      <c r="AG42" s="12" t="n">
        <v>75.8</v>
      </c>
      <c r="AH42" s="13" t="n">
        <v>97.59999999999999</v>
      </c>
      <c r="AI42" s="10" t="n">
        <v>300</v>
      </c>
      <c r="AJ42" s="11" t="n">
        <v>73.40000000000001</v>
      </c>
      <c r="AK42" s="12" t="n">
        <v>71.40000000000001</v>
      </c>
      <c r="AL42" s="13" t="n">
        <v>87.59999999999999</v>
      </c>
      <c r="AM42" s="10" t="n">
        <v>300</v>
      </c>
      <c r="AN42" s="11" t="n">
        <v>75.59999999999999</v>
      </c>
      <c r="AO42" s="12" t="n">
        <v>73.8</v>
      </c>
      <c r="AP42" s="13" t="n">
        <v>96.09999999999999</v>
      </c>
      <c r="AQ42" s="6">
        <f>IF(AND((O42)&lt;85,N42&lt;137),"NO","SI")</f>
        <v/>
      </c>
      <c r="AR42" s="7">
        <f>IF((480*(10^(7.95-(O42/10))))&lt;480,480*(10^(7.95-(O42/10))),480)</f>
        <v/>
      </c>
      <c r="AS42" s="8">
        <f>IF((480*(10^(8.45-(O42/10))))&lt;480,480*(10^(8.45-(O42/10))),480)</f>
        <v/>
      </c>
      <c r="AT42" s="9">
        <f>IF((480*(10^(8.65-(O42/10))))&lt;480,480*(10^(8.65-(O42/10))),480)</f>
        <v/>
      </c>
      <c r="AU42" s="111">
        <f>IF(O42&lt;80,"0",IF((P42-O42)&lt;=2,('DPI art.191'!$G$3-(('DPI art.191'!$F$3-'DPI art.191'!$G$3)/4)*(P42-O42-2)),('DPI art.191'!$G$3-(('DPI art.191'!$G$3-'DPI art.191'!$H$3)/8)*(P42-O42-2))))</f>
        <v/>
      </c>
      <c r="AV42" s="24">
        <f>O42-AU42</f>
        <v/>
      </c>
      <c r="AW42" s="24">
        <f>IF(N42&lt;135,N42,N42-'DPI art.191'!$I$3)</f>
        <v/>
      </c>
      <c r="AX42" s="111">
        <f>IF(I42&lt;80,"0",IF((J42-I42)&lt;=2,('DPI art.191'!$G$7-(('DPI art.191'!$F$7-'DPI art.191'!$G$7)/4)*(I42-J42-2)),('DPI art.191'!$G$7-(('DPI art.191'!$G$7-'DPI art.191'!$H$7)/8)*(J42-I42-2))))</f>
        <v/>
      </c>
      <c r="AY42" s="24">
        <f>I42-AX42</f>
        <v/>
      </c>
      <c r="AZ42" s="24">
        <f>IF(H42&lt;135,H42,H42-'DPI art.191'!$I$7)</f>
        <v/>
      </c>
      <c r="BA42" s="111">
        <f>IF(O42&lt;80,"0",IF((P42-O42)&lt;=2,('DPI art.191'!$G$5-(('DPI art.191'!$F$5-'DPI art.191'!$G$5)/4)*(P42-O42-2)),('DPI art.191'!$G$5-(('DPI art.191'!$G$5-'DPI art.191'!$H$5)/8)*(P42-O42-2))))</f>
        <v/>
      </c>
      <c r="BB42" s="24">
        <f>R42-BA42</f>
        <v/>
      </c>
      <c r="BC42" s="24">
        <f>IF(N42&lt;135,N42,N42-'DPI art.191'!$I$5)</f>
        <v/>
      </c>
      <c r="BD42" s="111">
        <f>IF(O42&lt;80,"0",IF((P42-O42)&lt;=2,('DPI art.191'!$G$7-(('DPI art.191'!$F$7-'DPI art.191'!$G$7)/4)*(O42-P42-2)),('DPI art.191'!$G$7-(('DPI art.191'!$G$7-'DPI art.191'!$H$7)/8)*(P42-O42-2))))</f>
        <v/>
      </c>
      <c r="BE42" s="24">
        <f>O42-BD42</f>
        <v/>
      </c>
      <c r="BF42" s="24">
        <f>IF(N42&lt;135,N42,N42-'DPI art.191'!$I$7)</f>
        <v/>
      </c>
      <c r="BG42" s="108">
        <f>10^(0.1*R42)</f>
        <v/>
      </c>
      <c r="BH42" s="108">
        <f>10^(0.1*X42)</f>
        <v/>
      </c>
      <c r="BI42" s="108">
        <f>10^(0.1*AB42)</f>
        <v/>
      </c>
      <c r="BJ42" s="108">
        <f>10^(0.1*AF42)</f>
        <v/>
      </c>
      <c r="BK42" s="108">
        <f>10^(0.1*AJ42)</f>
        <v/>
      </c>
      <c r="BL42" s="108">
        <f>10^(0.1*AN42)</f>
        <v/>
      </c>
      <c r="BM42" s="106">
        <f>IF(R42&gt;0,(O42-R42),"")</f>
        <v/>
      </c>
      <c r="BN42" s="106">
        <f>IF(X42&gt;0,(O42-X42),"")</f>
        <v/>
      </c>
      <c r="BO42" s="106">
        <f>IF(AB42&gt;0,(O42-AB42),"")</f>
        <v/>
      </c>
      <c r="BP42" s="106">
        <f>IF(AF42&gt;0,(O42-AF42),"")</f>
        <v/>
      </c>
      <c r="BQ42" s="106">
        <f>IF(AJ42&gt;0,(O42-AJ42),"")</f>
        <v/>
      </c>
      <c r="BR42" s="106">
        <f>IF(AN42&gt;0,(O42-AN42),"")</f>
        <v/>
      </c>
      <c r="BS42" s="106">
        <f>COUNT(BM42:BR42)</f>
        <v/>
      </c>
      <c r="BT42" s="464">
        <f>IF(BS42=0,0,IF(BS42=1,0,1/(BS42*(BS42-1))))</f>
        <v/>
      </c>
      <c r="BU42" s="136">
        <f>IF(R42&gt;0,(BM42^2),"")</f>
        <v/>
      </c>
      <c r="BV42" s="136">
        <f>IF(X42&gt;0,(BN42^2),"")</f>
        <v/>
      </c>
      <c r="BW42" s="136">
        <f>IF(AB42&gt;0,(BO42^2),"")</f>
        <v/>
      </c>
      <c r="BX42" s="136">
        <f>IF(AF42&gt;0,(BP42^2),"")</f>
        <v/>
      </c>
      <c r="BY42" s="136">
        <f>IF(AJ42&gt;0,(BQ42^2),"")</f>
        <v/>
      </c>
      <c r="BZ42" s="136">
        <f>IF(AN42&gt;0,(BR42^2),"")</f>
        <v/>
      </c>
    </row>
    <row r="43" ht="25.5" customHeight="1" s="444">
      <c r="A43" s="340" t="inlineStr">
        <is>
          <t>Gualdo 1</t>
        </is>
      </c>
      <c r="B43" s="65" t="inlineStr">
        <is>
          <t>D18</t>
        </is>
      </c>
      <c r="C43" s="78" t="inlineStr">
        <is>
          <t>Movimentazione in piazzale esterno</t>
        </is>
      </c>
      <c r="D43" s="83" t="inlineStr">
        <is>
          <t>/</t>
        </is>
      </c>
      <c r="E43" s="83" t="inlineStr">
        <is>
          <t>/</t>
        </is>
      </c>
      <c r="F43" s="78" t="inlineStr">
        <is>
          <t>Movimentazioni in piazzale esterno</t>
        </is>
      </c>
      <c r="G43" s="71" t="n">
        <v>46003</v>
      </c>
      <c r="H43" s="77" t="inlineStr">
        <is>
          <t>Compito</t>
        </is>
      </c>
      <c r="I43" s="77">
        <f>IF((V43-R43)&gt;3,"SI","")</f>
        <v/>
      </c>
      <c r="J43" s="77" t="inlineStr">
        <is>
          <t>SI</t>
        </is>
      </c>
      <c r="K43" s="77" t="n"/>
      <c r="L43" s="77" t="n"/>
      <c r="M43" s="137">
        <f>IF(R43&gt;0,(SQRT(BT43*(SUM(BU43:BZ43)))),"")</f>
        <v/>
      </c>
      <c r="N43" s="4">
        <f>IF(T43&gt;0,(MAX(T43,Z43,AD43,AH43,AL43,AP43))+SQRT(1.2^2+1^2),"")</f>
        <v/>
      </c>
      <c r="O43" s="3">
        <f>IF(R43="",0,10*LOG10(SUM(BG43:BL43)/(COUNT(R43,X43,AB43,AF43,AJ43,AN43))))</f>
        <v/>
      </c>
      <c r="P43" s="5">
        <f>IF(AND(Y43="",AC43="",AG43="",AK43="",AO43=""),S43,AVERAGE(S43,Y43,AC43,AG43,AK43,AO43)+STDEV(S43,Y43,AC43,AG43,AK43,AO43))</f>
        <v/>
      </c>
      <c r="Q43" s="14" t="n">
        <v>300</v>
      </c>
      <c r="R43" s="11" t="n">
        <v>81.09999999999999</v>
      </c>
      <c r="S43" s="12" t="n">
        <v>83.09999999999999</v>
      </c>
      <c r="T43" s="13" t="n">
        <v>98.7</v>
      </c>
      <c r="U43" s="79" t="n">
        <v>80.7</v>
      </c>
      <c r="V43" s="79" t="n">
        <v>83.09999999999999</v>
      </c>
      <c r="W43" s="10" t="n">
        <v>300</v>
      </c>
      <c r="X43" s="11" t="n">
        <v>83.5</v>
      </c>
      <c r="Y43" s="12" t="n">
        <v>85.7</v>
      </c>
      <c r="Z43" s="13" t="n">
        <v>100.3</v>
      </c>
      <c r="AA43" s="10" t="n">
        <v>300</v>
      </c>
      <c r="AB43" s="11" t="n">
        <v>78.90000000000001</v>
      </c>
      <c r="AC43" s="12" t="n">
        <v>80.3</v>
      </c>
      <c r="AD43" s="13" t="n">
        <v>97.7</v>
      </c>
      <c r="AE43" s="14" t="n">
        <v>300</v>
      </c>
      <c r="AF43" s="11" t="n">
        <v>78.5</v>
      </c>
      <c r="AG43" s="12" t="n">
        <v>79.5</v>
      </c>
      <c r="AH43" s="13" t="n">
        <v>94.2</v>
      </c>
      <c r="AI43" s="10" t="n">
        <v>300</v>
      </c>
      <c r="AJ43" s="11" t="n">
        <v>73.5</v>
      </c>
      <c r="AK43" s="12" t="n">
        <v>76</v>
      </c>
      <c r="AL43" s="13" t="n">
        <v>92</v>
      </c>
      <c r="AM43" s="10" t="n">
        <v>300</v>
      </c>
      <c r="AN43" s="11" t="n">
        <v>68.7</v>
      </c>
      <c r="AO43" s="12" t="n">
        <v>75.2</v>
      </c>
      <c r="AP43" s="13" t="n">
        <v>96.90000000000001</v>
      </c>
      <c r="AQ43" s="6">
        <f>IF(AND((O43)&lt;85,N43&lt;137),"NO","SI")</f>
        <v/>
      </c>
      <c r="AR43" s="7">
        <f>IF((480*(10^(7.95-(O43/10))))&lt;480,480*(10^(7.95-(O43/10))),480)</f>
        <v/>
      </c>
      <c r="AS43" s="8">
        <f>IF((480*(10^(8.45-(O43/10))))&lt;480,480*(10^(8.45-(O43/10))),480)</f>
        <v/>
      </c>
      <c r="AT43" s="9">
        <f>IF((480*(10^(8.65-(O43/10))))&lt;480,480*(10^(8.65-(O43/10))),480)</f>
        <v/>
      </c>
      <c r="AU43" s="111">
        <f>IF(O43&lt;80,"0",IF((P43-O43)&lt;=2,('DPI art.191'!$G$3-(('DPI art.191'!$F$3-'DPI art.191'!$G$3)/4)*(P43-O43-2)),('DPI art.191'!$G$3-(('DPI art.191'!$G$3-'DPI art.191'!$H$3)/8)*(P43-O43-2))))</f>
        <v/>
      </c>
      <c r="AV43" s="24">
        <f>O43-AU43</f>
        <v/>
      </c>
      <c r="AW43" s="24">
        <f>IF(N43&lt;135,N43,N43-'DPI art.191'!$I$3)</f>
        <v/>
      </c>
      <c r="AX43" s="111">
        <f>IF(I43&lt;80,"0",IF((J43-I43)&lt;=2,('DPI art.191'!$G$7-(('DPI art.191'!$F$7-'DPI art.191'!$G$7)/4)*(I43-J43-2)),('DPI art.191'!$G$7-(('DPI art.191'!$G$7-'DPI art.191'!$H$7)/8)*(J43-I43-2))))</f>
        <v/>
      </c>
      <c r="AY43" s="24">
        <f>I43-AX43</f>
        <v/>
      </c>
      <c r="AZ43" s="24">
        <f>IF(H43&lt;135,H43,H43-'DPI art.191'!$I$7)</f>
        <v/>
      </c>
      <c r="BA43" s="111">
        <f>IF(O43&lt;80,"0",IF((P43-O43)&lt;=2,('DPI art.191'!$G$5-(('DPI art.191'!$F$5-'DPI art.191'!$G$5)/4)*(P43-O43-2)),('DPI art.191'!$G$5-(('DPI art.191'!$G$5-'DPI art.191'!$H$5)/8)*(P43-O43-2))))</f>
        <v/>
      </c>
      <c r="BB43" s="24">
        <f>R43-BA43</f>
        <v/>
      </c>
      <c r="BC43" s="24">
        <f>IF(N43&lt;135,N43,N43-'DPI art.191'!$I$5)</f>
        <v/>
      </c>
      <c r="BD43" s="111">
        <f>IF(O43&lt;80,"0",IF((P43-O43)&lt;=2,('DPI art.191'!$G$7-(('DPI art.191'!$F$7-'DPI art.191'!$G$7)/4)*(O43-P43-2)),('DPI art.191'!$G$7-(('DPI art.191'!$G$7-'DPI art.191'!$H$7)/8)*(P43-O43-2))))</f>
        <v/>
      </c>
      <c r="BE43" s="24">
        <f>O43-BD43</f>
        <v/>
      </c>
      <c r="BF43" s="24">
        <f>IF(N43&lt;135,N43,N43-'DPI art.191'!$I$7)</f>
        <v/>
      </c>
      <c r="BG43" s="108">
        <f>10^(0.1*R43)</f>
        <v/>
      </c>
      <c r="BH43" s="108">
        <f>10^(0.1*X43)</f>
        <v/>
      </c>
      <c r="BI43" s="108">
        <f>10^(0.1*AB43)</f>
        <v/>
      </c>
      <c r="BJ43" s="108">
        <f>10^(0.1*AF43)</f>
        <v/>
      </c>
      <c r="BK43" s="108">
        <f>10^(0.1*AJ43)</f>
        <v/>
      </c>
      <c r="BL43" s="108">
        <f>10^(0.1*AN43)</f>
        <v/>
      </c>
      <c r="BM43" s="106">
        <f>IF(R43&gt;0,(O43-R43),"")</f>
        <v/>
      </c>
      <c r="BN43" s="106">
        <f>IF(X43&gt;0,(O43-X43),"")</f>
        <v/>
      </c>
      <c r="BO43" s="106">
        <f>IF(AB43&gt;0,(O43-AB43),"")</f>
        <v/>
      </c>
      <c r="BP43" s="106">
        <f>IF(AF43&gt;0,(O43-AF43),"")</f>
        <v/>
      </c>
      <c r="BQ43" s="106">
        <f>IF(AJ43&gt;0,(O43-AJ43),"")</f>
        <v/>
      </c>
      <c r="BR43" s="106">
        <f>IF(AN43&gt;0,(O43-AN43),"")</f>
        <v/>
      </c>
      <c r="BS43" s="106">
        <f>COUNT(BM43:BR43)</f>
        <v/>
      </c>
      <c r="BT43" s="464">
        <f>IF(BS43=0,0,IF(BS43=1,0,1/(BS43*(BS43-1))))</f>
        <v/>
      </c>
      <c r="BU43" s="136">
        <f>IF(R43&gt;0,(BM43^2),"")</f>
        <v/>
      </c>
      <c r="BV43" s="136">
        <f>IF(X43&gt;0,(BN43^2),"")</f>
        <v/>
      </c>
      <c r="BW43" s="136">
        <f>IF(AB43&gt;0,(BO43^2),"")</f>
        <v/>
      </c>
      <c r="BX43" s="136">
        <f>IF(AF43&gt;0,(BP43^2),"")</f>
        <v/>
      </c>
      <c r="BY43" s="136">
        <f>IF(AJ43&gt;0,(BQ43^2),"")</f>
        <v/>
      </c>
      <c r="BZ43" s="136">
        <f>IF(AN43&gt;0,(BR43^2),"")</f>
        <v/>
      </c>
    </row>
    <row r="44" ht="25.5" customHeight="1" s="444">
      <c r="A44" s="340" t="inlineStr">
        <is>
          <t>037/ED15</t>
        </is>
      </c>
      <c r="B44" s="65" t="inlineStr">
        <is>
          <t>D19</t>
        </is>
      </c>
      <c r="C44" s="78" t="inlineStr">
        <is>
          <t>Gru a torre</t>
        </is>
      </c>
      <c r="D44" s="83" t="inlineStr">
        <is>
          <t>TEREX-COMEDIL</t>
        </is>
      </c>
      <c r="E44" s="83" t="inlineStr">
        <is>
          <t>CTT 141/A</t>
        </is>
      </c>
      <c r="F44" s="78" t="inlineStr">
        <is>
          <t>Movimentazioni in piazzale esterno con gru a torre</t>
        </is>
      </c>
      <c r="G44" s="71" t="n">
        <v>46003</v>
      </c>
      <c r="H44" s="77" t="inlineStr">
        <is>
          <t>Compito</t>
        </is>
      </c>
      <c r="I44" s="77">
        <f>IF((V44-R44)&gt;3,"SI","")</f>
        <v/>
      </c>
      <c r="J44" s="77">
        <f>IF((U44-R44)&gt;3,"SI","")</f>
        <v/>
      </c>
      <c r="K44" s="77" t="n"/>
      <c r="L44" s="77" t="n"/>
      <c r="M44" s="137">
        <f>IF(R44&gt;0,(SQRT(BT44*(SUM(BU44:BZ44)))),"")</f>
        <v/>
      </c>
      <c r="N44" s="4">
        <f>IF(T44&gt;0,(MAX(T44,Z44,AD44,AH44,AL44,AP44))+SQRT(1.2^2+1^2),"")</f>
        <v/>
      </c>
      <c r="O44" s="3">
        <f>IF(R44="",0,10*LOG10(SUM(BG44:BL44)/(COUNT(R44,X44,AB44,AF44,AJ44,AN44))))</f>
        <v/>
      </c>
      <c r="P44" s="5">
        <f>IF(AND(Y44="",AC44="",AG44="",AK44="",AO44=""),S44,AVERAGE(S44,Y44,AC44,AG44,AK44,AO44)+STDEV(S44,Y44,AC44,AG44,AK44,AO44))</f>
        <v/>
      </c>
      <c r="Q44" s="14" t="n">
        <v>300</v>
      </c>
      <c r="R44" s="11" t="n">
        <v>66.90000000000001</v>
      </c>
      <c r="S44" s="12" t="n">
        <v>75</v>
      </c>
      <c r="T44" s="13" t="n">
        <v>99.59999999999999</v>
      </c>
      <c r="U44" s="79" t="n">
        <v>66.90000000000001</v>
      </c>
      <c r="V44" s="79" t="n">
        <v>72.5</v>
      </c>
      <c r="W44" s="10" t="n">
        <v>300</v>
      </c>
      <c r="X44" s="11" t="n">
        <v>69.5</v>
      </c>
      <c r="Y44" s="12" t="n">
        <v>77.09999999999999</v>
      </c>
      <c r="Z44" s="13" t="n">
        <v>101.5</v>
      </c>
      <c r="AA44" s="10" t="n">
        <v>300</v>
      </c>
      <c r="AB44" s="11" t="n">
        <v>62.3</v>
      </c>
      <c r="AC44" s="12" t="n">
        <v>74.40000000000001</v>
      </c>
      <c r="AD44" s="13" t="n">
        <v>100.6</v>
      </c>
      <c r="AE44" s="14" t="n">
        <v>300</v>
      </c>
      <c r="AF44" s="11" t="n">
        <v>63</v>
      </c>
      <c r="AG44" s="12" t="n">
        <v>75.7</v>
      </c>
      <c r="AH44" s="13" t="n">
        <v>103.6</v>
      </c>
      <c r="AI44" s="10" t="n">
        <v>300</v>
      </c>
      <c r="AJ44" s="11" t="n">
        <v>58.9</v>
      </c>
      <c r="AK44" s="12" t="n">
        <v>72.8</v>
      </c>
      <c r="AL44" s="13" t="n">
        <v>102.1</v>
      </c>
      <c r="AM44" s="10" t="n">
        <v>300</v>
      </c>
      <c r="AN44" s="11" t="n">
        <v>58.9</v>
      </c>
      <c r="AO44" s="12" t="n">
        <v>72.59999999999999</v>
      </c>
      <c r="AP44" s="13" t="n">
        <v>89.8</v>
      </c>
      <c r="AQ44" s="6">
        <f>IF(AND((O44)&lt;85,N44&lt;137),"NO","SI")</f>
        <v/>
      </c>
      <c r="AR44" s="7">
        <f>IF((480*(10^(7.95-(O44/10))))&lt;480,480*(10^(7.95-(O44/10))),480)</f>
        <v/>
      </c>
      <c r="AS44" s="8">
        <f>IF((480*(10^(8.45-(O44/10))))&lt;480,480*(10^(8.45-(O44/10))),480)</f>
        <v/>
      </c>
      <c r="AT44" s="9">
        <f>IF((480*(10^(8.65-(O44/10))))&lt;480,480*(10^(8.65-(O44/10))),480)</f>
        <v/>
      </c>
      <c r="AU44" s="111">
        <f>IF(O44&lt;80,"0",IF((P44-O44)&lt;=2,('DPI art.191'!$G$3-(('DPI art.191'!$F$3-'DPI art.191'!$G$3)/4)*(P44-O44-2)),('DPI art.191'!$G$3-(('DPI art.191'!$G$3-'DPI art.191'!$H$3)/8)*(P44-O44-2))))</f>
        <v/>
      </c>
      <c r="AV44" s="24">
        <f>O44-AU44</f>
        <v/>
      </c>
      <c r="AW44" s="24">
        <f>IF(N44&lt;135,N44,N44-'DPI art.191'!$I$3)</f>
        <v/>
      </c>
      <c r="AX44" s="111">
        <f>IF(I44&lt;80,"0",IF((J44-I44)&lt;=2,('DPI art.191'!$G$7-(('DPI art.191'!$F$7-'DPI art.191'!$G$7)/4)*(I44-J44-2)),('DPI art.191'!$G$7-(('DPI art.191'!$G$7-'DPI art.191'!$H$7)/8)*(J44-I44-2))))</f>
        <v/>
      </c>
      <c r="AY44" s="24">
        <f>I44-AX44</f>
        <v/>
      </c>
      <c r="AZ44" s="24">
        <f>IF(H44&lt;135,H44,H44-'DPI art.191'!$I$7)</f>
        <v/>
      </c>
      <c r="BA44" s="111">
        <f>IF(O44&lt;80,"0",IF((P44-O44)&lt;=2,('DPI art.191'!$G$5-(('DPI art.191'!$F$5-'DPI art.191'!$G$5)/4)*(P44-O44-2)),('DPI art.191'!$G$5-(('DPI art.191'!$G$5-'DPI art.191'!$H$5)/8)*(P44-O44-2))))</f>
        <v/>
      </c>
      <c r="BB44" s="24">
        <f>R44-BA44</f>
        <v/>
      </c>
      <c r="BC44" s="24">
        <f>IF(N44&lt;135,N44,N44-'DPI art.191'!$I$5)</f>
        <v/>
      </c>
      <c r="BD44" s="111">
        <f>IF(O44&lt;80,"0",IF((P44-O44)&lt;=2,('DPI art.191'!$G$7-(('DPI art.191'!$F$7-'DPI art.191'!$G$7)/4)*(O44-P44-2)),('DPI art.191'!$G$7-(('DPI art.191'!$G$7-'DPI art.191'!$H$7)/8)*(P44-O44-2))))</f>
        <v/>
      </c>
      <c r="BE44" s="24">
        <f>O44-BD44</f>
        <v/>
      </c>
      <c r="BF44" s="24">
        <f>IF(N44&lt;135,N44,N44-'DPI art.191'!$I$7)</f>
        <v/>
      </c>
      <c r="BG44" s="108">
        <f>10^(0.1*R44)</f>
        <v/>
      </c>
      <c r="BH44" s="108">
        <f>10^(0.1*X44)</f>
        <v/>
      </c>
      <c r="BI44" s="108">
        <f>10^(0.1*AB44)</f>
        <v/>
      </c>
      <c r="BJ44" s="108">
        <f>10^(0.1*AF44)</f>
        <v/>
      </c>
      <c r="BK44" s="108">
        <f>10^(0.1*AJ44)</f>
        <v/>
      </c>
      <c r="BL44" s="108">
        <f>10^(0.1*AN44)</f>
        <v/>
      </c>
      <c r="BM44" s="106">
        <f>IF(R44&gt;0,(O44-R44),"")</f>
        <v/>
      </c>
      <c r="BN44" s="106">
        <f>IF(X44&gt;0,(O44-X44),"")</f>
        <v/>
      </c>
      <c r="BO44" s="106">
        <f>IF(AB44&gt;0,(O44-AB44),"")</f>
        <v/>
      </c>
      <c r="BP44" s="106">
        <f>IF(AF44&gt;0,(O44-AF44),"")</f>
        <v/>
      </c>
      <c r="BQ44" s="106">
        <f>IF(AJ44&gt;0,(O44-AJ44),"")</f>
        <v/>
      </c>
      <c r="BR44" s="106">
        <f>IF(AN44&gt;0,(O44-AN44),"")</f>
        <v/>
      </c>
      <c r="BS44" s="106">
        <f>COUNT(BM44:BR44)</f>
        <v/>
      </c>
      <c r="BT44" s="464">
        <f>IF(BS44=0,0,IF(BS44=1,0,1/(BS44*(BS44-1))))</f>
        <v/>
      </c>
      <c r="BU44" s="136">
        <f>IF(R44&gt;0,(BM44^2),"")</f>
        <v/>
      </c>
      <c r="BV44" s="136">
        <f>IF(X44&gt;0,(BN44^2),"")</f>
        <v/>
      </c>
      <c r="BW44" s="136">
        <f>IF(AB44&gt;0,(BO44^2),"")</f>
        <v/>
      </c>
      <c r="BX44" s="136">
        <f>IF(AF44&gt;0,(BP44^2),"")</f>
        <v/>
      </c>
      <c r="BY44" s="136">
        <f>IF(AJ44&gt;0,(BQ44^2),"")</f>
        <v/>
      </c>
      <c r="BZ44" s="136">
        <f>IF(AN44&gt;0,(BR44^2),"")</f>
        <v/>
      </c>
    </row>
    <row r="45" ht="25.5" customHeight="1" s="444">
      <c r="A45" s="340" t="inlineStr">
        <is>
          <t>024/B/PRS726</t>
        </is>
      </c>
      <c r="B45" s="65" t="inlineStr">
        <is>
          <t>E1</t>
        </is>
      </c>
      <c r="C45" s="78" t="inlineStr">
        <is>
          <t>Saldatrice a filo</t>
        </is>
      </c>
      <c r="D45" s="83" t="inlineStr">
        <is>
          <t>ESAB</t>
        </is>
      </c>
      <c r="E45" s="83" t="inlineStr">
        <is>
          <t>LAW520W - MEK4S</t>
        </is>
      </c>
      <c r="F45" s="192" t="inlineStr">
        <is>
          <t>Saldatura - montaggio</t>
        </is>
      </c>
      <c r="G45" s="71" t="n">
        <v>45996</v>
      </c>
      <c r="H45" s="77" t="inlineStr">
        <is>
          <t>Compito</t>
        </is>
      </c>
      <c r="I45" s="77">
        <f>IF((V45-R45)&gt;3,"SI","")</f>
        <v/>
      </c>
      <c r="J45" s="77">
        <f>IF((U45-R45)&gt;3,"SI","")</f>
        <v/>
      </c>
      <c r="K45" s="77" t="n"/>
      <c r="L45" s="77" t="n"/>
      <c r="M45" s="137">
        <f>IF(R45&gt;0,(SQRT(BT45*(SUM(BU45:BZ45)))),"")</f>
        <v/>
      </c>
      <c r="N45" s="4">
        <f>IF(T45&gt;0,(MAX(T45,Z45,AD45,AH45,AL45,AP45))+SQRT(1.2^2+1^2),"")</f>
        <v/>
      </c>
      <c r="O45" s="3">
        <f>IF(R45="",0,10*LOG10(SUM(BG45:BL45)/(COUNT(R45,X45,AB45,AF45,AJ45,AN45))))</f>
        <v/>
      </c>
      <c r="P45" s="5">
        <f>IF(AND(Y45="",AC45="",AG45="",AK45="",AO45=""),S45,AVERAGE(S45,Y45,AC45,AG45,AK45,AO45)+STDEV(S45,Y45,AC45,AG45,AK45,AO45))</f>
        <v/>
      </c>
      <c r="Q45" s="14" t="n">
        <v>300</v>
      </c>
      <c r="R45" s="11" t="n">
        <v>86</v>
      </c>
      <c r="S45" s="12" t="n">
        <v>84.90000000000001</v>
      </c>
      <c r="T45" s="13" t="n">
        <v>116.8</v>
      </c>
      <c r="U45" s="79" t="n">
        <v>86</v>
      </c>
      <c r="V45" s="79" t="n">
        <v>89.2</v>
      </c>
      <c r="W45" s="10" t="n">
        <v>300</v>
      </c>
      <c r="X45" s="11" t="n">
        <v>79.90000000000001</v>
      </c>
      <c r="Y45" s="12" t="n">
        <v>80.2</v>
      </c>
      <c r="Z45" s="13" t="n">
        <v>109.9</v>
      </c>
      <c r="AA45" s="10" t="n">
        <v>300</v>
      </c>
      <c r="AB45" s="11" t="n">
        <v>77.59999999999999</v>
      </c>
      <c r="AC45" s="12" t="n">
        <v>79.3</v>
      </c>
      <c r="AD45" s="13" t="n">
        <v>101.9</v>
      </c>
      <c r="AE45" s="14" t="n">
        <v>300</v>
      </c>
      <c r="AF45" s="11" t="n">
        <v>74.40000000000001</v>
      </c>
      <c r="AG45" s="12" t="n">
        <v>75.5</v>
      </c>
      <c r="AH45" s="13" t="n">
        <v>101.7</v>
      </c>
      <c r="AI45" s="10" t="n">
        <v>300</v>
      </c>
      <c r="AJ45" s="11" t="n">
        <v>73.09999999999999</v>
      </c>
      <c r="AK45" s="12" t="n">
        <v>75.40000000000001</v>
      </c>
      <c r="AL45" s="13" t="n">
        <v>103.8</v>
      </c>
      <c r="AM45" s="10" t="n">
        <v>300</v>
      </c>
      <c r="AN45" s="11" t="n">
        <v>75.7</v>
      </c>
      <c r="AO45" s="12" t="n">
        <v>77.59999999999999</v>
      </c>
      <c r="AP45" s="13" t="n">
        <v>114.9</v>
      </c>
      <c r="AQ45" s="6">
        <f>IF(AND((O45)&lt;85,N45&lt;137),"NO","SI")</f>
        <v/>
      </c>
      <c r="AR45" s="7">
        <f>IF((480*(10^(7.95-(O45/10))))&lt;480,480*(10^(7.95-(O45/10))),480)</f>
        <v/>
      </c>
      <c r="AS45" s="8">
        <f>IF((480*(10^(8.45-(O45/10))))&lt;480,480*(10^(8.45-(O45/10))),480)</f>
        <v/>
      </c>
      <c r="AT45" s="9">
        <f>IF((480*(10^(8.65-(O45/10))))&lt;480,480*(10^(8.65-(O45/10))),480)</f>
        <v/>
      </c>
      <c r="AU45" s="111">
        <f>IF(O45&lt;80,"0",IF((P45-O45)&lt;=2,('DPI art.191'!$G$3-(('DPI art.191'!$F$3-'DPI art.191'!$G$3)/4)*(P45-O45-2)),('DPI art.191'!$G$3-(('DPI art.191'!$G$3-'DPI art.191'!$H$3)/8)*(P45-O45-2))))</f>
        <v/>
      </c>
      <c r="AV45" s="24">
        <f>O45-AU45</f>
        <v/>
      </c>
      <c r="AW45" s="24">
        <f>IF(N45&lt;135,N45,N45-'DPI art.191'!$I$3)</f>
        <v/>
      </c>
      <c r="AX45" s="111">
        <f>IF(I45&lt;80,"0",IF((J45-I45)&lt;=2,('DPI art.191'!$G$7-(('DPI art.191'!$F$7-'DPI art.191'!$G$7)/4)*(I45-J45-2)),('DPI art.191'!$G$7-(('DPI art.191'!$G$7-'DPI art.191'!$H$7)/8)*(J45-I45-2))))</f>
        <v/>
      </c>
      <c r="AY45" s="24">
        <f>I45-AX45</f>
        <v/>
      </c>
      <c r="AZ45" s="24">
        <f>IF(H45&lt;135,H45,H45-'DPI art.191'!$I$7)</f>
        <v/>
      </c>
      <c r="BA45" s="111">
        <f>IF(O45&lt;80,"0",IF((P45-O45)&lt;=2,('DPI art.191'!$G$5-(('DPI art.191'!$F$5-'DPI art.191'!$G$5)/4)*(P45-O45-2)),('DPI art.191'!$G$5-(('DPI art.191'!$G$5-'DPI art.191'!$H$5)/8)*(P45-O45-2))))</f>
        <v/>
      </c>
      <c r="BB45" s="24">
        <f>R45-BA45</f>
        <v/>
      </c>
      <c r="BC45" s="24">
        <f>IF(N45&lt;135,N45,N45-'DPI art.191'!$I$5)</f>
        <v/>
      </c>
      <c r="BD45" s="111">
        <f>IF(O45&lt;80,"0",IF((P45-O45)&lt;=2,('DPI art.191'!$G$7-(('DPI art.191'!$F$7-'DPI art.191'!$G$7)/4)*(O45-P45-2)),('DPI art.191'!$G$7-(('DPI art.191'!$G$7-'DPI art.191'!$H$7)/8)*(P45-O45-2))))</f>
        <v/>
      </c>
      <c r="BE45" s="24">
        <f>O45-BD45</f>
        <v/>
      </c>
      <c r="BF45" s="24">
        <f>IF(N45&lt;135,N45,N45-'DPI art.191'!$I$7)</f>
        <v/>
      </c>
      <c r="BG45" s="108">
        <f>10^(0.1*R45)</f>
        <v/>
      </c>
      <c r="BH45" s="108">
        <f>10^(0.1*X45)</f>
        <v/>
      </c>
      <c r="BI45" s="108">
        <f>10^(0.1*AB45)</f>
        <v/>
      </c>
      <c r="BJ45" s="108">
        <f>10^(0.1*AF45)</f>
        <v/>
      </c>
      <c r="BK45" s="108">
        <f>10^(0.1*AJ45)</f>
        <v/>
      </c>
      <c r="BL45" s="108">
        <f>10^(0.1*AN45)</f>
        <v/>
      </c>
      <c r="BM45" s="106">
        <f>IF(R45&gt;0,(O45-R45),"")</f>
        <v/>
      </c>
      <c r="BN45" s="106">
        <f>IF(X45&gt;0,(O45-X45),"")</f>
        <v/>
      </c>
      <c r="BO45" s="106">
        <f>IF(AB45&gt;0,(O45-AB45),"")</f>
        <v/>
      </c>
      <c r="BP45" s="106">
        <f>IF(AF45&gt;0,(O45-AF45),"")</f>
        <v/>
      </c>
      <c r="BQ45" s="106">
        <f>IF(AJ45&gt;0,(O45-AJ45),"")</f>
        <v/>
      </c>
      <c r="BR45" s="106">
        <f>IF(AN45&gt;0,(O45-AN45),"")</f>
        <v/>
      </c>
      <c r="BS45" s="106">
        <f>COUNT(BM45:BR45)</f>
        <v/>
      </c>
      <c r="BT45" s="464">
        <f>IF(BS45=0,0,IF(BS45=1,0,1/(BS45*(BS45-1))))</f>
        <v/>
      </c>
      <c r="BU45" s="136">
        <f>IF(R45&gt;0,(BM45^2),"")</f>
        <v/>
      </c>
      <c r="BV45" s="136">
        <f>IF(X45&gt;0,(BN45^2),"")</f>
        <v/>
      </c>
      <c r="BW45" s="136">
        <f>IF(AB45&gt;0,(BO45^2),"")</f>
        <v/>
      </c>
      <c r="BX45" s="136">
        <f>IF(AF45&gt;0,(BP45^2),"")</f>
        <v/>
      </c>
      <c r="BY45" s="136">
        <f>IF(AJ45&gt;0,(BQ45^2),"")</f>
        <v/>
      </c>
      <c r="BZ45" s="136">
        <f>IF(AN45&gt;0,(BR45^2),"")</f>
        <v/>
      </c>
    </row>
    <row r="46" ht="18.75" customHeight="1" s="444">
      <c r="A46" s="340" t="inlineStr">
        <is>
          <t>Gualdo 1</t>
        </is>
      </c>
      <c r="B46" s="65" t="inlineStr">
        <is>
          <t>E2</t>
        </is>
      </c>
      <c r="C46" s="78" t="inlineStr">
        <is>
          <t>Magazzino interno</t>
        </is>
      </c>
      <c r="D46" s="83" t="inlineStr">
        <is>
          <t>/</t>
        </is>
      </c>
      <c r="E46" s="83" t="inlineStr">
        <is>
          <t>/</t>
        </is>
      </c>
      <c r="F46" s="78" t="inlineStr">
        <is>
          <t>Attività di magazzino</t>
        </is>
      </c>
      <c r="G46" s="71" t="n">
        <v>45996</v>
      </c>
      <c r="H46" s="77" t="inlineStr">
        <is>
          <t>Compito</t>
        </is>
      </c>
      <c r="I46" s="77">
        <f>IF((V46-R46)&gt;3,"SI","")</f>
        <v/>
      </c>
      <c r="J46" s="77">
        <f>IF((U46-R46)&gt;3,"SI","")</f>
        <v/>
      </c>
      <c r="K46" s="77" t="n"/>
      <c r="L46" s="77" t="n"/>
      <c r="M46" s="137">
        <f>IF(R46&gt;0,(SQRT(BT46*(SUM(BU46:BZ46)))),"")</f>
        <v/>
      </c>
      <c r="N46" s="4">
        <f>IF(T46&gt;0,(MAX(T46,Z46,AD46,AH46,AL46,AP46))+SQRT(1.2^2+1^2),"")</f>
        <v/>
      </c>
      <c r="O46" s="3">
        <f>IF(R46="",0,10*LOG10(SUM(BG46:BL46)/(COUNT(R46,X46,AB46,AF46,AJ46,AN46))))</f>
        <v/>
      </c>
      <c r="P46" s="5">
        <f>IF(AND(Y46="",AC46="",AG46="",AK46="",AO46=""),S46,AVERAGE(S46,Y46,AC46,AG46,AK46,AO46)+STDEV(S46,Y46,AC46,AG46,AK46,AO46))</f>
        <v/>
      </c>
      <c r="Q46" s="14" t="n">
        <v>300</v>
      </c>
      <c r="R46" s="11" t="n">
        <v>63</v>
      </c>
      <c r="S46" s="12" t="n">
        <v>69.09999999999999</v>
      </c>
      <c r="T46" s="13" t="n">
        <v>105.1</v>
      </c>
      <c r="U46" s="79" t="n">
        <v>63</v>
      </c>
      <c r="V46" s="79" t="n">
        <v>72.90000000000001</v>
      </c>
      <c r="W46" s="10" t="n">
        <v>300</v>
      </c>
      <c r="X46" s="11" t="n">
        <v>68</v>
      </c>
      <c r="Y46" s="12" t="n">
        <v>70.90000000000001</v>
      </c>
      <c r="Z46" s="13" t="n">
        <v>104.4</v>
      </c>
      <c r="AA46" s="10" t="n">
        <v>300</v>
      </c>
      <c r="AB46" s="11" t="n">
        <v>64.09999999999999</v>
      </c>
      <c r="AC46" s="12" t="n">
        <v>68.09999999999999</v>
      </c>
      <c r="AD46" s="13" t="n">
        <v>101.2</v>
      </c>
      <c r="AE46" s="14" t="n">
        <v>300</v>
      </c>
      <c r="AF46" s="11" t="n">
        <v>62.9</v>
      </c>
      <c r="AG46" s="12" t="n">
        <v>67.40000000000001</v>
      </c>
      <c r="AH46" s="13" t="n">
        <v>102.6</v>
      </c>
      <c r="AI46" s="10" t="n">
        <v>300</v>
      </c>
      <c r="AJ46" s="11" t="n">
        <v>62</v>
      </c>
      <c r="AK46" s="12" t="n">
        <v>67.09999999999999</v>
      </c>
      <c r="AL46" s="13" t="n">
        <v>104.4</v>
      </c>
      <c r="AM46" s="10" t="n">
        <v>300</v>
      </c>
      <c r="AN46" s="11" t="n">
        <v>64.09999999999999</v>
      </c>
      <c r="AO46" s="12" t="n">
        <v>69.40000000000001</v>
      </c>
      <c r="AP46" s="13" t="n">
        <v>103.1</v>
      </c>
      <c r="AQ46" s="6">
        <f>IF(AND((O46)&lt;85,N46&lt;137),"NO","SI")</f>
        <v/>
      </c>
      <c r="AR46" s="7">
        <f>IF((480*(10^(7.95-(O46/10))))&lt;480,480*(10^(7.95-(O46/10))),480)</f>
        <v/>
      </c>
      <c r="AS46" s="8">
        <f>IF((480*(10^(8.45-(O46/10))))&lt;480,480*(10^(8.45-(O46/10))),480)</f>
        <v/>
      </c>
      <c r="AT46" s="9">
        <f>IF((480*(10^(8.65-(O46/10))))&lt;480,480*(10^(8.65-(O46/10))),480)</f>
        <v/>
      </c>
      <c r="AU46" s="111">
        <f>IF(O46&lt;80,"0",IF((P46-O46)&lt;=2,('DPI art.191'!$G$3-(('DPI art.191'!$F$3-'DPI art.191'!$G$3)/4)*(P46-O46-2)),('DPI art.191'!$G$3-(('DPI art.191'!$G$3-'DPI art.191'!$H$3)/8)*(P46-O46-2))))</f>
        <v/>
      </c>
      <c r="AV46" s="24">
        <f>O46-AU46</f>
        <v/>
      </c>
      <c r="AW46" s="24">
        <f>IF(N46&lt;135,N46,N46-'DPI art.191'!$I$3)</f>
        <v/>
      </c>
      <c r="AX46" s="111">
        <f>IF(I46&lt;80,"0",IF((J46-I46)&lt;=2,('DPI art.191'!$G$7-(('DPI art.191'!$F$7-'DPI art.191'!$G$7)/4)*(I46-J46-2)),('DPI art.191'!$G$7-(('DPI art.191'!$G$7-'DPI art.191'!$H$7)/8)*(J46-I46-2))))</f>
        <v/>
      </c>
      <c r="AY46" s="24">
        <f>I46-AX46</f>
        <v/>
      </c>
      <c r="AZ46" s="24">
        <f>IF(H46&lt;135,H46,H46-'DPI art.191'!$I$7)</f>
        <v/>
      </c>
      <c r="BA46" s="111">
        <f>IF(O46&lt;80,"0",IF((P46-O46)&lt;=2,('DPI art.191'!$G$5-(('DPI art.191'!$F$5-'DPI art.191'!$G$5)/4)*(P46-O46-2)),('DPI art.191'!$G$5-(('DPI art.191'!$G$5-'DPI art.191'!$H$5)/8)*(P46-O46-2))))</f>
        <v/>
      </c>
      <c r="BB46" s="24">
        <f>R46-BA46</f>
        <v/>
      </c>
      <c r="BC46" s="24">
        <f>IF(N46&lt;135,N46,N46-'DPI art.191'!$I$5)</f>
        <v/>
      </c>
      <c r="BD46" s="111">
        <f>IF(O46&lt;80,"0",IF((P46-O46)&lt;=2,('DPI art.191'!$G$7-(('DPI art.191'!$F$7-'DPI art.191'!$G$7)/4)*(O46-P46-2)),('DPI art.191'!$G$7-(('DPI art.191'!$G$7-'DPI art.191'!$H$7)/8)*(P46-O46-2))))</f>
        <v/>
      </c>
      <c r="BE46" s="24">
        <f>O46-BD46</f>
        <v/>
      </c>
      <c r="BF46" s="24">
        <f>IF(N46&lt;135,N46,N46-'DPI art.191'!$I$7)</f>
        <v/>
      </c>
      <c r="BG46" s="108">
        <f>10^(0.1*R46)</f>
        <v/>
      </c>
      <c r="BH46" s="108">
        <f>10^(0.1*X46)</f>
        <v/>
      </c>
      <c r="BI46" s="108">
        <f>10^(0.1*AB46)</f>
        <v/>
      </c>
      <c r="BJ46" s="108">
        <f>10^(0.1*AF46)</f>
        <v/>
      </c>
      <c r="BK46" s="108">
        <f>10^(0.1*AJ46)</f>
        <v/>
      </c>
      <c r="BL46" s="108">
        <f>10^(0.1*AN46)</f>
        <v/>
      </c>
      <c r="BM46" s="106">
        <f>IF(R46&gt;0,(O46-R46),"")</f>
        <v/>
      </c>
      <c r="BN46" s="106">
        <f>IF(X46&gt;0,(O46-X46),"")</f>
        <v/>
      </c>
      <c r="BO46" s="106">
        <f>IF(AB46&gt;0,(O46-AB46),"")</f>
        <v/>
      </c>
      <c r="BP46" s="106">
        <f>IF(AF46&gt;0,(O46-AF46),"")</f>
        <v/>
      </c>
      <c r="BQ46" s="106">
        <f>IF(AJ46&gt;0,(O46-AJ46),"")</f>
        <v/>
      </c>
      <c r="BR46" s="106">
        <f>IF(AN46&gt;0,(O46-AN46),"")</f>
        <v/>
      </c>
      <c r="BS46" s="106">
        <f>COUNT(BM46:BR46)</f>
        <v/>
      </c>
      <c r="BT46" s="464">
        <f>IF(BS46=0,0,IF(BS46=1,0,1/(BS46*(BS46-1))))</f>
        <v/>
      </c>
      <c r="BU46" s="136">
        <f>IF(R46&gt;0,(BM46^2),"")</f>
        <v/>
      </c>
      <c r="BV46" s="136">
        <f>IF(X46&gt;0,(BN46^2),"")</f>
        <v/>
      </c>
      <c r="BW46" s="136">
        <f>IF(AB46&gt;0,(BO46^2),"")</f>
        <v/>
      </c>
      <c r="BX46" s="136">
        <f>IF(AF46&gt;0,(BP46^2),"")</f>
        <v/>
      </c>
      <c r="BY46" s="136">
        <f>IF(AJ46&gt;0,(BQ46^2),"")</f>
        <v/>
      </c>
      <c r="BZ46" s="136">
        <f>IF(AN46&gt;0,(BR46^2),"")</f>
        <v/>
      </c>
    </row>
    <row r="47" ht="25.5" customHeight="1" s="444">
      <c r="A47" s="340" t="inlineStr">
        <is>
          <t>273/16</t>
        </is>
      </c>
      <c r="B47" s="65" t="inlineStr">
        <is>
          <t>E3</t>
        </is>
      </c>
      <c r="C47" s="78" t="inlineStr">
        <is>
          <t>Sega a nastro</t>
        </is>
      </c>
      <c r="D47" s="83" t="inlineStr">
        <is>
          <t>BIANCO</t>
        </is>
      </c>
      <c r="E47" s="83" t="inlineStr">
        <is>
          <t>280 SA 60° - Ø 220 mm</t>
        </is>
      </c>
      <c r="F47" s="192" t="inlineStr">
        <is>
          <t>Taglio con sega a nastro</t>
        </is>
      </c>
      <c r="G47" s="71" t="n">
        <v>45996</v>
      </c>
      <c r="H47" s="77" t="inlineStr">
        <is>
          <t>Compito</t>
        </is>
      </c>
      <c r="I47" s="77">
        <f>IF((V47-R47)&gt;3,"SI","")</f>
        <v/>
      </c>
      <c r="J47" s="77">
        <f>IF((U47-R47)&gt;3,"SI","")</f>
        <v/>
      </c>
      <c r="K47" s="77" t="n"/>
      <c r="L47" s="77" t="n"/>
      <c r="M47" s="137">
        <f>IF(R47&gt;0,(SQRT(BT47*(SUM(BU47:BZ47)))),"")</f>
        <v/>
      </c>
      <c r="N47" s="4">
        <f>IF(T47&gt;0,(MAX(T47,Z47,AD47,AH47,AL47,AP47))+SQRT(1.2^2+1^2),"")</f>
        <v/>
      </c>
      <c r="O47" s="3">
        <f>IF(R47="",0,10*LOG10(SUM(BG47:BL47)/(COUNT(R47,X47,AB47,AF47,AJ47,AN47))))</f>
        <v/>
      </c>
      <c r="P47" s="5">
        <f>IF(AND(Y47="",AC47="",AG47="",AK47="",AO47=""),S47,AVERAGE(S47,Y47,AC47,AG47,AK47,AO47)+STDEV(S47,Y47,AC47,AG47,AK47,AO47))</f>
        <v/>
      </c>
      <c r="Q47" s="14" t="n">
        <v>300</v>
      </c>
      <c r="R47" s="11" t="n">
        <v>78.5</v>
      </c>
      <c r="S47" s="12" t="n">
        <v>80.09999999999999</v>
      </c>
      <c r="T47" s="13" t="n">
        <v>106.8</v>
      </c>
      <c r="U47" s="79" t="n">
        <v>78.40000000000001</v>
      </c>
      <c r="V47" s="79" t="n">
        <v>83.8</v>
      </c>
      <c r="W47" s="10" t="n">
        <v>300</v>
      </c>
      <c r="X47" s="11" t="n">
        <v>77.90000000000001</v>
      </c>
      <c r="Y47" s="12" t="n">
        <v>80</v>
      </c>
      <c r="Z47" s="13" t="n">
        <v>96.2</v>
      </c>
      <c r="AA47" s="10" t="n">
        <v>300</v>
      </c>
      <c r="AB47" s="11" t="n">
        <v>77.5</v>
      </c>
      <c r="AC47" s="12" t="n">
        <v>79.5</v>
      </c>
      <c r="AD47" s="13" t="n">
        <v>104.5</v>
      </c>
      <c r="AE47" s="14" t="n">
        <v>300</v>
      </c>
      <c r="AF47" s="11" t="n">
        <v>77.90000000000001</v>
      </c>
      <c r="AG47" s="12" t="n">
        <v>80</v>
      </c>
      <c r="AH47" s="13" t="n">
        <v>97.2</v>
      </c>
      <c r="AI47" s="10" t="n">
        <v>300</v>
      </c>
      <c r="AJ47" s="11" t="n">
        <v>79</v>
      </c>
      <c r="AK47" s="12" t="n">
        <v>80.5</v>
      </c>
      <c r="AL47" s="13" t="n">
        <v>109.6</v>
      </c>
      <c r="AM47" s="10" t="n">
        <v>300</v>
      </c>
      <c r="AN47" s="11" t="n">
        <v>78.7</v>
      </c>
      <c r="AO47" s="12" t="n">
        <v>81.8</v>
      </c>
      <c r="AP47" s="13" t="n">
        <v>102.2</v>
      </c>
      <c r="AQ47" s="6">
        <f>IF(AND((O47)&lt;85,N47&lt;137),"NO","SI")</f>
        <v/>
      </c>
      <c r="AR47" s="7">
        <f>IF((480*(10^(7.95-(O47/10))))&lt;480,480*(10^(7.95-(O47/10))),480)</f>
        <v/>
      </c>
      <c r="AS47" s="8">
        <f>IF((480*(10^(8.45-(O47/10))))&lt;480,480*(10^(8.45-(O47/10))),480)</f>
        <v/>
      </c>
      <c r="AT47" s="9">
        <f>IF((480*(10^(8.65-(O47/10))))&lt;480,480*(10^(8.65-(O47/10))),480)</f>
        <v/>
      </c>
      <c r="AU47" s="111">
        <f>IF(O47&lt;80,"0",IF((P47-O47)&lt;=2,('DPI art.191'!$G$3-(('DPI art.191'!$F$3-'DPI art.191'!$G$3)/4)*(P47-O47-2)),('DPI art.191'!$G$3-(('DPI art.191'!$G$3-'DPI art.191'!$H$3)/8)*(P47-O47-2))))</f>
        <v/>
      </c>
      <c r="AV47" s="24">
        <f>O47-AU47</f>
        <v/>
      </c>
      <c r="AW47" s="24">
        <f>IF(N47&lt;135,N47,N47-'DPI art.191'!$I$3)</f>
        <v/>
      </c>
      <c r="AX47" s="111">
        <f>IF(I47&lt;80,"0",IF((J47-I47)&lt;=2,('DPI art.191'!$G$7-(('DPI art.191'!$F$7-'DPI art.191'!$G$7)/4)*(I47-J47-2)),('DPI art.191'!$G$7-(('DPI art.191'!$G$7-'DPI art.191'!$H$7)/8)*(J47-I47-2))))</f>
        <v/>
      </c>
      <c r="AY47" s="24">
        <f>I47-AX47</f>
        <v/>
      </c>
      <c r="AZ47" s="24">
        <f>IF(H47&lt;135,H47,H47-'DPI art.191'!$I$7)</f>
        <v/>
      </c>
      <c r="BA47" s="111">
        <f>IF(O47&lt;80,"0",IF((P47-O47)&lt;=2,('DPI art.191'!$G$5-(('DPI art.191'!$F$5-'DPI art.191'!$G$5)/4)*(P47-O47-2)),('DPI art.191'!$G$5-(('DPI art.191'!$G$5-'DPI art.191'!$H$5)/8)*(P47-O47-2))))</f>
        <v/>
      </c>
      <c r="BB47" s="24">
        <f>R47-BA47</f>
        <v/>
      </c>
      <c r="BC47" s="24">
        <f>IF(N47&lt;135,N47,N47-'DPI art.191'!$I$5)</f>
        <v/>
      </c>
      <c r="BD47" s="111">
        <f>IF(O47&lt;80,"0",IF((P47-O47)&lt;=2,('DPI art.191'!$G$7-(('DPI art.191'!$F$7-'DPI art.191'!$G$7)/4)*(O47-P47-2)),('DPI art.191'!$G$7-(('DPI art.191'!$G$7-'DPI art.191'!$H$7)/8)*(P47-O47-2))))</f>
        <v/>
      </c>
      <c r="BE47" s="24">
        <f>O47-BD47</f>
        <v/>
      </c>
      <c r="BF47" s="24">
        <f>IF(N47&lt;135,N47,N47-'DPI art.191'!$I$7)</f>
        <v/>
      </c>
      <c r="BG47" s="108">
        <f>10^(0.1*R47)</f>
        <v/>
      </c>
      <c r="BH47" s="108">
        <f>10^(0.1*X47)</f>
        <v/>
      </c>
      <c r="BI47" s="108">
        <f>10^(0.1*AB47)</f>
        <v/>
      </c>
      <c r="BJ47" s="108">
        <f>10^(0.1*AF47)</f>
        <v/>
      </c>
      <c r="BK47" s="108">
        <f>10^(0.1*AJ47)</f>
        <v/>
      </c>
      <c r="BL47" s="108">
        <f>10^(0.1*AN47)</f>
        <v/>
      </c>
      <c r="BM47" s="106">
        <f>IF(R47&gt;0,(O47-R47),"")</f>
        <v/>
      </c>
      <c r="BN47" s="106">
        <f>IF(X47&gt;0,(O47-X47),"")</f>
        <v/>
      </c>
      <c r="BO47" s="106">
        <f>IF(AB47&gt;0,(O47-AB47),"")</f>
        <v/>
      </c>
      <c r="BP47" s="106">
        <f>IF(AF47&gt;0,(O47-AF47),"")</f>
        <v/>
      </c>
      <c r="BQ47" s="106">
        <f>IF(AJ47&gt;0,(O47-AJ47),"")</f>
        <v/>
      </c>
      <c r="BR47" s="106">
        <f>IF(AN47&gt;0,(O47-AN47),"")</f>
        <v/>
      </c>
      <c r="BS47" s="106">
        <f>COUNT(BM47:BR47)</f>
        <v/>
      </c>
      <c r="BT47" s="464">
        <f>IF(BS47=0,0,IF(BS47=1,0,1/(BS47*(BS47-1))))</f>
        <v/>
      </c>
      <c r="BU47" s="136">
        <f>IF(R47&gt;0,(BM47^2),"")</f>
        <v/>
      </c>
      <c r="BV47" s="136">
        <f>IF(X47&gt;0,(BN47^2),"")</f>
        <v/>
      </c>
      <c r="BW47" s="136">
        <f>IF(AB47&gt;0,(BO47^2),"")</f>
        <v/>
      </c>
      <c r="BX47" s="136">
        <f>IF(AF47&gt;0,(BP47^2),"")</f>
        <v/>
      </c>
      <c r="BY47" s="136">
        <f>IF(AJ47&gt;0,(BQ47^2),"")</f>
        <v/>
      </c>
      <c r="BZ47" s="136">
        <f>IF(AN47&gt;0,(BR47^2),"")</f>
        <v/>
      </c>
    </row>
    <row r="48" ht="38.25" customHeight="1" s="444">
      <c r="A48" s="340" t="inlineStr">
        <is>
          <t>260/03</t>
        </is>
      </c>
      <c r="B48" s="65" t="inlineStr">
        <is>
          <t>E4</t>
        </is>
      </c>
      <c r="C48" s="78" t="inlineStr">
        <is>
          <t xml:space="preserve">Pantografo CN </t>
        </is>
      </c>
      <c r="D48" s="83" t="inlineStr">
        <is>
          <t>ESAB</t>
        </is>
      </c>
      <c r="E48" s="83" t="inlineStr">
        <is>
          <t xml:space="preserve">SXE-P3 5500 - 5500 x 14000mm </t>
        </is>
      </c>
      <c r="F48" s="192" t="inlineStr">
        <is>
          <t>Pantografo</t>
        </is>
      </c>
      <c r="G48" s="71" t="n">
        <v>45996</v>
      </c>
      <c r="H48" s="77" t="inlineStr">
        <is>
          <t>Compito</t>
        </is>
      </c>
      <c r="I48" s="77">
        <f>IF((V48-R48)&gt;3,"SI","")</f>
        <v/>
      </c>
      <c r="J48" s="77" t="inlineStr">
        <is>
          <t>SI</t>
        </is>
      </c>
      <c r="K48" s="77" t="n"/>
      <c r="L48" s="77" t="n"/>
      <c r="M48" s="137">
        <f>IF(R48&gt;0,(SQRT(BT48*(SUM(BU48:BZ48)))),"")</f>
        <v/>
      </c>
      <c r="N48" s="4">
        <f>IF(T48&gt;0,(MAX(T48,Z48,AD48,AH48,AL48,AP48))+SQRT(1.2^2+1^2),"")</f>
        <v/>
      </c>
      <c r="O48" s="3">
        <f>IF(R48="",0,10*LOG10(SUM(BG48:BL48)/(COUNT(R48,X48,AB48,AF48,AJ48,AN48))))</f>
        <v/>
      </c>
      <c r="P48" s="5">
        <f>IF(AND(Y48="",AC48="",AG48="",AK48="",AO48=""),S48,AVERAGE(S48,Y48,AC48,AG48,AK48,AO48)+STDEV(S48,Y48,AC48,AG48,AK48,AO48))</f>
        <v/>
      </c>
      <c r="Q48" s="14" t="n">
        <v>300</v>
      </c>
      <c r="R48" s="11" t="n">
        <v>86.09999999999999</v>
      </c>
      <c r="S48" s="12" t="n">
        <v>85.8</v>
      </c>
      <c r="T48" s="13" t="n">
        <v>108.9</v>
      </c>
      <c r="U48" s="79" t="n">
        <v>86.09999999999999</v>
      </c>
      <c r="V48" s="79" t="n">
        <v>88.5</v>
      </c>
      <c r="W48" s="10" t="n">
        <v>300</v>
      </c>
      <c r="X48" s="11" t="n">
        <v>90.2</v>
      </c>
      <c r="Y48" s="12" t="n">
        <v>89.2</v>
      </c>
      <c r="Z48" s="13" t="n">
        <v>111.1</v>
      </c>
      <c r="AA48" s="10" t="n">
        <v>300</v>
      </c>
      <c r="AB48" s="11" t="n">
        <v>85.2</v>
      </c>
      <c r="AC48" s="12" t="n">
        <v>85.2</v>
      </c>
      <c r="AD48" s="13" t="n">
        <v>105.9</v>
      </c>
      <c r="AE48" s="14" t="n">
        <v>300</v>
      </c>
      <c r="AF48" s="11" t="n">
        <v>85.7</v>
      </c>
      <c r="AG48" s="12" t="n">
        <v>86.2</v>
      </c>
      <c r="AH48" s="13" t="n">
        <v>107.5</v>
      </c>
      <c r="AI48" s="10" t="n">
        <v>300</v>
      </c>
      <c r="AJ48" s="11" t="n">
        <v>89.2</v>
      </c>
      <c r="AK48" s="12" t="n">
        <v>89</v>
      </c>
      <c r="AL48" s="13" t="n">
        <v>109.1</v>
      </c>
      <c r="AM48" s="10" t="n">
        <v>300</v>
      </c>
      <c r="AN48" s="11" t="n">
        <v>89.40000000000001</v>
      </c>
      <c r="AO48" s="12" t="n">
        <v>89.2</v>
      </c>
      <c r="AP48" s="13" t="n">
        <v>112</v>
      </c>
      <c r="AQ48" s="6">
        <f>IF(AND((O48)&lt;85,N48&lt;137),"NO","SI")</f>
        <v/>
      </c>
      <c r="AR48" s="7">
        <f>IF((480*(10^(7.95-(O48/10))))&lt;480,480*(10^(7.95-(O48/10))),480)</f>
        <v/>
      </c>
      <c r="AS48" s="8">
        <f>IF((480*(10^(8.45-(O48/10))))&lt;480,480*(10^(8.45-(O48/10))),480)</f>
        <v/>
      </c>
      <c r="AT48" s="9">
        <f>IF((480*(10^(8.65-(O48/10))))&lt;480,480*(10^(8.65-(O48/10))),480)</f>
        <v/>
      </c>
      <c r="AU48" s="111">
        <f>IF(O48&lt;80,"0",IF((P48-O48)&lt;=2,('DPI art.191'!$G$3-(('DPI art.191'!$F$3-'DPI art.191'!$G$3)/4)*(P48-O48-2)),('DPI art.191'!$G$3-(('DPI art.191'!$G$3-'DPI art.191'!$H$3)/8)*(P48-O48-2))))</f>
        <v/>
      </c>
      <c r="AV48" s="24">
        <f>O48-AU48</f>
        <v/>
      </c>
      <c r="AW48" s="24">
        <f>IF(N48&lt;135,N48,N48-'DPI art.191'!$I$3)</f>
        <v/>
      </c>
      <c r="AX48" s="111">
        <f>IF(I48&lt;80,"0",IF((J48-I48)&lt;=2,('DPI art.191'!$G$7-(('DPI art.191'!$F$7-'DPI art.191'!$G$7)/4)*(I48-J48-2)),('DPI art.191'!$G$7-(('DPI art.191'!$G$7-'DPI art.191'!$H$7)/8)*(J48-I48-2))))</f>
        <v/>
      </c>
      <c r="AY48" s="24">
        <f>I48-AX48</f>
        <v/>
      </c>
      <c r="AZ48" s="24">
        <f>IF(H48&lt;135,H48,H48-'DPI art.191'!$I$7)</f>
        <v/>
      </c>
      <c r="BA48" s="111">
        <f>IF(O48&lt;80,"0",IF((P48-O48)&lt;=2,('DPI art.191'!$G$5-(('DPI art.191'!$F$5-'DPI art.191'!$G$5)/4)*(P48-O48-2)),('DPI art.191'!$G$5-(('DPI art.191'!$G$5-'DPI art.191'!$H$5)/8)*(P48-O48-2))))</f>
        <v/>
      </c>
      <c r="BB48" s="24">
        <f>R48-BA48</f>
        <v/>
      </c>
      <c r="BC48" s="24">
        <f>IF(N48&lt;135,N48,N48-'DPI art.191'!$I$5)</f>
        <v/>
      </c>
      <c r="BD48" s="111">
        <f>IF(O48&lt;80,"0",IF((P48-O48)&lt;=2,('DPI art.191'!$G$7-(('DPI art.191'!$F$7-'DPI art.191'!$G$7)/4)*(O48-P48-2)),('DPI art.191'!$G$7-(('DPI art.191'!$G$7-'DPI art.191'!$H$7)/8)*(P48-O48-2))))</f>
        <v/>
      </c>
      <c r="BE48" s="24">
        <f>O48-BD48</f>
        <v/>
      </c>
      <c r="BF48" s="24">
        <f>IF(N48&lt;135,N48,N48-'DPI art.191'!$I$7)</f>
        <v/>
      </c>
      <c r="BG48" s="108">
        <f>10^(0.1*R48)</f>
        <v/>
      </c>
      <c r="BH48" s="108">
        <f>10^(0.1*X48)</f>
        <v/>
      </c>
      <c r="BI48" s="108">
        <f>10^(0.1*AB48)</f>
        <v/>
      </c>
      <c r="BJ48" s="108">
        <f>10^(0.1*AF48)</f>
        <v/>
      </c>
      <c r="BK48" s="108">
        <f>10^(0.1*AJ48)</f>
        <v/>
      </c>
      <c r="BL48" s="108">
        <f>10^(0.1*AN48)</f>
        <v/>
      </c>
      <c r="BM48" s="106">
        <f>IF(R48&gt;0,(O48-R48),"")</f>
        <v/>
      </c>
      <c r="BN48" s="106">
        <f>IF(X48&gt;0,(O48-X48),"")</f>
        <v/>
      </c>
      <c r="BO48" s="106">
        <f>IF(AB48&gt;0,(O48-AB48),"")</f>
        <v/>
      </c>
      <c r="BP48" s="106">
        <f>IF(AF48&gt;0,(O48-AF48),"")</f>
        <v/>
      </c>
      <c r="BQ48" s="106">
        <f>IF(AJ48&gt;0,(O48-AJ48),"")</f>
        <v/>
      </c>
      <c r="BR48" s="106">
        <f>IF(AN48&gt;0,(O48-AN48),"")</f>
        <v/>
      </c>
      <c r="BS48" s="106">
        <f>COUNT(BM48:BR48)</f>
        <v/>
      </c>
      <c r="BT48" s="464">
        <f>IF(BS48=0,0,IF(BS48=1,0,1/(BS48*(BS48-1))))</f>
        <v/>
      </c>
      <c r="BU48" s="136">
        <f>IF(R48&gt;0,(BM48^2),"")</f>
        <v/>
      </c>
      <c r="BV48" s="136">
        <f>IF(X48&gt;0,(BN48^2),"")</f>
        <v/>
      </c>
      <c r="BW48" s="136">
        <f>IF(AB48&gt;0,(BO48^2),"")</f>
        <v/>
      </c>
      <c r="BX48" s="136">
        <f>IF(AF48&gt;0,(BP48^2),"")</f>
        <v/>
      </c>
      <c r="BY48" s="136">
        <f>IF(AJ48&gt;0,(BQ48^2),"")</f>
        <v/>
      </c>
      <c r="BZ48" s="136">
        <f>IF(AN48&gt;0,(BR48^2),"")</f>
        <v/>
      </c>
    </row>
    <row r="49" ht="18.75" customHeight="1" s="444">
      <c r="A49" s="340" t="inlineStr">
        <is>
          <t>022/A/AC6</t>
        </is>
      </c>
      <c r="B49" s="65" t="inlineStr">
        <is>
          <t>E5</t>
        </is>
      </c>
      <c r="C49" s="78" t="inlineStr">
        <is>
          <t>Saldatrice auto a colonna</t>
        </is>
      </c>
      <c r="D49" s="83" t="inlineStr">
        <is>
          <t>SIMAC</t>
        </is>
      </c>
      <c r="E49" s="83" t="inlineStr">
        <is>
          <t>MMPH 5X4</t>
        </is>
      </c>
      <c r="F49" s="78" t="inlineStr">
        <is>
          <t>Saldatrice auto a colonna</t>
        </is>
      </c>
      <c r="G49" s="71" t="n">
        <v>45996</v>
      </c>
      <c r="H49" s="77" t="inlineStr">
        <is>
          <t>Compito</t>
        </is>
      </c>
      <c r="I49" s="77">
        <f>IF((V49-R49)&gt;3,"SI","")</f>
        <v/>
      </c>
      <c r="J49" s="77" t="inlineStr">
        <is>
          <t>SI</t>
        </is>
      </c>
      <c r="K49" s="77" t="n"/>
      <c r="L49" s="77" t="n"/>
      <c r="M49" s="137">
        <f>IF(R49&gt;0,(SQRT(BT49*(SUM(BU49:BZ49)))),"")</f>
        <v/>
      </c>
      <c r="N49" s="4">
        <f>IF(T49&gt;0,(MAX(T49,Z49,AD49,AH49,AL49,AP49))+SQRT(1.2^2+1^2),"")</f>
        <v/>
      </c>
      <c r="O49" s="3">
        <f>IF(R49="",0,10*LOG10(SUM(BG49:BL49)/(COUNT(R49,X49,AB49,AF49,AJ49,AN49))))</f>
        <v/>
      </c>
      <c r="P49" s="5">
        <f>IF(AND(Y49="",AC49="",AG49="",AK49="",AO49=""),S49,AVERAGE(S49,Y49,AC49,AG49,AK49,AO49)+STDEV(S49,Y49,AC49,AG49,AK49,AO49))</f>
        <v/>
      </c>
      <c r="Q49" s="14" t="n">
        <v>300</v>
      </c>
      <c r="R49" s="11" t="n">
        <v>83.2</v>
      </c>
      <c r="S49" s="12" t="n">
        <v>83.5</v>
      </c>
      <c r="T49" s="13" t="n">
        <v>108.9</v>
      </c>
      <c r="U49" s="79" t="n">
        <v>83.2</v>
      </c>
      <c r="V49" s="79" t="n">
        <v>84.90000000000001</v>
      </c>
      <c r="W49" s="10" t="n">
        <v>300</v>
      </c>
      <c r="X49" s="11" t="n">
        <v>82.90000000000001</v>
      </c>
      <c r="Y49" s="12" t="n">
        <v>82.8</v>
      </c>
      <c r="Z49" s="13" t="n">
        <v>109.5</v>
      </c>
      <c r="AA49" s="10" t="n">
        <v>300</v>
      </c>
      <c r="AB49" s="11" t="n">
        <v>80.5</v>
      </c>
      <c r="AC49" s="12" t="n">
        <v>80.8</v>
      </c>
      <c r="AD49" s="13" t="n">
        <v>109.3</v>
      </c>
      <c r="AE49" s="14" t="n">
        <v>300</v>
      </c>
      <c r="AF49" s="11" t="n">
        <v>80.7</v>
      </c>
      <c r="AG49" s="12" t="n">
        <v>81.7</v>
      </c>
      <c r="AH49" s="13" t="n">
        <v>105.4</v>
      </c>
      <c r="AI49" s="10" t="n">
        <v>300</v>
      </c>
      <c r="AJ49" s="11" t="n">
        <v>84.59999999999999</v>
      </c>
      <c r="AK49" s="12" t="n">
        <v>85</v>
      </c>
      <c r="AL49" s="13" t="n">
        <v>117.1</v>
      </c>
      <c r="AM49" s="10" t="n">
        <v>300</v>
      </c>
      <c r="AN49" s="11" t="n">
        <v>78.3</v>
      </c>
      <c r="AO49" s="12" t="n">
        <v>79.59999999999999</v>
      </c>
      <c r="AP49" s="13" t="n">
        <v>103</v>
      </c>
      <c r="AQ49" s="6">
        <f>IF(AND((O49)&lt;85,N49&lt;137),"NO","SI")</f>
        <v/>
      </c>
      <c r="AR49" s="7">
        <f>IF((480*(10^(7.95-(O49/10))))&lt;480,480*(10^(7.95-(O49/10))),480)</f>
        <v/>
      </c>
      <c r="AS49" s="8">
        <f>IF((480*(10^(8.45-(O49/10))))&lt;480,480*(10^(8.45-(O49/10))),480)</f>
        <v/>
      </c>
      <c r="AT49" s="9">
        <f>IF((480*(10^(8.65-(O49/10))))&lt;480,480*(10^(8.65-(O49/10))),480)</f>
        <v/>
      </c>
      <c r="AU49" s="111">
        <f>IF(O49&lt;80,"0",IF((P49-O49)&lt;=2,('DPI art.191'!$G$3-(('DPI art.191'!$F$3-'DPI art.191'!$G$3)/4)*(P49-O49-2)),('DPI art.191'!$G$3-(('DPI art.191'!$G$3-'DPI art.191'!$H$3)/8)*(P49-O49-2))))</f>
        <v/>
      </c>
      <c r="AV49" s="24">
        <f>O49-AU49</f>
        <v/>
      </c>
      <c r="AW49" s="24">
        <f>IF(N49&lt;135,N49,N49-'DPI art.191'!$I$3)</f>
        <v/>
      </c>
      <c r="AX49" s="111">
        <f>IF(I49&lt;80,"0",IF((J49-I49)&lt;=2,('DPI art.191'!$G$7-(('DPI art.191'!$F$7-'DPI art.191'!$G$7)/4)*(I49-J49-2)),('DPI art.191'!$G$7-(('DPI art.191'!$G$7-'DPI art.191'!$H$7)/8)*(J49-I49-2))))</f>
        <v/>
      </c>
      <c r="AY49" s="24">
        <f>I49-AX49</f>
        <v/>
      </c>
      <c r="AZ49" s="24">
        <f>IF(H49&lt;135,H49,H49-'DPI art.191'!$I$7)</f>
        <v/>
      </c>
      <c r="BA49" s="111">
        <f>IF(O49&lt;80,"0",IF((P49-O49)&lt;=2,('DPI art.191'!$G$5-(('DPI art.191'!$F$5-'DPI art.191'!$G$5)/4)*(P49-O49-2)),('DPI art.191'!$G$5-(('DPI art.191'!$G$5-'DPI art.191'!$H$5)/8)*(P49-O49-2))))</f>
        <v/>
      </c>
      <c r="BB49" s="24">
        <f>R49-BA49</f>
        <v/>
      </c>
      <c r="BC49" s="24">
        <f>IF(N49&lt;135,N49,N49-'DPI art.191'!$I$5)</f>
        <v/>
      </c>
      <c r="BD49" s="111">
        <f>IF(O49&lt;80,"0",IF((P49-O49)&lt;=2,('DPI art.191'!$G$7-(('DPI art.191'!$F$7-'DPI art.191'!$G$7)/4)*(O49-P49-2)),('DPI art.191'!$G$7-(('DPI art.191'!$G$7-'DPI art.191'!$H$7)/8)*(P49-O49-2))))</f>
        <v/>
      </c>
      <c r="BE49" s="24">
        <f>O49-BD49</f>
        <v/>
      </c>
      <c r="BF49" s="24">
        <f>IF(N49&lt;135,N49,N49-'DPI art.191'!$I$7)</f>
        <v/>
      </c>
      <c r="BG49" s="108">
        <f>10^(0.1*R49)</f>
        <v/>
      </c>
      <c r="BH49" s="108">
        <f>10^(0.1*X49)</f>
        <v/>
      </c>
      <c r="BI49" s="108">
        <f>10^(0.1*AB49)</f>
        <v/>
      </c>
      <c r="BJ49" s="108">
        <f>10^(0.1*AF49)</f>
        <v/>
      </c>
      <c r="BK49" s="108">
        <f>10^(0.1*AJ49)</f>
        <v/>
      </c>
      <c r="BL49" s="108">
        <f>10^(0.1*AN49)</f>
        <v/>
      </c>
      <c r="BM49" s="106">
        <f>IF(R49&gt;0,(O49-R49),"")</f>
        <v/>
      </c>
      <c r="BN49" s="106">
        <f>IF(X49&gt;0,(O49-X49),"")</f>
        <v/>
      </c>
      <c r="BO49" s="106">
        <f>IF(AB49&gt;0,(O49-AB49),"")</f>
        <v/>
      </c>
      <c r="BP49" s="106">
        <f>IF(AF49&gt;0,(O49-AF49),"")</f>
        <v/>
      </c>
      <c r="BQ49" s="106">
        <f>IF(AJ49&gt;0,(O49-AJ49),"")</f>
        <v/>
      </c>
      <c r="BR49" s="106">
        <f>IF(AN49&gt;0,(O49-AN49),"")</f>
        <v/>
      </c>
      <c r="BS49" s="106">
        <f>COUNT(BM49:BR49)</f>
        <v/>
      </c>
      <c r="BT49" s="464">
        <f>IF(BS49=0,0,IF(BS49=1,0,1/(BS49*(BS49-1))))</f>
        <v/>
      </c>
      <c r="BU49" s="136">
        <f>IF(R49&gt;0,(BM49^2),"")</f>
        <v/>
      </c>
      <c r="BV49" s="136">
        <f>IF(X49&gt;0,(BN49^2),"")</f>
        <v/>
      </c>
      <c r="BW49" s="136">
        <f>IF(AB49&gt;0,(BO49^2),"")</f>
        <v/>
      </c>
      <c r="BX49" s="136">
        <f>IF(AF49&gt;0,(BP49^2),"")</f>
        <v/>
      </c>
      <c r="BY49" s="136">
        <f>IF(AJ49&gt;0,(BQ49^2),"")</f>
        <v/>
      </c>
      <c r="BZ49" s="136">
        <f>IF(AN49&gt;0,(BR49^2),"")</f>
        <v/>
      </c>
    </row>
    <row r="50" ht="25.5" customHeight="1" s="444">
      <c r="A50" s="340" t="inlineStr">
        <is>
          <t>Gualdo 1</t>
        </is>
      </c>
      <c r="B50" s="65" t="inlineStr">
        <is>
          <t>E6</t>
        </is>
      </c>
      <c r="C50" s="78" t="inlineStr">
        <is>
          <t>Zona montaggio saldatore e controllo qualità</t>
        </is>
      </c>
      <c r="D50" s="83" t="inlineStr">
        <is>
          <t>/</t>
        </is>
      </c>
      <c r="E50" s="83" t="inlineStr">
        <is>
          <t>/</t>
        </is>
      </c>
      <c r="F50" s="192" t="inlineStr">
        <is>
          <t xml:space="preserve">Montaggio e controllo qualità </t>
        </is>
      </c>
      <c r="G50" s="71" t="n">
        <v>45996</v>
      </c>
      <c r="H50" s="77" t="inlineStr">
        <is>
          <t>Compito</t>
        </is>
      </c>
      <c r="I50" s="77">
        <f>IF((V50-R50)&gt;3,"SI","")</f>
        <v/>
      </c>
      <c r="J50" s="77" t="inlineStr">
        <is>
          <t>SI</t>
        </is>
      </c>
      <c r="K50" s="77" t="n"/>
      <c r="L50" s="77" t="n"/>
      <c r="M50" s="137">
        <f>IF(R50&gt;0,(SQRT(BT50*(SUM(BU50:BZ50)))),"")</f>
        <v/>
      </c>
      <c r="N50" s="4">
        <f>IF(T50&gt;0,(MAX(T50,Z50,AD50,AH50,AL50,AP50))+SQRT(1.2^2+1^2),"")</f>
        <v/>
      </c>
      <c r="O50" s="3">
        <f>IF(R50="",0,10*LOG10(SUM(BG50:BL50)/(COUNT(R50,X50,AB50,AF50,AJ50,AN50))))</f>
        <v/>
      </c>
      <c r="P50" s="5">
        <f>IF(AND(Y50="",AC50="",AG50="",AK50="",AO50=""),S50,AVERAGE(S50,Y50,AC50,AG50,AK50,AO50)+STDEV(S50,Y50,AC50,AG50,AK50,AO50))</f>
        <v/>
      </c>
      <c r="Q50" s="14" t="n">
        <v>300</v>
      </c>
      <c r="R50" s="11" t="n">
        <v>88.8</v>
      </c>
      <c r="S50" s="12" t="n">
        <v>87.90000000000001</v>
      </c>
      <c r="T50" s="13" t="n">
        <v>106.9</v>
      </c>
      <c r="U50" s="79" t="n">
        <v>88.8</v>
      </c>
      <c r="V50" s="79" t="n">
        <v>90.40000000000001</v>
      </c>
      <c r="W50" s="10" t="n">
        <v>300</v>
      </c>
      <c r="X50" s="11" t="n">
        <v>91.09999999999999</v>
      </c>
      <c r="Y50" s="12" t="n">
        <v>89.90000000000001</v>
      </c>
      <c r="Z50" s="13" t="n">
        <v>110.3</v>
      </c>
      <c r="AA50" s="10" t="n">
        <v>300</v>
      </c>
      <c r="AB50" s="11" t="n">
        <v>87.2</v>
      </c>
      <c r="AC50" s="12" t="n">
        <v>86.59999999999999</v>
      </c>
      <c r="AD50" s="13" t="n">
        <v>106.4</v>
      </c>
      <c r="AE50" s="14" t="n">
        <v>300</v>
      </c>
      <c r="AF50" s="11" t="n">
        <v>89.5</v>
      </c>
      <c r="AG50" s="12" t="n">
        <v>88.5</v>
      </c>
      <c r="AH50" s="13" t="n">
        <v>106.3</v>
      </c>
      <c r="AI50" s="10" t="n">
        <v>300</v>
      </c>
      <c r="AJ50" s="11" t="n">
        <v>88.90000000000001</v>
      </c>
      <c r="AK50" s="12" t="n">
        <v>88</v>
      </c>
      <c r="AL50" s="13" t="n">
        <v>106.8</v>
      </c>
      <c r="AM50" s="10" t="n">
        <v>300</v>
      </c>
      <c r="AN50" s="11" t="n">
        <v>86.59999999999999</v>
      </c>
      <c r="AO50" s="12" t="n">
        <v>85.90000000000001</v>
      </c>
      <c r="AP50" s="13" t="n">
        <v>105.5</v>
      </c>
      <c r="AQ50" s="6">
        <f>IF(AND((O50)&lt;85,N50&lt;137),"NO","SI")</f>
        <v/>
      </c>
      <c r="AR50" s="7">
        <f>IF((480*(10^(7.95-(O50/10))))&lt;480,480*(10^(7.95-(O50/10))),480)</f>
        <v/>
      </c>
      <c r="AS50" s="8">
        <f>IF((480*(10^(8.45-(O50/10))))&lt;480,480*(10^(8.45-(O50/10))),480)</f>
        <v/>
      </c>
      <c r="AT50" s="9">
        <f>IF((480*(10^(8.65-(O50/10))))&lt;480,480*(10^(8.65-(O50/10))),480)</f>
        <v/>
      </c>
      <c r="AU50" s="111">
        <f>IF(O50&lt;80,"0",IF((P50-O50)&lt;=2,('DPI art.191'!$G$3-(('DPI art.191'!$F$3-'DPI art.191'!$G$3)/4)*(P50-O50-2)),('DPI art.191'!$G$3-(('DPI art.191'!$G$3-'DPI art.191'!$H$3)/8)*(P50-O50-2))))</f>
        <v/>
      </c>
      <c r="AV50" s="24">
        <f>O50-AU50</f>
        <v/>
      </c>
      <c r="AW50" s="24">
        <f>IF(N50&lt;135,N50,N50-'DPI art.191'!$I$3)</f>
        <v/>
      </c>
      <c r="AX50" s="111">
        <f>IF(I50&lt;80,"0",IF((J50-I50)&lt;=2,('DPI art.191'!$G$7-(('DPI art.191'!$F$7-'DPI art.191'!$G$7)/4)*(I50-J50-2)),('DPI art.191'!$G$7-(('DPI art.191'!$G$7-'DPI art.191'!$H$7)/8)*(J50-I50-2))))</f>
        <v/>
      </c>
      <c r="AY50" s="24">
        <f>I50-AX50</f>
        <v/>
      </c>
      <c r="AZ50" s="24">
        <f>IF(H50&lt;135,H50,H50-'DPI art.191'!$I$7)</f>
        <v/>
      </c>
      <c r="BA50" s="111">
        <f>IF(O50&lt;80,"0",IF((P50-O50)&lt;=2,('DPI art.191'!$G$5-(('DPI art.191'!$F$5-'DPI art.191'!$G$5)/4)*(P50-O50-2)),('DPI art.191'!$G$5-(('DPI art.191'!$G$5-'DPI art.191'!$H$5)/8)*(P50-O50-2))))</f>
        <v/>
      </c>
      <c r="BB50" s="24">
        <f>R50-BA50</f>
        <v/>
      </c>
      <c r="BC50" s="24">
        <f>IF(N50&lt;135,N50,N50-'DPI art.191'!$I$5)</f>
        <v/>
      </c>
      <c r="BD50" s="111">
        <f>IF(O50&lt;80,"0",IF((P50-O50)&lt;=2,('DPI art.191'!$G$7-(('DPI art.191'!$F$7-'DPI art.191'!$G$7)/4)*(O50-P50-2)),('DPI art.191'!$G$7-(('DPI art.191'!$G$7-'DPI art.191'!$H$7)/8)*(P50-O50-2))))</f>
        <v/>
      </c>
      <c r="BE50" s="24">
        <f>O50-BD50</f>
        <v/>
      </c>
      <c r="BF50" s="24">
        <f>IF(N50&lt;135,N50,N50-'DPI art.191'!$I$7)</f>
        <v/>
      </c>
      <c r="BG50" s="108">
        <f>10^(0.1*R50)</f>
        <v/>
      </c>
      <c r="BH50" s="108">
        <f>10^(0.1*X50)</f>
        <v/>
      </c>
      <c r="BI50" s="108">
        <f>10^(0.1*AB50)</f>
        <v/>
      </c>
      <c r="BJ50" s="108">
        <f>10^(0.1*AF50)</f>
        <v/>
      </c>
      <c r="BK50" s="108">
        <f>10^(0.1*AJ50)</f>
        <v/>
      </c>
      <c r="BL50" s="108">
        <f>10^(0.1*AN50)</f>
        <v/>
      </c>
      <c r="BM50" s="106">
        <f>IF(R50&gt;0,(O50-R50),"")</f>
        <v/>
      </c>
      <c r="BN50" s="106">
        <f>IF(X50&gt;0,(O50-X50),"")</f>
        <v/>
      </c>
      <c r="BO50" s="106">
        <f>IF(AB50&gt;0,(O50-AB50),"")</f>
        <v/>
      </c>
      <c r="BP50" s="106">
        <f>IF(AF50&gt;0,(O50-AF50),"")</f>
        <v/>
      </c>
      <c r="BQ50" s="106">
        <f>IF(AJ50&gt;0,(O50-AJ50),"")</f>
        <v/>
      </c>
      <c r="BR50" s="106">
        <f>IF(AN50&gt;0,(O50-AN50),"")</f>
        <v/>
      </c>
      <c r="BS50" s="106">
        <f>COUNT(BM50:BR50)</f>
        <v/>
      </c>
      <c r="BT50" s="464">
        <f>IF(BS50=0,0,IF(BS50=1,0,1/(BS50*(BS50-1))))</f>
        <v/>
      </c>
      <c r="BU50" s="136">
        <f>IF(R50&gt;0,(BM50^2),"")</f>
        <v/>
      </c>
      <c r="BV50" s="136">
        <f>IF(X50&gt;0,(BN50^2),"")</f>
        <v/>
      </c>
      <c r="BW50" s="136">
        <f>IF(AB50&gt;0,(BO50^2),"")</f>
        <v/>
      </c>
      <c r="BX50" s="136">
        <f>IF(AF50&gt;0,(BP50^2),"")</f>
        <v/>
      </c>
      <c r="BY50" s="136">
        <f>IF(AJ50&gt;0,(BQ50^2),"")</f>
        <v/>
      </c>
      <c r="BZ50" s="136">
        <f>IF(AN50&gt;0,(BR50^2),"")</f>
        <v/>
      </c>
    </row>
    <row r="51" ht="18.75" customHeight="1" s="444">
      <c r="A51" s="340" t="inlineStr">
        <is>
          <t>252/04</t>
        </is>
      </c>
      <c r="B51" s="65" t="inlineStr">
        <is>
          <t>E7</t>
        </is>
      </c>
      <c r="C51" s="78" t="inlineStr">
        <is>
          <t>Calandra</t>
        </is>
      </c>
      <c r="D51" s="83" t="inlineStr">
        <is>
          <t>FACCIN</t>
        </is>
      </c>
      <c r="E51" s="83" t="inlineStr">
        <is>
          <t>4HEL/S 3145</t>
        </is>
      </c>
      <c r="F51" s="192" t="inlineStr">
        <is>
          <t>Calandratura</t>
        </is>
      </c>
      <c r="G51" s="71" t="n">
        <v>45996</v>
      </c>
      <c r="H51" s="77" t="inlineStr">
        <is>
          <t>Compito</t>
        </is>
      </c>
      <c r="I51" s="77">
        <f>IF((V51-R51)&gt;3,"SI","")</f>
        <v/>
      </c>
      <c r="J51" s="77" t="inlineStr">
        <is>
          <t>SI</t>
        </is>
      </c>
      <c r="K51" s="77" t="n"/>
      <c r="L51" s="77" t="n"/>
      <c r="M51" s="137">
        <f>IF(R51&gt;0,(SQRT(BT51*(SUM(BU51:BZ51)))),"")</f>
        <v/>
      </c>
      <c r="N51" s="4">
        <f>IF(T51&gt;0,(MAX(T51,Z51,AD51,AH51,AL51,AP51))+SQRT(1.2^2+1^2),"")</f>
        <v/>
      </c>
      <c r="O51" s="3">
        <f>IF(R51="",0,10*LOG10(SUM(BG51:BL51)/(COUNT(R51,X51,AB51,AF51,AJ51,AN51))))</f>
        <v/>
      </c>
      <c r="P51" s="5">
        <f>IF(AND(Y51="",AC51="",AG51="",AK51="",AO51=""),S51,AVERAGE(S51,Y51,AC51,AG51,AK51,AO51)+STDEV(S51,Y51,AC51,AG51,AK51,AO51))</f>
        <v/>
      </c>
      <c r="Q51" s="14" t="n">
        <v>300</v>
      </c>
      <c r="R51" s="11" t="n">
        <v>85.5</v>
      </c>
      <c r="S51" s="12" t="n">
        <v>85.3</v>
      </c>
      <c r="T51" s="13" t="n">
        <v>101.9</v>
      </c>
      <c r="U51" s="79" t="n">
        <v>85.59999999999999</v>
      </c>
      <c r="V51" s="79" t="n">
        <v>87</v>
      </c>
      <c r="W51" s="10" t="n">
        <v>300</v>
      </c>
      <c r="X51" s="11" t="n">
        <v>80.90000000000001</v>
      </c>
      <c r="Y51" s="12" t="n">
        <v>81.8</v>
      </c>
      <c r="Z51" s="13" t="n">
        <v>99.5</v>
      </c>
      <c r="AA51" s="10" t="n">
        <v>300</v>
      </c>
      <c r="AB51" s="11" t="n">
        <v>85.2</v>
      </c>
      <c r="AC51" s="12" t="n">
        <v>85.09999999999999</v>
      </c>
      <c r="AD51" s="13" t="n">
        <v>105.3</v>
      </c>
      <c r="AE51" s="14" t="n">
        <v>300</v>
      </c>
      <c r="AF51" s="11" t="n">
        <v>85.7</v>
      </c>
      <c r="AG51" s="12" t="n">
        <v>85.2</v>
      </c>
      <c r="AH51" s="13" t="n">
        <v>102.5</v>
      </c>
      <c r="AI51" s="10" t="n">
        <v>300</v>
      </c>
      <c r="AJ51" s="11" t="n">
        <v>84.90000000000001</v>
      </c>
      <c r="AK51" s="12" t="n">
        <v>84.59999999999999</v>
      </c>
      <c r="AL51" s="13" t="n">
        <v>99.5</v>
      </c>
      <c r="AM51" s="10" t="n">
        <v>300</v>
      </c>
      <c r="AN51" s="11" t="n">
        <v>83.09999999999999</v>
      </c>
      <c r="AO51" s="12" t="n">
        <v>83.59999999999999</v>
      </c>
      <c r="AP51" s="13" t="n">
        <v>107.8</v>
      </c>
      <c r="AQ51" s="6">
        <f>IF(AND((O51)&lt;85,N51&lt;137),"NO","SI")</f>
        <v/>
      </c>
      <c r="AR51" s="7">
        <f>IF((480*(10^(7.95-(O51/10))))&lt;480,480*(10^(7.95-(O51/10))),480)</f>
        <v/>
      </c>
      <c r="AS51" s="8">
        <f>IF((480*(10^(8.45-(O51/10))))&lt;480,480*(10^(8.45-(O51/10))),480)</f>
        <v/>
      </c>
      <c r="AT51" s="9">
        <f>IF((480*(10^(8.65-(O51/10))))&lt;480,480*(10^(8.65-(O51/10))),480)</f>
        <v/>
      </c>
      <c r="AU51" s="111">
        <f>IF(O51&lt;80,"0",IF((P51-O51)&lt;=2,('DPI art.191'!$G$3-(('DPI art.191'!$F$3-'DPI art.191'!$G$3)/4)*(P51-O51-2)),('DPI art.191'!$G$3-(('DPI art.191'!$G$3-'DPI art.191'!$H$3)/8)*(P51-O51-2))))</f>
        <v/>
      </c>
      <c r="AV51" s="24">
        <f>O51-AU51</f>
        <v/>
      </c>
      <c r="AW51" s="24">
        <f>IF(N51&lt;135,N51,N51-'DPI art.191'!$I$3)</f>
        <v/>
      </c>
      <c r="AX51" s="111">
        <f>IF(I51&lt;80,"0",IF((J51-I51)&lt;=2,('DPI art.191'!$G$7-(('DPI art.191'!$F$7-'DPI art.191'!$G$7)/4)*(I51-J51-2)),('DPI art.191'!$G$7-(('DPI art.191'!$G$7-'DPI art.191'!$H$7)/8)*(J51-I51-2))))</f>
        <v/>
      </c>
      <c r="AY51" s="24">
        <f>I51-AX51</f>
        <v/>
      </c>
      <c r="AZ51" s="24">
        <f>IF(H51&lt;135,H51,H51-'DPI art.191'!$I$7)</f>
        <v/>
      </c>
      <c r="BA51" s="111">
        <f>IF(O51&lt;80,"0",IF((P51-O51)&lt;=2,('DPI art.191'!$G$5-(('DPI art.191'!$F$5-'DPI art.191'!$G$5)/4)*(P51-O51-2)),('DPI art.191'!$G$5-(('DPI art.191'!$G$5-'DPI art.191'!$H$5)/8)*(P51-O51-2))))</f>
        <v/>
      </c>
      <c r="BB51" s="24">
        <f>R51-BA51</f>
        <v/>
      </c>
      <c r="BC51" s="24">
        <f>IF(N51&lt;135,N51,N51-'DPI art.191'!$I$5)</f>
        <v/>
      </c>
      <c r="BD51" s="111">
        <f>IF(O51&lt;80,"0",IF((P51-O51)&lt;=2,('DPI art.191'!$G$7-(('DPI art.191'!$F$7-'DPI art.191'!$G$7)/4)*(O51-P51-2)),('DPI art.191'!$G$7-(('DPI art.191'!$G$7-'DPI art.191'!$H$7)/8)*(P51-O51-2))))</f>
        <v/>
      </c>
      <c r="BE51" s="24">
        <f>O51-BD51</f>
        <v/>
      </c>
      <c r="BF51" s="24">
        <f>IF(N51&lt;135,N51,N51-'DPI art.191'!$I$7)</f>
        <v/>
      </c>
      <c r="BG51" s="108">
        <f>10^(0.1*R51)</f>
        <v/>
      </c>
      <c r="BH51" s="108">
        <f>10^(0.1*X51)</f>
        <v/>
      </c>
      <c r="BI51" s="108">
        <f>10^(0.1*AB51)</f>
        <v/>
      </c>
      <c r="BJ51" s="108">
        <f>10^(0.1*AF51)</f>
        <v/>
      </c>
      <c r="BK51" s="108">
        <f>10^(0.1*AJ51)</f>
        <v/>
      </c>
      <c r="BL51" s="108">
        <f>10^(0.1*AN51)</f>
        <v/>
      </c>
      <c r="BM51" s="106">
        <f>IF(R51&gt;0,(O51-R51),"")</f>
        <v/>
      </c>
      <c r="BN51" s="106">
        <f>IF(X51&gt;0,(O51-X51),"")</f>
        <v/>
      </c>
      <c r="BO51" s="106">
        <f>IF(AB51&gt;0,(O51-AB51),"")</f>
        <v/>
      </c>
      <c r="BP51" s="106">
        <f>IF(AF51&gt;0,(O51-AF51),"")</f>
        <v/>
      </c>
      <c r="BQ51" s="106">
        <f>IF(AJ51&gt;0,(O51-AJ51),"")</f>
        <v/>
      </c>
      <c r="BR51" s="106">
        <f>IF(AN51&gt;0,(O51-AN51),"")</f>
        <v/>
      </c>
      <c r="BS51" s="106">
        <f>COUNT(BM51:BR51)</f>
        <v/>
      </c>
      <c r="BT51" s="464">
        <f>IF(BS51=0,0,IF(BS51=1,0,1/(BS51*(BS51-1))))</f>
        <v/>
      </c>
      <c r="BU51" s="136">
        <f>IF(R51&gt;0,(BM51^2),"")</f>
        <v/>
      </c>
      <c r="BV51" s="136">
        <f>IF(X51&gt;0,(BN51^2),"")</f>
        <v/>
      </c>
      <c r="BW51" s="136">
        <f>IF(AB51&gt;0,(BO51^2),"")</f>
        <v/>
      </c>
      <c r="BX51" s="136">
        <f>IF(AF51&gt;0,(BP51^2),"")</f>
        <v/>
      </c>
      <c r="BY51" s="136">
        <f>IF(AJ51&gt;0,(BQ51^2),"")</f>
        <v/>
      </c>
      <c r="BZ51" s="136">
        <f>IF(AN51&gt;0,(BR51^2),"")</f>
        <v/>
      </c>
    </row>
    <row r="52" ht="18.75" customHeight="1" s="444">
      <c r="A52" s="340" t="inlineStr">
        <is>
          <t>Gualdo 1</t>
        </is>
      </c>
      <c r="B52" s="65" t="inlineStr">
        <is>
          <t>E8</t>
        </is>
      </c>
      <c r="C52" s="78" t="inlineStr">
        <is>
          <t>Movimentazioni esterne</t>
        </is>
      </c>
      <c r="D52" s="83" t="inlineStr">
        <is>
          <t>/</t>
        </is>
      </c>
      <c r="E52" s="83" t="inlineStr">
        <is>
          <t>/</t>
        </is>
      </c>
      <c r="F52" s="78" t="inlineStr">
        <is>
          <t>Movimentazioni esterne</t>
        </is>
      </c>
      <c r="G52" s="71" t="n">
        <v>45996</v>
      </c>
      <c r="H52" s="77" t="inlineStr">
        <is>
          <t>Compito</t>
        </is>
      </c>
      <c r="I52" s="77">
        <f>IF((V52-R52)&gt;3,"SI","")</f>
        <v/>
      </c>
      <c r="J52" s="77" t="inlineStr">
        <is>
          <t>SI</t>
        </is>
      </c>
      <c r="K52" s="77" t="n"/>
      <c r="L52" s="77" t="n"/>
      <c r="M52" s="137">
        <f>IF(R52&gt;0,(SQRT(BT52*(SUM(BU52:BZ52)))),"")</f>
        <v/>
      </c>
      <c r="N52" s="4">
        <f>IF(T52&gt;0,(MAX(T52,Z52,AD52,AH52,AL52,AP52))+SQRT(1.2^2+1^2),"")</f>
        <v/>
      </c>
      <c r="O52" s="3">
        <f>IF(R52="",0,10*LOG10(SUM(BG52:BL52)/(COUNT(R52,X52,AB52,AF52,AJ52,AN52))))</f>
        <v/>
      </c>
      <c r="P52" s="5">
        <f>IF(AND(Y52="",AC52="",AG52="",AK52="",AO52=""),S52,AVERAGE(S52,Y52,AC52,AG52,AK52,AO52)+STDEV(S52,Y52,AC52,AG52,AK52,AO52))</f>
        <v/>
      </c>
      <c r="Q52" s="14" t="n">
        <v>300</v>
      </c>
      <c r="R52" s="11" t="n">
        <v>66.59999999999999</v>
      </c>
      <c r="S52" s="12" t="n">
        <v>78.8</v>
      </c>
      <c r="T52" s="13" t="n">
        <v>101.7</v>
      </c>
      <c r="U52" s="79" t="n">
        <v>66.7</v>
      </c>
      <c r="V52" s="79" t="n">
        <v>68.7</v>
      </c>
      <c r="W52" s="10" t="n">
        <v>300</v>
      </c>
      <c r="X52" s="11" t="n">
        <v>62.9</v>
      </c>
      <c r="Y52" s="12" t="n">
        <v>74.09999999999999</v>
      </c>
      <c r="Z52" s="13" t="n">
        <v>95.40000000000001</v>
      </c>
      <c r="AA52" s="10" t="n">
        <v>300</v>
      </c>
      <c r="AB52" s="11" t="n">
        <v>60.5</v>
      </c>
      <c r="AC52" s="12" t="n">
        <v>71.59999999999999</v>
      </c>
      <c r="AD52" s="13" t="n">
        <v>93.8</v>
      </c>
      <c r="AE52" s="14" t="n">
        <v>300</v>
      </c>
      <c r="AF52" s="11" t="n">
        <v>61.8</v>
      </c>
      <c r="AG52" s="12" t="n">
        <v>74.7</v>
      </c>
      <c r="AH52" s="13" t="n">
        <v>96.09999999999999</v>
      </c>
      <c r="AI52" s="10" t="n">
        <v>300</v>
      </c>
      <c r="AJ52" s="11" t="n">
        <v>59.5</v>
      </c>
      <c r="AK52" s="12" t="n">
        <v>73.2</v>
      </c>
      <c r="AL52" s="13" t="n">
        <v>92.8</v>
      </c>
      <c r="AM52" s="10" t="n">
        <v>300</v>
      </c>
      <c r="AN52" s="11" t="n">
        <v>61.3</v>
      </c>
      <c r="AO52" s="12" t="n">
        <v>75.40000000000001</v>
      </c>
      <c r="AP52" s="13" t="n">
        <v>95.90000000000001</v>
      </c>
      <c r="AQ52" s="6">
        <f>IF(AND((O52)&lt;85,N52&lt;137),"NO","SI")</f>
        <v/>
      </c>
      <c r="AR52" s="7">
        <f>IF((480*(10^(7.95-(O52/10))))&lt;480,480*(10^(7.95-(O52/10))),480)</f>
        <v/>
      </c>
      <c r="AS52" s="8">
        <f>IF((480*(10^(8.45-(O52/10))))&lt;480,480*(10^(8.45-(O52/10))),480)</f>
        <v/>
      </c>
      <c r="AT52" s="9">
        <f>IF((480*(10^(8.65-(O52/10))))&lt;480,480*(10^(8.65-(O52/10))),480)</f>
        <v/>
      </c>
      <c r="AU52" s="111">
        <f>IF(O52&lt;80,"0",IF((P52-O52)&lt;=2,('DPI art.191'!$G$3-(('DPI art.191'!$F$3-'DPI art.191'!$G$3)/4)*(P52-O52-2)),('DPI art.191'!$G$3-(('DPI art.191'!$G$3-'DPI art.191'!$H$3)/8)*(P52-O52-2))))</f>
        <v/>
      </c>
      <c r="AV52" s="24">
        <f>O52-AU52</f>
        <v/>
      </c>
      <c r="AW52" s="24">
        <f>IF(N52&lt;135,N52,N52-'DPI art.191'!$I$3)</f>
        <v/>
      </c>
      <c r="AX52" s="111">
        <f>IF(I52&lt;80,"0",IF((J52-I52)&lt;=2,('DPI art.191'!$G$7-(('DPI art.191'!$F$7-'DPI art.191'!$G$7)/4)*(I52-J52-2)),('DPI art.191'!$G$7-(('DPI art.191'!$G$7-'DPI art.191'!$H$7)/8)*(J52-I52-2))))</f>
        <v/>
      </c>
      <c r="AY52" s="24">
        <f>I52-AX52</f>
        <v/>
      </c>
      <c r="AZ52" s="24">
        <f>IF(H52&lt;135,H52,H52-'DPI art.191'!$I$7)</f>
        <v/>
      </c>
      <c r="BA52" s="111">
        <f>IF(O52&lt;80,"0",IF((P52-O52)&lt;=2,('DPI art.191'!$G$5-(('DPI art.191'!$F$5-'DPI art.191'!$G$5)/4)*(P52-O52-2)),('DPI art.191'!$G$5-(('DPI art.191'!$G$5-'DPI art.191'!$H$5)/8)*(P52-O52-2))))</f>
        <v/>
      </c>
      <c r="BB52" s="24">
        <f>R52-BA52</f>
        <v/>
      </c>
      <c r="BC52" s="24">
        <f>IF(N52&lt;135,N52,N52-'DPI art.191'!$I$5)</f>
        <v/>
      </c>
      <c r="BD52" s="111">
        <f>IF(O52&lt;80,"0",IF((P52-O52)&lt;=2,('DPI art.191'!$G$7-(('DPI art.191'!$F$7-'DPI art.191'!$G$7)/4)*(O52-P52-2)),('DPI art.191'!$G$7-(('DPI art.191'!$G$7-'DPI art.191'!$H$7)/8)*(P52-O52-2))))</f>
        <v/>
      </c>
      <c r="BE52" s="24">
        <f>O52-BD52</f>
        <v/>
      </c>
      <c r="BF52" s="24">
        <f>IF(N52&lt;135,N52,N52-'DPI art.191'!$I$7)</f>
        <v/>
      </c>
      <c r="BG52" s="108">
        <f>10^(0.1*R52)</f>
        <v/>
      </c>
      <c r="BH52" s="108">
        <f>10^(0.1*X52)</f>
        <v/>
      </c>
      <c r="BI52" s="108">
        <f>10^(0.1*AB52)</f>
        <v/>
      </c>
      <c r="BJ52" s="108">
        <f>10^(0.1*AF52)</f>
        <v/>
      </c>
      <c r="BK52" s="108">
        <f>10^(0.1*AJ52)</f>
        <v/>
      </c>
      <c r="BL52" s="108">
        <f>10^(0.1*AN52)</f>
        <v/>
      </c>
      <c r="BM52" s="106">
        <f>IF(R52&gt;0,(O52-R52),"")</f>
        <v/>
      </c>
      <c r="BN52" s="106">
        <f>IF(X52&gt;0,(O52-X52),"")</f>
        <v/>
      </c>
      <c r="BO52" s="106">
        <f>IF(AB52&gt;0,(O52-AB52),"")</f>
        <v/>
      </c>
      <c r="BP52" s="106">
        <f>IF(AF52&gt;0,(O52-AF52),"")</f>
        <v/>
      </c>
      <c r="BQ52" s="106">
        <f>IF(AJ52&gt;0,(O52-AJ52),"")</f>
        <v/>
      </c>
      <c r="BR52" s="106">
        <f>IF(AN52&gt;0,(O52-AN52),"")</f>
        <v/>
      </c>
      <c r="BS52" s="106">
        <f>COUNT(BM52:BR52)</f>
        <v/>
      </c>
      <c r="BT52" s="464">
        <f>IF(BS52=0,0,IF(BS52=1,0,1/(BS52*(BS52-1))))</f>
        <v/>
      </c>
      <c r="BU52" s="136">
        <f>IF(R52&gt;0,(BM52^2),"")</f>
        <v/>
      </c>
      <c r="BV52" s="136">
        <f>IF(X52&gt;0,(BN52^2),"")</f>
        <v/>
      </c>
      <c r="BW52" s="136">
        <f>IF(AB52&gt;0,(BO52^2),"")</f>
        <v/>
      </c>
      <c r="BX52" s="136">
        <f>IF(AF52&gt;0,(BP52^2),"")</f>
        <v/>
      </c>
      <c r="BY52" s="136">
        <f>IF(AJ52&gt;0,(BQ52^2),"")</f>
        <v/>
      </c>
      <c r="BZ52" s="136">
        <f>IF(AN52&gt;0,(BR52^2),"")</f>
        <v/>
      </c>
    </row>
    <row r="53" ht="18.75" customHeight="1" s="444">
      <c r="A53" s="340" t="inlineStr">
        <is>
          <t>Gualdo 1</t>
        </is>
      </c>
      <c r="B53" s="65" t="inlineStr">
        <is>
          <t>E9</t>
        </is>
      </c>
      <c r="C53" s="78" t="inlineStr">
        <is>
          <t>Ufficio tecnico</t>
        </is>
      </c>
      <c r="D53" s="83" t="inlineStr">
        <is>
          <t>/</t>
        </is>
      </c>
      <c r="E53" s="83" t="inlineStr">
        <is>
          <t>/</t>
        </is>
      </c>
      <c r="F53" s="192" t="inlineStr">
        <is>
          <t>Attività di ufficio</t>
        </is>
      </c>
      <c r="G53" s="71" t="n">
        <v>45996</v>
      </c>
      <c r="H53" s="77" t="inlineStr">
        <is>
          <t>Compito</t>
        </is>
      </c>
      <c r="I53" s="77">
        <f>IF((V53-R53)&gt;3,"SI","")</f>
        <v/>
      </c>
      <c r="J53" s="77">
        <f>IF((U53-R53)&gt;3,"SI","")</f>
        <v/>
      </c>
      <c r="K53" s="77" t="n"/>
      <c r="L53" s="77" t="n"/>
      <c r="M53" s="137">
        <f>IF(R53&gt;0,(SQRT(BT53*(SUM(BU53:BZ53)))),"")</f>
        <v/>
      </c>
      <c r="N53" s="4">
        <f>IF(T53&gt;0,(MAX(T53,Z53,AD53,AH53,AL53,AP53))+SQRT(1.2^2+1^2),"")</f>
        <v/>
      </c>
      <c r="O53" s="3">
        <f>IF(R53="",0,10*LOG10(SUM(BG53:BL53)/(COUNT(R53,X53,AB53,AF53,AJ53,AN53))))</f>
        <v/>
      </c>
      <c r="P53" s="5">
        <f>IF(AND(Y53="",AC53="",AG53="",AK53="",AO53=""),S53,AVERAGE(S53,Y53,AC53,AG53,AK53,AO53)+STDEV(S53,Y53,AC53,AG53,AK53,AO53))</f>
        <v/>
      </c>
      <c r="Q53" s="14" t="n">
        <v>300</v>
      </c>
      <c r="R53" s="11" t="n">
        <v>61.3</v>
      </c>
      <c r="S53" s="12" t="n">
        <v>65.59999999999999</v>
      </c>
      <c r="T53" s="13" t="n">
        <v>95</v>
      </c>
      <c r="U53" s="79" t="n">
        <v>61.4</v>
      </c>
      <c r="V53" s="79" t="n">
        <v>68.3</v>
      </c>
      <c r="W53" s="10" t="n">
        <v>300</v>
      </c>
      <c r="X53" s="11" t="n">
        <v>53</v>
      </c>
      <c r="Y53" s="12" t="n">
        <v>62</v>
      </c>
      <c r="Z53" s="13" t="n">
        <v>90.5</v>
      </c>
      <c r="AA53" s="10" t="n">
        <v>300</v>
      </c>
      <c r="AB53" s="11" t="n">
        <v>46.2</v>
      </c>
      <c r="AC53" s="12" t="n">
        <v>58.2</v>
      </c>
      <c r="AD53" s="13" t="n">
        <v>81.90000000000001</v>
      </c>
      <c r="AE53" s="14" t="n">
        <v>300</v>
      </c>
      <c r="AF53" s="11" t="n">
        <v>50.1</v>
      </c>
      <c r="AG53" s="12" t="n">
        <v>57.5</v>
      </c>
      <c r="AH53" s="13" t="n">
        <v>85.90000000000001</v>
      </c>
      <c r="AI53" s="10" t="n">
        <v>300</v>
      </c>
      <c r="AJ53" s="11" t="n">
        <v>53</v>
      </c>
      <c r="AK53" s="12" t="n">
        <v>59.8</v>
      </c>
      <c r="AL53" s="13" t="n">
        <v>88.40000000000001</v>
      </c>
      <c r="AM53" s="10" t="n">
        <v>300</v>
      </c>
      <c r="AN53" s="11" t="n">
        <v>53.2</v>
      </c>
      <c r="AO53" s="12" t="n">
        <v>63.2</v>
      </c>
      <c r="AP53" s="13" t="n">
        <v>93.5</v>
      </c>
      <c r="AQ53" s="6">
        <f>IF(AND((O53)&lt;85,N53&lt;137),"NO","SI")</f>
        <v/>
      </c>
      <c r="AR53" s="7">
        <f>IF((480*(10^(7.95-(O53/10))))&lt;480,480*(10^(7.95-(O53/10))),480)</f>
        <v/>
      </c>
      <c r="AS53" s="8">
        <f>IF((480*(10^(8.45-(O53/10))))&lt;480,480*(10^(8.45-(O53/10))),480)</f>
        <v/>
      </c>
      <c r="AT53" s="9">
        <f>IF((480*(10^(8.65-(O53/10))))&lt;480,480*(10^(8.65-(O53/10))),480)</f>
        <v/>
      </c>
      <c r="AU53" s="111">
        <f>IF(O53&lt;80,"0",IF((P53-O53)&lt;=2,('DPI art.191'!$G$3-(('DPI art.191'!$F$3-'DPI art.191'!$G$3)/4)*(P53-O53-2)),('DPI art.191'!$G$3-(('DPI art.191'!$G$3-'DPI art.191'!$H$3)/8)*(P53-O53-2))))</f>
        <v/>
      </c>
      <c r="AV53" s="24">
        <f>O53-AU53</f>
        <v/>
      </c>
      <c r="AW53" s="24">
        <f>IF(N53&lt;135,N53,N53-'DPI art.191'!$I$3)</f>
        <v/>
      </c>
      <c r="AX53" s="111">
        <f>IF(I53&lt;80,"0",IF((J53-I53)&lt;=2,('DPI art.191'!$G$7-(('DPI art.191'!$F$7-'DPI art.191'!$G$7)/4)*(I53-J53-2)),('DPI art.191'!$G$7-(('DPI art.191'!$G$7-'DPI art.191'!$H$7)/8)*(J53-I53-2))))</f>
        <v/>
      </c>
      <c r="AY53" s="24">
        <f>I53-AX53</f>
        <v/>
      </c>
      <c r="AZ53" s="24">
        <f>IF(H53&lt;135,H53,H53-'DPI art.191'!$I$7)</f>
        <v/>
      </c>
      <c r="BA53" s="111">
        <f>IF(O53&lt;80,"0",IF((P53-O53)&lt;=2,('DPI art.191'!$G$5-(('DPI art.191'!$F$5-'DPI art.191'!$G$5)/4)*(P53-O53-2)),('DPI art.191'!$G$5-(('DPI art.191'!$G$5-'DPI art.191'!$H$5)/8)*(P53-O53-2))))</f>
        <v/>
      </c>
      <c r="BB53" s="24">
        <f>R53-BA53</f>
        <v/>
      </c>
      <c r="BC53" s="24">
        <f>IF(N53&lt;135,N53,N53-'DPI art.191'!$I$5)</f>
        <v/>
      </c>
      <c r="BD53" s="111">
        <f>IF(O53&lt;80,"0",IF((P53-O53)&lt;=2,('DPI art.191'!$G$7-(('DPI art.191'!$F$7-'DPI art.191'!$G$7)/4)*(O53-P53-2)),('DPI art.191'!$G$7-(('DPI art.191'!$G$7-'DPI art.191'!$H$7)/8)*(P53-O53-2))))</f>
        <v/>
      </c>
      <c r="BE53" s="24">
        <f>O53-BD53</f>
        <v/>
      </c>
      <c r="BF53" s="24">
        <f>IF(N53&lt;135,N53,N53-'DPI art.191'!$I$7)</f>
        <v/>
      </c>
      <c r="BG53" s="108">
        <f>10^(0.1*R53)</f>
        <v/>
      </c>
      <c r="BH53" s="108">
        <f>10^(0.1*X53)</f>
        <v/>
      </c>
      <c r="BI53" s="108">
        <f>10^(0.1*AB53)</f>
        <v/>
      </c>
      <c r="BJ53" s="108">
        <f>10^(0.1*AF53)</f>
        <v/>
      </c>
      <c r="BK53" s="108">
        <f>10^(0.1*AJ53)</f>
        <v/>
      </c>
      <c r="BL53" s="108">
        <f>10^(0.1*AN53)</f>
        <v/>
      </c>
      <c r="BM53" s="106">
        <f>IF(R53&gt;0,(O53-R53),"")</f>
        <v/>
      </c>
      <c r="BN53" s="106">
        <f>IF(X53&gt;0,(O53-X53),"")</f>
        <v/>
      </c>
      <c r="BO53" s="106">
        <f>IF(AB53&gt;0,(O53-AB53),"")</f>
        <v/>
      </c>
      <c r="BP53" s="106">
        <f>IF(AF53&gt;0,(O53-AF53),"")</f>
        <v/>
      </c>
      <c r="BQ53" s="106">
        <f>IF(AJ53&gt;0,(O53-AJ53),"")</f>
        <v/>
      </c>
      <c r="BR53" s="106">
        <f>IF(AN53&gt;0,(O53-AN53),"")</f>
        <v/>
      </c>
      <c r="BS53" s="106">
        <f>COUNT(BM53:BR53)</f>
        <v/>
      </c>
      <c r="BT53" s="464">
        <f>IF(BS53=0,0,IF(BS53=1,0,1/(BS53*(BS53-1))))</f>
        <v/>
      </c>
      <c r="BU53" s="136">
        <f>IF(R53&gt;0,(BM53^2),"")</f>
        <v/>
      </c>
      <c r="BV53" s="136">
        <f>IF(X53&gt;0,(BN53^2),"")</f>
        <v/>
      </c>
      <c r="BW53" s="136">
        <f>IF(AB53&gt;0,(BO53^2),"")</f>
        <v/>
      </c>
      <c r="BX53" s="136">
        <f>IF(AF53&gt;0,(BP53^2),"")</f>
        <v/>
      </c>
      <c r="BY53" s="136">
        <f>IF(AJ53&gt;0,(BQ53^2),"")</f>
        <v/>
      </c>
      <c r="BZ53" s="136">
        <f>IF(AN53&gt;0,(BR53^2),"")</f>
        <v/>
      </c>
    </row>
    <row r="54" ht="18.75" customHeight="1" s="444">
      <c r="A54" s="340" t="inlineStr">
        <is>
          <t>Gualdo 1</t>
        </is>
      </c>
      <c r="B54" s="65" t="inlineStr">
        <is>
          <t>E10</t>
        </is>
      </c>
      <c r="C54" s="78" t="inlineStr">
        <is>
          <t>Magazzino zona compressori</t>
        </is>
      </c>
      <c r="D54" s="83" t="inlineStr">
        <is>
          <t>/</t>
        </is>
      </c>
      <c r="E54" s="83" t="inlineStr">
        <is>
          <t>/</t>
        </is>
      </c>
      <c r="F54" s="192" t="inlineStr">
        <is>
          <t>Controllo impianti tecnici</t>
        </is>
      </c>
      <c r="G54" s="71" t="n">
        <v>45996</v>
      </c>
      <c r="H54" s="77" t="inlineStr">
        <is>
          <t>Compito</t>
        </is>
      </c>
      <c r="I54" s="77">
        <f>IF((V54-R54)&gt;3,"SI","")</f>
        <v/>
      </c>
      <c r="J54" s="77" t="inlineStr">
        <is>
          <t>SI</t>
        </is>
      </c>
      <c r="K54" s="77" t="n"/>
      <c r="L54" s="77" t="n"/>
      <c r="M54" s="137">
        <f>IF(R54&gt;0,(SQRT(BT54*(SUM(BU54:BZ54)))),"")</f>
        <v/>
      </c>
      <c r="N54" s="4">
        <f>IF(T54&gt;0,(MAX(T54,Z54,AD54,AH54,AL54,AP54))+SQRT(1.2^2+1^2),"")</f>
        <v/>
      </c>
      <c r="O54" s="3">
        <f>IF(R54="",0,10*LOG10(SUM(BG54:BL54)/(COUNT(R54,X54,AB54,AF54,AJ54,AN54))))</f>
        <v/>
      </c>
      <c r="P54" s="5">
        <f>IF(AND(Y54="",AC54="",AG54="",AK54="",AO54=""),S54,AVERAGE(S54,Y54,AC54,AG54,AK54,AO54)+STDEV(S54,Y54,AC54,AG54,AK54,AO54))</f>
        <v/>
      </c>
      <c r="Q54" s="14" t="n">
        <v>300</v>
      </c>
      <c r="R54" s="11" t="n">
        <v>74.90000000000001</v>
      </c>
      <c r="S54" s="12" t="n">
        <v>79.40000000000001</v>
      </c>
      <c r="T54" s="13" t="n">
        <v>94.8</v>
      </c>
      <c r="U54" s="79" t="n">
        <v>74.90000000000001</v>
      </c>
      <c r="V54" s="79" t="n">
        <v>76</v>
      </c>
      <c r="W54" s="10" t="n">
        <v>300</v>
      </c>
      <c r="X54" s="11" t="n">
        <v>74.8</v>
      </c>
      <c r="Y54" s="12" t="n">
        <v>79.3</v>
      </c>
      <c r="Z54" s="13" t="n">
        <v>93.5</v>
      </c>
      <c r="AA54" s="10" t="n">
        <v>300</v>
      </c>
      <c r="AB54" s="11" t="n">
        <v>76.2</v>
      </c>
      <c r="AC54" s="12" t="n">
        <v>79.8</v>
      </c>
      <c r="AD54" s="13" t="n">
        <v>95.5</v>
      </c>
      <c r="AE54" s="14" t="n">
        <v>300</v>
      </c>
      <c r="AF54" s="11" t="n">
        <v>75.5</v>
      </c>
      <c r="AG54" s="12" t="n">
        <v>79.8</v>
      </c>
      <c r="AH54" s="13" t="n">
        <v>98.59999999999999</v>
      </c>
      <c r="AI54" s="10" t="n">
        <v>300</v>
      </c>
      <c r="AJ54" s="11" t="n">
        <v>75</v>
      </c>
      <c r="AK54" s="12" t="n">
        <v>79.7</v>
      </c>
      <c r="AL54" s="13" t="n">
        <v>94.5</v>
      </c>
      <c r="AM54" s="10" t="n">
        <v>300</v>
      </c>
      <c r="AN54" s="11" t="n">
        <v>75.2</v>
      </c>
      <c r="AO54" s="12" t="n">
        <v>79.5</v>
      </c>
      <c r="AP54" s="13" t="n">
        <v>95.2</v>
      </c>
      <c r="AQ54" s="6">
        <f>IF(AND((O54)&lt;85,N54&lt;137),"NO","SI")</f>
        <v/>
      </c>
      <c r="AR54" s="7">
        <f>IF((480*(10^(7.95-(O54/10))))&lt;480,480*(10^(7.95-(O54/10))),480)</f>
        <v/>
      </c>
      <c r="AS54" s="8">
        <f>IF((480*(10^(8.45-(O54/10))))&lt;480,480*(10^(8.45-(O54/10))),480)</f>
        <v/>
      </c>
      <c r="AT54" s="9">
        <f>IF((480*(10^(8.65-(O54/10))))&lt;480,480*(10^(8.65-(O54/10))),480)</f>
        <v/>
      </c>
      <c r="AU54" s="111">
        <f>IF(O54&lt;80,"0",IF((P54-O54)&lt;=2,('DPI art.191'!$G$3-(('DPI art.191'!$F$3-'DPI art.191'!$G$3)/4)*(P54-O54-2)),('DPI art.191'!$G$3-(('DPI art.191'!$G$3-'DPI art.191'!$H$3)/8)*(P54-O54-2))))</f>
        <v/>
      </c>
      <c r="AV54" s="24">
        <f>O54-AU54</f>
        <v/>
      </c>
      <c r="AW54" s="24">
        <f>IF(N54&lt;135,N54,N54-'DPI art.191'!$I$3)</f>
        <v/>
      </c>
      <c r="AX54" s="111">
        <f>IF(I54&lt;80,"0",IF((J54-I54)&lt;=2,('DPI art.191'!$G$7-(('DPI art.191'!$F$7-'DPI art.191'!$G$7)/4)*(I54-J54-2)),('DPI art.191'!$G$7-(('DPI art.191'!$G$7-'DPI art.191'!$H$7)/8)*(J54-I54-2))))</f>
        <v/>
      </c>
      <c r="AY54" s="24">
        <f>I54-AX54</f>
        <v/>
      </c>
      <c r="AZ54" s="24">
        <f>IF(H54&lt;135,H54,H54-'DPI art.191'!$I$7)</f>
        <v/>
      </c>
      <c r="BA54" s="111">
        <f>IF(O54&lt;80,"0",IF((P54-O54)&lt;=2,('DPI art.191'!$G$5-(('DPI art.191'!$F$5-'DPI art.191'!$G$5)/4)*(P54-O54-2)),('DPI art.191'!$G$5-(('DPI art.191'!$G$5-'DPI art.191'!$H$5)/8)*(P54-O54-2))))</f>
        <v/>
      </c>
      <c r="BB54" s="24">
        <f>R54-BA54</f>
        <v/>
      </c>
      <c r="BC54" s="24">
        <f>IF(N54&lt;135,N54,N54-'DPI art.191'!$I$5)</f>
        <v/>
      </c>
      <c r="BD54" s="111">
        <f>IF(O54&lt;80,"0",IF((P54-O54)&lt;=2,('DPI art.191'!$G$7-(('DPI art.191'!$F$7-'DPI art.191'!$G$7)/4)*(O54-P54-2)),('DPI art.191'!$G$7-(('DPI art.191'!$G$7-'DPI art.191'!$H$7)/8)*(P54-O54-2))))</f>
        <v/>
      </c>
      <c r="BE54" s="24">
        <f>O54-BD54</f>
        <v/>
      </c>
      <c r="BF54" s="24">
        <f>IF(N54&lt;135,N54,N54-'DPI art.191'!$I$7)</f>
        <v/>
      </c>
      <c r="BG54" s="108">
        <f>10^(0.1*R54)</f>
        <v/>
      </c>
      <c r="BH54" s="108">
        <f>10^(0.1*X54)</f>
        <v/>
      </c>
      <c r="BI54" s="108">
        <f>10^(0.1*AB54)</f>
        <v/>
      </c>
      <c r="BJ54" s="108">
        <f>10^(0.1*AF54)</f>
        <v/>
      </c>
      <c r="BK54" s="108">
        <f>10^(0.1*AJ54)</f>
        <v/>
      </c>
      <c r="BL54" s="108">
        <f>10^(0.1*AN54)</f>
        <v/>
      </c>
      <c r="BM54" s="106">
        <f>IF(R54&gt;0,(O54-R54),"")</f>
        <v/>
      </c>
      <c r="BN54" s="106">
        <f>IF(X54&gt;0,(O54-X54),"")</f>
        <v/>
      </c>
      <c r="BO54" s="106">
        <f>IF(AB54&gt;0,(O54-AB54),"")</f>
        <v/>
      </c>
      <c r="BP54" s="106">
        <f>IF(AF54&gt;0,(O54-AF54),"")</f>
        <v/>
      </c>
      <c r="BQ54" s="106">
        <f>IF(AJ54&gt;0,(O54-AJ54),"")</f>
        <v/>
      </c>
      <c r="BR54" s="106">
        <f>IF(AN54&gt;0,(O54-AN54),"")</f>
        <v/>
      </c>
      <c r="BS54" s="106">
        <f>COUNT(BM54:BR54)</f>
        <v/>
      </c>
      <c r="BT54" s="464">
        <f>IF(BS54=0,0,IF(BS54=1,0,1/(BS54*(BS54-1))))</f>
        <v/>
      </c>
      <c r="BU54" s="136">
        <f>IF(R54&gt;0,(BM54^2),"")</f>
        <v/>
      </c>
      <c r="BV54" s="136">
        <f>IF(X54&gt;0,(BN54^2),"")</f>
        <v/>
      </c>
      <c r="BW54" s="136">
        <f>IF(AB54&gt;0,(BO54^2),"")</f>
        <v/>
      </c>
      <c r="BX54" s="136">
        <f>IF(AF54&gt;0,(BP54^2),"")</f>
        <v/>
      </c>
      <c r="BY54" s="136">
        <f>IF(AJ54&gt;0,(BQ54^2),"")</f>
        <v/>
      </c>
      <c r="BZ54" s="136">
        <f>IF(AN54&gt;0,(BR54^2),"")</f>
        <v/>
      </c>
    </row>
    <row r="55" ht="25.5" customHeight="1" s="444">
      <c r="A55" s="340" t="inlineStr">
        <is>
          <t>Gualdo 2</t>
        </is>
      </c>
      <c r="B55" s="65" t="inlineStr">
        <is>
          <t>E11</t>
        </is>
      </c>
      <c r="C55" s="78" t="inlineStr">
        <is>
          <t>Ambientale officina con operazioni di molatura in reparto</t>
        </is>
      </c>
      <c r="D55" s="83" t="inlineStr">
        <is>
          <t>/</t>
        </is>
      </c>
      <c r="E55" s="83" t="inlineStr">
        <is>
          <t>/</t>
        </is>
      </c>
      <c r="F55" s="192" t="inlineStr">
        <is>
          <t>Attività di officina con indotto molatura</t>
        </is>
      </c>
      <c r="G55" s="71" t="n">
        <v>46003</v>
      </c>
      <c r="H55" s="77" t="inlineStr">
        <is>
          <t>Compito</t>
        </is>
      </c>
      <c r="I55" s="77">
        <f>IF((V55-R55)&gt;3,"SI","")</f>
        <v/>
      </c>
      <c r="J55" s="77" t="inlineStr">
        <is>
          <t>SI</t>
        </is>
      </c>
      <c r="K55" s="77" t="n"/>
      <c r="L55" s="77" t="n"/>
      <c r="M55" s="137">
        <f>IF(R55&gt;0,(SQRT(BT55*(SUM(BU55:BZ55)))),"")</f>
        <v/>
      </c>
      <c r="N55" s="4">
        <f>IF(T55&gt;0,(MAX(T55,Z55,AD55,AH55,AL55,AP55))+SQRT(1.2^2+1^2),"")</f>
        <v/>
      </c>
      <c r="O55" s="3">
        <f>IF(R55="",0,10*LOG10(SUM(BG55:BL55)/(COUNT(R55,X55,AB55,AF55,AJ55,AN55))))</f>
        <v/>
      </c>
      <c r="P55" s="5">
        <f>IF(AND(Y55="",AC55="",AG55="",AK55="",AO55=""),S55,AVERAGE(S55,Y55,AC55,AG55,AK55,AO55)+STDEV(S55,Y55,AC55,AG55,AK55,AO55))</f>
        <v/>
      </c>
      <c r="Q55" s="14" t="n">
        <v>300</v>
      </c>
      <c r="R55" s="11" t="n">
        <v>80</v>
      </c>
      <c r="S55" s="12" t="n">
        <v>78.8</v>
      </c>
      <c r="T55" s="13" t="n">
        <v>102.8</v>
      </c>
      <c r="U55" s="79" t="n">
        <v>80</v>
      </c>
      <c r="V55" s="79" t="n">
        <v>81.40000000000001</v>
      </c>
      <c r="W55" s="10" t="n">
        <v>300</v>
      </c>
      <c r="X55" s="11" t="n">
        <v>80.3</v>
      </c>
      <c r="Y55" s="12" t="n">
        <v>79</v>
      </c>
      <c r="Z55" s="13" t="n">
        <v>101.5</v>
      </c>
      <c r="AA55" s="10" t="n">
        <v>300</v>
      </c>
      <c r="AB55" s="11" t="n">
        <v>79.40000000000001</v>
      </c>
      <c r="AC55" s="12" t="n">
        <v>78</v>
      </c>
      <c r="AD55" s="13" t="n">
        <v>101.2</v>
      </c>
      <c r="AE55" s="14" t="n">
        <v>300</v>
      </c>
      <c r="AF55" s="11" t="n">
        <v>76.5</v>
      </c>
      <c r="AG55" s="12" t="n">
        <v>75.2</v>
      </c>
      <c r="AH55" s="13" t="n">
        <v>101.8</v>
      </c>
      <c r="AI55" s="10" t="n">
        <v>300</v>
      </c>
      <c r="AJ55" s="11" t="n">
        <v>77</v>
      </c>
      <c r="AK55" s="12" t="n">
        <v>75.59999999999999</v>
      </c>
      <c r="AL55" s="13" t="n">
        <v>98.3</v>
      </c>
      <c r="AM55" s="10" t="n">
        <v>300</v>
      </c>
      <c r="AN55" s="11" t="n">
        <v>65.8</v>
      </c>
      <c r="AO55" s="12" t="n">
        <v>66.2</v>
      </c>
      <c r="AP55" s="13" t="n">
        <v>97.09999999999999</v>
      </c>
      <c r="AQ55" s="6">
        <f>IF(AND((O55)&lt;85,N55&lt;137),"NO","SI")</f>
        <v/>
      </c>
      <c r="AR55" s="7">
        <f>IF((480*(10^(7.95-(O55/10))))&lt;480,480*(10^(7.95-(O55/10))),480)</f>
        <v/>
      </c>
      <c r="AS55" s="8">
        <f>IF((480*(10^(8.45-(O55/10))))&lt;480,480*(10^(8.45-(O55/10))),480)</f>
        <v/>
      </c>
      <c r="AT55" s="9">
        <f>IF((480*(10^(8.65-(O55/10))))&lt;480,480*(10^(8.65-(O55/10))),480)</f>
        <v/>
      </c>
      <c r="AU55" s="111">
        <f>IF(O55&lt;80,"0",IF((P55-O55)&lt;=2,('DPI art.191'!$G$3-(('DPI art.191'!$F$3-'DPI art.191'!$G$3)/4)*(P55-O55-2)),('DPI art.191'!$G$3-(('DPI art.191'!$G$3-'DPI art.191'!$H$3)/8)*(P55-O55-2))))</f>
        <v/>
      </c>
      <c r="AV55" s="24">
        <f>O55-AU55</f>
        <v/>
      </c>
      <c r="AW55" s="24">
        <f>IF(N55&lt;135,N55,N55-'DPI art.191'!$I$3)</f>
        <v/>
      </c>
      <c r="AX55" s="111">
        <f>IF(I55&lt;80,"0",IF((J55-I55)&lt;=2,('DPI art.191'!$G$7-(('DPI art.191'!$F$7-'DPI art.191'!$G$7)/4)*(I55-J55-2)),('DPI art.191'!$G$7-(('DPI art.191'!$G$7-'DPI art.191'!$H$7)/8)*(J55-I55-2))))</f>
        <v/>
      </c>
      <c r="AY55" s="24">
        <f>I55-AX55</f>
        <v/>
      </c>
      <c r="AZ55" s="24">
        <f>IF(H55&lt;135,H55,H55-'DPI art.191'!$I$7)</f>
        <v/>
      </c>
      <c r="BA55" s="111">
        <f>IF(O55&lt;80,"0",IF((P55-O55)&lt;=2,('DPI art.191'!$G$5-(('DPI art.191'!$F$5-'DPI art.191'!$G$5)/4)*(P55-O55-2)),('DPI art.191'!$G$5-(('DPI art.191'!$G$5-'DPI art.191'!$H$5)/8)*(P55-O55-2))))</f>
        <v/>
      </c>
      <c r="BB55" s="24">
        <f>R55-BA55</f>
        <v/>
      </c>
      <c r="BC55" s="24">
        <f>IF(N55&lt;135,N55,N55-'DPI art.191'!$I$5)</f>
        <v/>
      </c>
      <c r="BD55" s="111">
        <f>IF(O55&lt;80,"0",IF((P55-O55)&lt;=2,('DPI art.191'!$G$7-(('DPI art.191'!$F$7-'DPI art.191'!$G$7)/4)*(O55-P55-2)),('DPI art.191'!$G$7-(('DPI art.191'!$G$7-'DPI art.191'!$H$7)/8)*(P55-O55-2))))</f>
        <v/>
      </c>
      <c r="BE55" s="24">
        <f>O55-BD55</f>
        <v/>
      </c>
      <c r="BF55" s="24">
        <f>IF(N55&lt;135,N55,N55-'DPI art.191'!$I$7)</f>
        <v/>
      </c>
      <c r="BG55" s="108">
        <f>10^(0.1*R55)</f>
        <v/>
      </c>
      <c r="BH55" s="108">
        <f>10^(0.1*X55)</f>
        <v/>
      </c>
      <c r="BI55" s="108">
        <f>10^(0.1*AB55)</f>
        <v/>
      </c>
      <c r="BJ55" s="108">
        <f>10^(0.1*AF55)</f>
        <v/>
      </c>
      <c r="BK55" s="108">
        <f>10^(0.1*AJ55)</f>
        <v/>
      </c>
      <c r="BL55" s="108">
        <f>10^(0.1*AN55)</f>
        <v/>
      </c>
      <c r="BM55" s="106">
        <f>IF(R55&gt;0,(O55-R55),"")</f>
        <v/>
      </c>
      <c r="BN55" s="106">
        <f>IF(X55&gt;0,(O55-X55),"")</f>
        <v/>
      </c>
      <c r="BO55" s="106">
        <f>IF(AB55&gt;0,(O55-AB55),"")</f>
        <v/>
      </c>
      <c r="BP55" s="106">
        <f>IF(AF55&gt;0,(O55-AF55),"")</f>
        <v/>
      </c>
      <c r="BQ55" s="106">
        <f>IF(AJ55&gt;0,(O55-AJ55),"")</f>
        <v/>
      </c>
      <c r="BR55" s="106">
        <f>IF(AN55&gt;0,(O55-AN55),"")</f>
        <v/>
      </c>
      <c r="BS55" s="106">
        <f>COUNT(BM55:BR55)</f>
        <v/>
      </c>
      <c r="BT55" s="464">
        <f>IF(BS55=0,0,IF(BS55=1,0,1/(BS55*(BS55-1))))</f>
        <v/>
      </c>
      <c r="BU55" s="136">
        <f>IF(R55&gt;0,(BM55^2),"")</f>
        <v/>
      </c>
      <c r="BV55" s="136">
        <f>IF(X55&gt;0,(BN55^2),"")</f>
        <v/>
      </c>
      <c r="BW55" s="136">
        <f>IF(AB55&gt;0,(BO55^2),"")</f>
        <v/>
      </c>
      <c r="BX55" s="136">
        <f>IF(AF55&gt;0,(BP55^2),"")</f>
        <v/>
      </c>
      <c r="BY55" s="136">
        <f>IF(AJ55&gt;0,(BQ55^2),"")</f>
        <v/>
      </c>
      <c r="BZ55" s="136">
        <f>IF(AN55&gt;0,(BR55^2),"")</f>
        <v/>
      </c>
    </row>
    <row r="56" ht="25.5" customHeight="1" s="444">
      <c r="A56" s="340" t="inlineStr">
        <is>
          <t>Gualdo 2</t>
        </is>
      </c>
      <c r="B56" s="65" t="inlineStr">
        <is>
          <t>E12</t>
        </is>
      </c>
      <c r="C56" s="78" t="inlineStr">
        <is>
          <t>Ambientale officina con operazioni di molatura in reparto</t>
        </is>
      </c>
      <c r="D56" s="83" t="inlineStr">
        <is>
          <t>/</t>
        </is>
      </c>
      <c r="E56" s="83" t="inlineStr">
        <is>
          <t>/</t>
        </is>
      </c>
      <c r="F56" s="192" t="inlineStr">
        <is>
          <t>Attività di officina con indotto molatura</t>
        </is>
      </c>
      <c r="G56" s="71" t="n">
        <v>46003</v>
      </c>
      <c r="H56" s="77" t="inlineStr">
        <is>
          <t>Compito</t>
        </is>
      </c>
      <c r="I56" s="77">
        <f>IF((V56-R56)&gt;3,"SI","")</f>
        <v/>
      </c>
      <c r="J56" s="77">
        <f>IF((U56-R56)&gt;3,"SI","")</f>
        <v/>
      </c>
      <c r="K56" s="77" t="n"/>
      <c r="L56" s="77" t="n"/>
      <c r="M56" s="137">
        <f>IF(R56&gt;0,(SQRT(BT56*(SUM(BU56:BZ56)))),"")</f>
        <v/>
      </c>
      <c r="N56" s="4">
        <f>IF(T56&gt;0,(MAX(T56,Z56,AD56,AH56,AL56,AP56))+SQRT(1.2^2+1^2),"")</f>
        <v/>
      </c>
      <c r="O56" s="3">
        <f>IF(R56="",0,10*LOG10(SUM(BG56:BL56)/(COUNT(R56,X56,AB56,AF56,AJ56,AN56))))</f>
        <v/>
      </c>
      <c r="P56" s="5">
        <f>IF(AND(Y56="",AC56="",AG56="",AK56="",AO56=""),S56,AVERAGE(S56,Y56,AC56,AG56,AK56,AO56)+STDEV(S56,Y56,AC56,AG56,AK56,AO56))</f>
        <v/>
      </c>
      <c r="Q56" s="14" t="n">
        <v>300</v>
      </c>
      <c r="R56" s="11" t="n">
        <v>67.40000000000001</v>
      </c>
      <c r="S56" s="12" t="n">
        <v>75.7</v>
      </c>
      <c r="T56" s="13" t="n">
        <v>96.3</v>
      </c>
      <c r="U56" s="79" t="n">
        <v>67.3</v>
      </c>
      <c r="V56" s="79" t="n">
        <v>70.5</v>
      </c>
      <c r="W56" s="10" t="n">
        <v>300</v>
      </c>
      <c r="X56" s="11" t="n">
        <v>66.59999999999999</v>
      </c>
      <c r="Y56" s="12" t="n">
        <v>69.7</v>
      </c>
      <c r="Z56" s="13" t="n">
        <v>95.09999999999999</v>
      </c>
      <c r="AA56" s="10" t="n">
        <v>300</v>
      </c>
      <c r="AB56" s="11" t="n">
        <v>73</v>
      </c>
      <c r="AC56" s="12" t="n">
        <v>73.40000000000001</v>
      </c>
      <c r="AD56" s="13" t="n">
        <v>99.59999999999999</v>
      </c>
      <c r="AE56" s="14" t="n">
        <v>300</v>
      </c>
      <c r="AF56" s="11" t="n">
        <v>68.59999999999999</v>
      </c>
      <c r="AG56" s="12" t="n">
        <v>77.7</v>
      </c>
      <c r="AH56" s="13" t="n">
        <v>92.8</v>
      </c>
      <c r="AI56" s="10" t="n">
        <v>300</v>
      </c>
      <c r="AJ56" s="11" t="n">
        <v>68.59999999999999</v>
      </c>
      <c r="AK56" s="12" t="n">
        <v>74.7</v>
      </c>
      <c r="AL56" s="13" t="n">
        <v>99.2</v>
      </c>
      <c r="AM56" s="10" t="n">
        <v>300</v>
      </c>
      <c r="AN56" s="11" t="n">
        <v>68.7</v>
      </c>
      <c r="AO56" s="12" t="n">
        <v>68.09999999999999</v>
      </c>
      <c r="AP56" s="13" t="n">
        <v>113.7</v>
      </c>
      <c r="AQ56" s="6">
        <f>IF(AND((O56)&lt;85,N56&lt;137),"NO","SI")</f>
        <v/>
      </c>
      <c r="AR56" s="7">
        <f>IF((480*(10^(7.95-(O56/10))))&lt;480,480*(10^(7.95-(O56/10))),480)</f>
        <v/>
      </c>
      <c r="AS56" s="8">
        <f>IF((480*(10^(8.45-(O56/10))))&lt;480,480*(10^(8.45-(O56/10))),480)</f>
        <v/>
      </c>
      <c r="AT56" s="9">
        <f>IF((480*(10^(8.65-(O56/10))))&lt;480,480*(10^(8.65-(O56/10))),480)</f>
        <v/>
      </c>
      <c r="AU56" s="111">
        <f>IF(O56&lt;80,"0",IF((P56-O56)&lt;=2,('DPI art.191'!$G$3-(('DPI art.191'!$F$3-'DPI art.191'!$G$3)/4)*(P56-O56-2)),('DPI art.191'!$G$3-(('DPI art.191'!$G$3-'DPI art.191'!$H$3)/8)*(P56-O56-2))))</f>
        <v/>
      </c>
      <c r="AV56" s="24">
        <f>O56-AU56</f>
        <v/>
      </c>
      <c r="AW56" s="24">
        <f>IF(N56&lt;135,N56,N56-'DPI art.191'!$I$3)</f>
        <v/>
      </c>
      <c r="AX56" s="111">
        <f>IF(I56&lt;80,"0",IF((J56-I56)&lt;=2,('DPI art.191'!$G$7-(('DPI art.191'!$F$7-'DPI art.191'!$G$7)/4)*(I56-J56-2)),('DPI art.191'!$G$7-(('DPI art.191'!$G$7-'DPI art.191'!$H$7)/8)*(J56-I56-2))))</f>
        <v/>
      </c>
      <c r="AY56" s="24">
        <f>I56-AX56</f>
        <v/>
      </c>
      <c r="AZ56" s="24">
        <f>IF(H56&lt;135,H56,H56-'DPI art.191'!$I$7)</f>
        <v/>
      </c>
      <c r="BA56" s="111">
        <f>IF(O56&lt;80,"0",IF((P56-O56)&lt;=2,('DPI art.191'!$G$5-(('DPI art.191'!$F$5-'DPI art.191'!$G$5)/4)*(P56-O56-2)),('DPI art.191'!$G$5-(('DPI art.191'!$G$5-'DPI art.191'!$H$5)/8)*(P56-O56-2))))</f>
        <v/>
      </c>
      <c r="BB56" s="24">
        <f>R56-BA56</f>
        <v/>
      </c>
      <c r="BC56" s="24">
        <f>IF(N56&lt;135,N56,N56-'DPI art.191'!$I$5)</f>
        <v/>
      </c>
      <c r="BD56" s="111">
        <f>IF(O56&lt;80,"0",IF((P56-O56)&lt;=2,('DPI art.191'!$G$7-(('DPI art.191'!$F$7-'DPI art.191'!$G$7)/4)*(O56-P56-2)),('DPI art.191'!$G$7-(('DPI art.191'!$G$7-'DPI art.191'!$H$7)/8)*(P56-O56-2))))</f>
        <v/>
      </c>
      <c r="BE56" s="24">
        <f>O56-BD56</f>
        <v/>
      </c>
      <c r="BF56" s="24">
        <f>IF(N56&lt;135,N56,N56-'DPI art.191'!$I$7)</f>
        <v/>
      </c>
      <c r="BG56" s="108">
        <f>10^(0.1*R56)</f>
        <v/>
      </c>
      <c r="BH56" s="108">
        <f>10^(0.1*X56)</f>
        <v/>
      </c>
      <c r="BI56" s="108">
        <f>10^(0.1*AB56)</f>
        <v/>
      </c>
      <c r="BJ56" s="108">
        <f>10^(0.1*AF56)</f>
        <v/>
      </c>
      <c r="BK56" s="108">
        <f>10^(0.1*AJ56)</f>
        <v/>
      </c>
      <c r="BL56" s="108">
        <f>10^(0.1*AN56)</f>
        <v/>
      </c>
      <c r="BM56" s="106">
        <f>IF(R56&gt;0,(O56-R56),"")</f>
        <v/>
      </c>
      <c r="BN56" s="106">
        <f>IF(X56&gt;0,(O56-X56),"")</f>
        <v/>
      </c>
      <c r="BO56" s="106">
        <f>IF(AB56&gt;0,(O56-AB56),"")</f>
        <v/>
      </c>
      <c r="BP56" s="106">
        <f>IF(AF56&gt;0,(O56-AF56),"")</f>
        <v/>
      </c>
      <c r="BQ56" s="106">
        <f>IF(AJ56&gt;0,(O56-AJ56),"")</f>
        <v/>
      </c>
      <c r="BR56" s="106">
        <f>IF(AN56&gt;0,(O56-AN56),"")</f>
        <v/>
      </c>
      <c r="BS56" s="106">
        <f>COUNT(BM56:BR56)</f>
        <v/>
      </c>
      <c r="BT56" s="464">
        <f>IF(BS56=0,0,IF(BS56=1,0,1/(BS56*(BS56-1))))</f>
        <v/>
      </c>
      <c r="BU56" s="136">
        <f>IF(R56&gt;0,(BM56^2),"")</f>
        <v/>
      </c>
      <c r="BV56" s="136">
        <f>IF(X56&gt;0,(BN56^2),"")</f>
        <v/>
      </c>
      <c r="BW56" s="136">
        <f>IF(AB56&gt;0,(BO56^2),"")</f>
        <v/>
      </c>
      <c r="BX56" s="136">
        <f>IF(AF56&gt;0,(BP56^2),"")</f>
        <v/>
      </c>
      <c r="BY56" s="136">
        <f>IF(AJ56&gt;0,(BQ56^2),"")</f>
        <v/>
      </c>
      <c r="BZ56" s="136">
        <f>IF(AN56&gt;0,(BR56^2),"")</f>
        <v/>
      </c>
    </row>
    <row r="57" ht="25.5" customHeight="1" s="444">
      <c r="A57" s="340" t="inlineStr">
        <is>
          <t>Gualdo 2</t>
        </is>
      </c>
      <c r="B57" s="65" t="inlineStr">
        <is>
          <t>E13</t>
        </is>
      </c>
      <c r="C57" s="78" t="inlineStr">
        <is>
          <t>Ambientale officina con operazioni di movimentazione in reparto</t>
        </is>
      </c>
      <c r="D57" s="83" t="inlineStr">
        <is>
          <t>/</t>
        </is>
      </c>
      <c r="E57" s="83" t="inlineStr">
        <is>
          <t>/</t>
        </is>
      </c>
      <c r="F57" s="192" t="inlineStr">
        <is>
          <t>Attività di officina con indotto movimentazioni</t>
        </is>
      </c>
      <c r="G57" s="71" t="n">
        <v>46003</v>
      </c>
      <c r="H57" s="77" t="inlineStr">
        <is>
          <t>Compito</t>
        </is>
      </c>
      <c r="I57" s="77">
        <f>IF((V57-R57)&gt;3,"SI","")</f>
        <v/>
      </c>
      <c r="J57" s="77">
        <f>IF((U57-R57)&gt;3,"SI","")</f>
        <v/>
      </c>
      <c r="K57" s="77" t="n"/>
      <c r="L57" s="77" t="n"/>
      <c r="M57" s="137">
        <f>IF(R57&gt;0,(SQRT(BT57*(SUM(BU57:BZ57)))),"")</f>
        <v/>
      </c>
      <c r="N57" s="4">
        <f>IF(T57&gt;0,(MAX(T57,Z57,AD57,AH57,AL57,AP57))+SQRT(1.2^2+1^2),"")</f>
        <v/>
      </c>
      <c r="O57" s="3">
        <f>IF(R57="",0,10*LOG10(SUM(BG57:BL57)/(COUNT(R57,X57,AB57,AF57,AJ57,AN57))))</f>
        <v/>
      </c>
      <c r="P57" s="5">
        <f>IF(AND(Y57="",AC57="",AG57="",AK57="",AO57=""),S57,AVERAGE(S57,Y57,AC57,AG57,AK57,AO57)+STDEV(S57,Y57,AC57,AG57,AK57,AO57))</f>
        <v/>
      </c>
      <c r="Q57" s="14" t="n">
        <v>300</v>
      </c>
      <c r="R57" s="11" t="n">
        <v>56.2</v>
      </c>
      <c r="S57" s="12" t="n">
        <v>61.5</v>
      </c>
      <c r="T57" s="13" t="n">
        <v>86.8</v>
      </c>
      <c r="U57" s="79" t="n">
        <v>56.2</v>
      </c>
      <c r="V57" s="79" t="n">
        <v>61</v>
      </c>
      <c r="W57" s="10" t="n">
        <v>300</v>
      </c>
      <c r="X57" s="11" t="n">
        <v>57.7</v>
      </c>
      <c r="Y57" s="12" t="n">
        <v>62.6</v>
      </c>
      <c r="Z57" s="13" t="n">
        <v>91.8</v>
      </c>
      <c r="AA57" s="10" t="n">
        <v>300</v>
      </c>
      <c r="AB57" s="11" t="n">
        <v>56.3</v>
      </c>
      <c r="AC57" s="12" t="n">
        <v>61.8</v>
      </c>
      <c r="AD57" s="13" t="n">
        <v>82.3</v>
      </c>
      <c r="AE57" s="14" t="n">
        <v>300</v>
      </c>
      <c r="AF57" s="11" t="n">
        <v>58.8</v>
      </c>
      <c r="AG57" s="12" t="n">
        <v>62.6</v>
      </c>
      <c r="AH57" s="13" t="n">
        <v>88.7</v>
      </c>
      <c r="AI57" s="10" t="n">
        <v>300</v>
      </c>
      <c r="AJ57" s="11" t="n">
        <v>53.7</v>
      </c>
      <c r="AK57" s="12" t="n">
        <v>60.6</v>
      </c>
      <c r="AL57" s="13" t="n">
        <v>77</v>
      </c>
      <c r="AM57" s="10" t="n">
        <v>300</v>
      </c>
      <c r="AN57" s="11" t="n">
        <v>64.40000000000001</v>
      </c>
      <c r="AO57" s="12" t="n">
        <v>64.5</v>
      </c>
      <c r="AP57" s="13" t="n">
        <v>90.8</v>
      </c>
      <c r="AQ57" s="6">
        <f>IF(AND((O57)&lt;85,N57&lt;137),"NO","SI")</f>
        <v/>
      </c>
      <c r="AR57" s="7">
        <f>IF((480*(10^(7.95-(O57/10))))&lt;480,480*(10^(7.95-(O57/10))),480)</f>
        <v/>
      </c>
      <c r="AS57" s="8">
        <f>IF((480*(10^(8.45-(O57/10))))&lt;480,480*(10^(8.45-(O57/10))),480)</f>
        <v/>
      </c>
      <c r="AT57" s="9">
        <f>IF((480*(10^(8.65-(O57/10))))&lt;480,480*(10^(8.65-(O57/10))),480)</f>
        <v/>
      </c>
      <c r="AU57" s="111">
        <f>IF(O57&lt;80,"0",IF((P57-O57)&lt;=2,('DPI art.191'!$G$3-(('DPI art.191'!$F$3-'DPI art.191'!$G$3)/4)*(P57-O57-2)),('DPI art.191'!$G$3-(('DPI art.191'!$G$3-'DPI art.191'!$H$3)/8)*(P57-O57-2))))</f>
        <v/>
      </c>
      <c r="AV57" s="24">
        <f>O57-AU57</f>
        <v/>
      </c>
      <c r="AW57" s="24">
        <f>IF(N57&lt;135,N57,N57-'DPI art.191'!$I$3)</f>
        <v/>
      </c>
      <c r="AX57" s="111">
        <f>IF(I57&lt;80,"0",IF((J57-I57)&lt;=2,('DPI art.191'!$G$7-(('DPI art.191'!$F$7-'DPI art.191'!$G$7)/4)*(I57-J57-2)),('DPI art.191'!$G$7-(('DPI art.191'!$G$7-'DPI art.191'!$H$7)/8)*(J57-I57-2))))</f>
        <v/>
      </c>
      <c r="AY57" s="24">
        <f>I57-AX57</f>
        <v/>
      </c>
      <c r="AZ57" s="24">
        <f>IF(H57&lt;135,H57,H57-'DPI art.191'!$I$7)</f>
        <v/>
      </c>
      <c r="BA57" s="111">
        <f>IF(O57&lt;80,"0",IF((P57-O57)&lt;=2,('DPI art.191'!$G$5-(('DPI art.191'!$F$5-'DPI art.191'!$G$5)/4)*(P57-O57-2)),('DPI art.191'!$G$5-(('DPI art.191'!$G$5-'DPI art.191'!$H$5)/8)*(P57-O57-2))))</f>
        <v/>
      </c>
      <c r="BB57" s="24">
        <f>R57-BA57</f>
        <v/>
      </c>
      <c r="BC57" s="24">
        <f>IF(N57&lt;135,N57,N57-'DPI art.191'!$I$5)</f>
        <v/>
      </c>
      <c r="BD57" s="111">
        <f>IF(O57&lt;80,"0",IF((P57-O57)&lt;=2,('DPI art.191'!$G$7-(('DPI art.191'!$F$7-'DPI art.191'!$G$7)/4)*(O57-P57-2)),('DPI art.191'!$G$7-(('DPI art.191'!$G$7-'DPI art.191'!$H$7)/8)*(P57-O57-2))))</f>
        <v/>
      </c>
      <c r="BE57" s="24">
        <f>O57-BD57</f>
        <v/>
      </c>
      <c r="BF57" s="24">
        <f>IF(N57&lt;135,N57,N57-'DPI art.191'!$I$7)</f>
        <v/>
      </c>
      <c r="BG57" s="108">
        <f>10^(0.1*R57)</f>
        <v/>
      </c>
      <c r="BH57" s="108">
        <f>10^(0.1*X57)</f>
        <v/>
      </c>
      <c r="BI57" s="108">
        <f>10^(0.1*AB57)</f>
        <v/>
      </c>
      <c r="BJ57" s="108">
        <f>10^(0.1*AF57)</f>
        <v/>
      </c>
      <c r="BK57" s="108">
        <f>10^(0.1*AJ57)</f>
        <v/>
      </c>
      <c r="BL57" s="108">
        <f>10^(0.1*AN57)</f>
        <v/>
      </c>
      <c r="BM57" s="106">
        <f>IF(R57&gt;0,(O57-R57),"")</f>
        <v/>
      </c>
      <c r="BN57" s="106">
        <f>IF(X57&gt;0,(O57-X57),"")</f>
        <v/>
      </c>
      <c r="BO57" s="106">
        <f>IF(AB57&gt;0,(O57-AB57),"")</f>
        <v/>
      </c>
      <c r="BP57" s="106">
        <f>IF(AF57&gt;0,(O57-AF57),"")</f>
        <v/>
      </c>
      <c r="BQ57" s="106">
        <f>IF(AJ57&gt;0,(O57-AJ57),"")</f>
        <v/>
      </c>
      <c r="BR57" s="106">
        <f>IF(AN57&gt;0,(O57-AN57),"")</f>
        <v/>
      </c>
      <c r="BS57" s="106">
        <f>COUNT(BM57:BR57)</f>
        <v/>
      </c>
      <c r="BT57" s="464">
        <f>IF(BS57=0,0,IF(BS57=1,0,1/(BS57*(BS57-1))))</f>
        <v/>
      </c>
      <c r="BU57" s="136">
        <f>IF(R57&gt;0,(BM57^2),"")</f>
        <v/>
      </c>
      <c r="BV57" s="136">
        <f>IF(X57&gt;0,(BN57^2),"")</f>
        <v/>
      </c>
      <c r="BW57" s="136">
        <f>IF(AB57&gt;0,(BO57^2),"")</f>
        <v/>
      </c>
      <c r="BX57" s="136">
        <f>IF(AF57&gt;0,(BP57^2),"")</f>
        <v/>
      </c>
      <c r="BY57" s="136">
        <f>IF(AJ57&gt;0,(BQ57^2),"")</f>
        <v/>
      </c>
      <c r="BZ57" s="136">
        <f>IF(AN57&gt;0,(BR57^2),"")</f>
        <v/>
      </c>
    </row>
    <row r="58" ht="25.5" customHeight="1" s="444">
      <c r="A58" s="340" t="inlineStr">
        <is>
          <t>Gauado 1 - capannone B</t>
        </is>
      </c>
      <c r="B58" s="65" t="inlineStr">
        <is>
          <t>E14</t>
        </is>
      </c>
      <c r="C58" s="78" t="inlineStr">
        <is>
          <t>Montaggio - preparazione e movimentazione pezzi</t>
        </is>
      </c>
      <c r="D58" s="83" t="inlineStr">
        <is>
          <t>/</t>
        </is>
      </c>
      <c r="E58" s="83" t="inlineStr">
        <is>
          <t>/</t>
        </is>
      </c>
      <c r="F58" s="78" t="inlineStr">
        <is>
          <t>Montaggio - preparazione e movimentazione pezzi</t>
        </is>
      </c>
      <c r="G58" s="71" t="n">
        <v>46003</v>
      </c>
      <c r="H58" s="77" t="inlineStr">
        <is>
          <t>Compito</t>
        </is>
      </c>
      <c r="I58" s="77">
        <f>IF((V58-R58)&gt;3,"SI","")</f>
        <v/>
      </c>
      <c r="J58" s="77">
        <f>IF((U58-R58)&gt;3,"SI","")</f>
        <v/>
      </c>
      <c r="K58" s="77" t="n"/>
      <c r="L58" s="77" t="n"/>
      <c r="M58" s="137">
        <f>IF(R58&gt;0,(SQRT(BT58*(SUM(BU58:BZ58)))),"")</f>
        <v/>
      </c>
      <c r="N58" s="4">
        <f>IF(T58&gt;0,(MAX(T58,Z58,AD58,AH58,AL58,AP58))+SQRT(1.2^2+1^2),"")</f>
        <v/>
      </c>
      <c r="O58" s="3">
        <f>IF(R58="",0,10*LOG10(SUM(BG58:BL58)/(COUNT(R58,X58,AB58,AF58,AJ58,AN58))))</f>
        <v/>
      </c>
      <c r="P58" s="5">
        <f>IF(AND(Y58="",AC58="",AG58="",AK58="",AO58=""),S58,AVERAGE(S58,Y58,AC58,AG58,AK58,AO58)+STDEV(S58,Y58,AC58,AG58,AK58,AO58))</f>
        <v/>
      </c>
      <c r="Q58" s="14" t="n">
        <v>300</v>
      </c>
      <c r="R58" s="11" t="n">
        <v>76.90000000000001</v>
      </c>
      <c r="S58" s="12" t="n">
        <v>79.8</v>
      </c>
      <c r="T58" s="13" t="n">
        <v>101.9</v>
      </c>
      <c r="U58" s="79" t="n">
        <v>77</v>
      </c>
      <c r="V58" s="79" t="n">
        <v>80.90000000000001</v>
      </c>
      <c r="W58" s="10" t="n">
        <v>300</v>
      </c>
      <c r="X58" s="11" t="n">
        <v>78.7</v>
      </c>
      <c r="Y58" s="12" t="n">
        <v>80.59999999999999</v>
      </c>
      <c r="Z58" s="13" t="n">
        <v>107.3</v>
      </c>
      <c r="AA58" s="10" t="n">
        <v>300</v>
      </c>
      <c r="AB58" s="11" t="n">
        <v>75.7</v>
      </c>
      <c r="AC58" s="12" t="n">
        <v>77.2</v>
      </c>
      <c r="AD58" s="13" t="n">
        <v>104.6</v>
      </c>
      <c r="AE58" s="14" t="n">
        <v>300</v>
      </c>
      <c r="AF58" s="11" t="n">
        <v>85.2</v>
      </c>
      <c r="AG58" s="12" t="n">
        <v>85.5</v>
      </c>
      <c r="AH58" s="13" t="n">
        <v>116.6</v>
      </c>
      <c r="AI58" s="10" t="n">
        <v>300</v>
      </c>
      <c r="AJ58" s="11" t="n">
        <v>86.8</v>
      </c>
      <c r="AK58" s="12" t="n">
        <v>86.2</v>
      </c>
      <c r="AL58" s="13" t="n">
        <v>121.3</v>
      </c>
      <c r="AM58" s="10" t="n">
        <v>300</v>
      </c>
      <c r="AN58" s="11" t="n">
        <v>85.5</v>
      </c>
      <c r="AO58" s="12" t="n">
        <v>84.8</v>
      </c>
      <c r="AP58" s="13" t="n">
        <v>109</v>
      </c>
      <c r="AQ58" s="6">
        <f>IF(AND((O58)&lt;85,N58&lt;137),"NO","SI")</f>
        <v/>
      </c>
      <c r="AR58" s="7">
        <f>IF((480*(10^(7.95-(O58/10))))&lt;480,480*(10^(7.95-(O58/10))),480)</f>
        <v/>
      </c>
      <c r="AS58" s="8">
        <f>IF((480*(10^(8.45-(O58/10))))&lt;480,480*(10^(8.45-(O58/10))),480)</f>
        <v/>
      </c>
      <c r="AT58" s="9">
        <f>IF((480*(10^(8.65-(O58/10))))&lt;480,480*(10^(8.65-(O58/10))),480)</f>
        <v/>
      </c>
      <c r="AU58" s="111">
        <f>IF(O58&lt;80,"0",IF((P58-O58)&lt;=2,('DPI art.191'!$G$3-(('DPI art.191'!$F$3-'DPI art.191'!$G$3)/4)*(P58-O58-2)),('DPI art.191'!$G$3-(('DPI art.191'!$G$3-'DPI art.191'!$H$3)/8)*(P58-O58-2))))</f>
        <v/>
      </c>
      <c r="AV58" s="24">
        <f>O58-AU58</f>
        <v/>
      </c>
      <c r="AW58" s="24">
        <f>IF(N58&lt;135,N58,N58-'DPI art.191'!$I$3)</f>
        <v/>
      </c>
      <c r="AX58" s="111">
        <f>IF(I58&lt;80,"0",IF((J58-I58)&lt;=2,('DPI art.191'!$G$7-(('DPI art.191'!$F$7-'DPI art.191'!$G$7)/4)*(I58-J58-2)),('DPI art.191'!$G$7-(('DPI art.191'!$G$7-'DPI art.191'!$H$7)/8)*(J58-I58-2))))</f>
        <v/>
      </c>
      <c r="AY58" s="24">
        <f>I58-AX58</f>
        <v/>
      </c>
      <c r="AZ58" s="24">
        <f>IF(H58&lt;135,H58,H58-'DPI art.191'!$I$7)</f>
        <v/>
      </c>
      <c r="BA58" s="111">
        <f>IF(O58&lt;80,"0",IF((P58-O58)&lt;=2,('DPI art.191'!$G$5-(('DPI art.191'!$F$5-'DPI art.191'!$G$5)/4)*(P58-O58-2)),('DPI art.191'!$G$5-(('DPI art.191'!$G$5-'DPI art.191'!$H$5)/8)*(P58-O58-2))))</f>
        <v/>
      </c>
      <c r="BB58" s="24">
        <f>R58-BA58</f>
        <v/>
      </c>
      <c r="BC58" s="24">
        <f>IF(N58&lt;135,N58,N58-'DPI art.191'!$I$5)</f>
        <v/>
      </c>
      <c r="BD58" s="111">
        <f>IF(O58&lt;80,"0",IF((P58-O58)&lt;=2,('DPI art.191'!$G$7-(('DPI art.191'!$F$7-'DPI art.191'!$G$7)/4)*(O58-P58-2)),('DPI art.191'!$G$7-(('DPI art.191'!$G$7-'DPI art.191'!$H$7)/8)*(P58-O58-2))))</f>
        <v/>
      </c>
      <c r="BE58" s="24">
        <f>O58-BD58</f>
        <v/>
      </c>
      <c r="BF58" s="24">
        <f>IF(N58&lt;135,N58,N58-'DPI art.191'!$I$7)</f>
        <v/>
      </c>
      <c r="BG58" s="108">
        <f>10^(0.1*R58)</f>
        <v/>
      </c>
      <c r="BH58" s="108">
        <f>10^(0.1*X58)</f>
        <v/>
      </c>
      <c r="BI58" s="108">
        <f>10^(0.1*AB58)</f>
        <v/>
      </c>
      <c r="BJ58" s="108">
        <f>10^(0.1*AF58)</f>
        <v/>
      </c>
      <c r="BK58" s="108">
        <f>10^(0.1*AJ58)</f>
        <v/>
      </c>
      <c r="BL58" s="108">
        <f>10^(0.1*AN58)</f>
        <v/>
      </c>
      <c r="BM58" s="106">
        <f>IF(R58&gt;0,(O58-R58),"")</f>
        <v/>
      </c>
      <c r="BN58" s="106">
        <f>IF(X58&gt;0,(O58-X58),"")</f>
        <v/>
      </c>
      <c r="BO58" s="106">
        <f>IF(AB58&gt;0,(O58-AB58),"")</f>
        <v/>
      </c>
      <c r="BP58" s="106">
        <f>IF(AF58&gt;0,(O58-AF58),"")</f>
        <v/>
      </c>
      <c r="BQ58" s="106">
        <f>IF(AJ58&gt;0,(O58-AJ58),"")</f>
        <v/>
      </c>
      <c r="BR58" s="106">
        <f>IF(AN58&gt;0,(O58-AN58),"")</f>
        <v/>
      </c>
      <c r="BS58" s="106">
        <f>COUNT(BM58:BR58)</f>
        <v/>
      </c>
      <c r="BT58" s="464">
        <f>IF(BS58=0,0,IF(BS58=1,0,1/(BS58*(BS58-1))))</f>
        <v/>
      </c>
      <c r="BU58" s="136">
        <f>IF(R58&gt;0,(BM58^2),"")</f>
        <v/>
      </c>
      <c r="BV58" s="136">
        <f>IF(X58&gt;0,(BN58^2),"")</f>
        <v/>
      </c>
      <c r="BW58" s="136">
        <f>IF(AB58&gt;0,(BO58^2),"")</f>
        <v/>
      </c>
      <c r="BX58" s="136">
        <f>IF(AF58&gt;0,(BP58^2),"")</f>
        <v/>
      </c>
      <c r="BY58" s="136">
        <f>IF(AJ58&gt;0,(BQ58^2),"")</f>
        <v/>
      </c>
      <c r="BZ58" s="136">
        <f>IF(AN58&gt;0,(BR58^2),"")</f>
        <v/>
      </c>
    </row>
    <row r="59" ht="25.5" customHeight="1" s="444">
      <c r="A59" s="340" t="inlineStr">
        <is>
          <t>E15</t>
        </is>
      </c>
      <c r="B59" s="65" t="inlineStr">
        <is>
          <t>E15</t>
        </is>
      </c>
      <c r="C59" s="78" t="inlineStr">
        <is>
          <t>Montaggio-smontaggio con avvitaore pneumatico</t>
        </is>
      </c>
      <c r="D59" s="83" t="inlineStr">
        <is>
          <t>Swepro</t>
        </is>
      </c>
      <c r="E59" s="83" t="inlineStr">
        <is>
          <t>SW SP5212</t>
        </is>
      </c>
      <c r="F59" s="78" t="inlineStr">
        <is>
          <t>Montaggio-smontaggio con avvitaore pneumatico</t>
        </is>
      </c>
      <c r="G59" s="71" t="n">
        <v>46003</v>
      </c>
      <c r="H59" s="77" t="inlineStr">
        <is>
          <t>Compito</t>
        </is>
      </c>
      <c r="I59" s="77">
        <f>IF((V59-R59)&gt;3,"SI","")</f>
        <v/>
      </c>
      <c r="J59" s="77">
        <f>IF((U59-R59)&gt;3,"SI","")</f>
        <v/>
      </c>
      <c r="K59" s="77" t="n"/>
      <c r="L59" s="77" t="n"/>
      <c r="M59" s="137">
        <f>IF(R59&gt;0,(SQRT(BT59*(SUM(BU59:BZ59)))),"")</f>
        <v/>
      </c>
      <c r="N59" s="4">
        <f>IF(T59&gt;0,(MAX(T59,Z59,AD59,AH59,AL59,AP59))+SQRT(1.2^2+1^2),"")</f>
        <v/>
      </c>
      <c r="O59" s="3">
        <f>IF(R59="",0,10*LOG10(SUM(BG59:BL59)/(COUNT(R59,X59,AB59,AF59,AJ59,AN59))))</f>
        <v/>
      </c>
      <c r="P59" s="5">
        <f>IF(AND(Y59="",AC59="",AG59="",AK59="",AO59=""),S59,AVERAGE(S59,Y59,AC59,AG59,AK59,AO59)+STDEV(S59,Y59,AC59,AG59,AK59,AO59))</f>
        <v/>
      </c>
      <c r="Q59" s="14" t="n">
        <v>300</v>
      </c>
      <c r="R59" s="11" t="n">
        <v>94</v>
      </c>
      <c r="S59" s="12" t="n">
        <v>92.90000000000001</v>
      </c>
      <c r="T59" s="13" t="n">
        <v>126.6</v>
      </c>
      <c r="U59" s="79" t="n">
        <v>94</v>
      </c>
      <c r="V59" s="79" t="n">
        <v>101.4</v>
      </c>
      <c r="W59" s="10" t="n">
        <v>300</v>
      </c>
      <c r="X59" s="11" t="n">
        <v>92.3</v>
      </c>
      <c r="Y59" s="12" t="n">
        <v>91.09999999999999</v>
      </c>
      <c r="Z59" s="13" t="n">
        <v>121.4</v>
      </c>
      <c r="AA59" s="10" t="n">
        <v>300</v>
      </c>
      <c r="AB59" s="11" t="n">
        <v>89.5</v>
      </c>
      <c r="AC59" s="12" t="n">
        <v>88.40000000000001</v>
      </c>
      <c r="AD59" s="13" t="n">
        <v>119.8</v>
      </c>
      <c r="AE59" s="14" t="n">
        <v>300</v>
      </c>
      <c r="AF59" s="11" t="n">
        <v>94.3</v>
      </c>
      <c r="AG59" s="12" t="n">
        <v>93.3</v>
      </c>
      <c r="AH59" s="13" t="n">
        <v>127.2</v>
      </c>
      <c r="AI59" s="10" t="n">
        <v>300</v>
      </c>
      <c r="AJ59" s="11" t="n">
        <v>92.5</v>
      </c>
      <c r="AK59" s="12" t="n">
        <v>91.40000000000001</v>
      </c>
      <c r="AL59" s="13" t="n">
        <v>122.1</v>
      </c>
      <c r="AM59" s="10" t="n">
        <v>300</v>
      </c>
      <c r="AN59" s="11" t="n">
        <v>93.40000000000001</v>
      </c>
      <c r="AO59" s="12" t="n">
        <v>92.5</v>
      </c>
      <c r="AP59" s="13" t="n">
        <v>132.5</v>
      </c>
      <c r="AQ59" s="6">
        <f>IF(AND((O59)&lt;85,N59&lt;137),"NO","SI")</f>
        <v/>
      </c>
      <c r="AR59" s="7">
        <f>IF((480*(10^(7.95-(O59/10))))&lt;480,480*(10^(7.95-(O59/10))),480)</f>
        <v/>
      </c>
      <c r="AS59" s="8">
        <f>IF((480*(10^(8.45-(O59/10))))&lt;480,480*(10^(8.45-(O59/10))),480)</f>
        <v/>
      </c>
      <c r="AT59" s="9">
        <f>IF((480*(10^(8.65-(O59/10))))&lt;480,480*(10^(8.65-(O59/10))),480)</f>
        <v/>
      </c>
      <c r="AU59" s="111">
        <f>IF(O59&lt;80,"0",IF((P59-O59)&lt;=2,('DPI art.191'!$G$3-(('DPI art.191'!$F$3-'DPI art.191'!$G$3)/4)*(P59-O59-2)),('DPI art.191'!$G$3-(('DPI art.191'!$G$3-'DPI art.191'!$H$3)/8)*(P59-O59-2))))</f>
        <v/>
      </c>
      <c r="AV59" s="24">
        <f>O59-AU59</f>
        <v/>
      </c>
      <c r="AW59" s="24">
        <f>IF(N59&lt;135,N59,N59-'DPI art.191'!$I$3)</f>
        <v/>
      </c>
      <c r="AX59" s="111">
        <f>IF(I59&lt;80,"0",IF((J59-I59)&lt;=2,('DPI art.191'!$G$7-(('DPI art.191'!$F$7-'DPI art.191'!$G$7)/4)*(I59-J59-2)),('DPI art.191'!$G$7-(('DPI art.191'!$G$7-'DPI art.191'!$H$7)/8)*(J59-I59-2))))</f>
        <v/>
      </c>
      <c r="AY59" s="24">
        <f>I59-AX59</f>
        <v/>
      </c>
      <c r="AZ59" s="24">
        <f>IF(H59&lt;135,H59,H59-'DPI art.191'!$I$7)</f>
        <v/>
      </c>
      <c r="BA59" s="111">
        <f>IF(O59&lt;80,"0",IF((P59-O59)&lt;=2,('DPI art.191'!$G$5-(('DPI art.191'!$F$5-'DPI art.191'!$G$5)/4)*(P59-O59-2)),('DPI art.191'!$G$5-(('DPI art.191'!$G$5-'DPI art.191'!$H$5)/8)*(P59-O59-2))))</f>
        <v/>
      </c>
      <c r="BB59" s="24">
        <f>R59-BA59</f>
        <v/>
      </c>
      <c r="BC59" s="24">
        <f>IF(N59&lt;135,N59,N59-'DPI art.191'!$I$5)</f>
        <v/>
      </c>
      <c r="BD59" s="111">
        <f>IF(O59&lt;80,"0",IF((P59-O59)&lt;=2,('DPI art.191'!$G$7-(('DPI art.191'!$F$7-'DPI art.191'!$G$7)/4)*(O59-P59-2)),('DPI art.191'!$G$7-(('DPI art.191'!$G$7-'DPI art.191'!$H$7)/8)*(P59-O59-2))))</f>
        <v/>
      </c>
      <c r="BE59" s="24">
        <f>O59-BD59</f>
        <v/>
      </c>
      <c r="BF59" s="24">
        <f>IF(N59&lt;135,N59,N59-'DPI art.191'!$I$7)</f>
        <v/>
      </c>
      <c r="BG59" s="108">
        <f>10^(0.1*R59)</f>
        <v/>
      </c>
      <c r="BH59" s="108">
        <f>10^(0.1*X59)</f>
        <v/>
      </c>
      <c r="BI59" s="108">
        <f>10^(0.1*AB59)</f>
        <v/>
      </c>
      <c r="BJ59" s="108">
        <f>10^(0.1*AF59)</f>
        <v/>
      </c>
      <c r="BK59" s="108">
        <f>10^(0.1*AJ59)</f>
        <v/>
      </c>
      <c r="BL59" s="108">
        <f>10^(0.1*AN59)</f>
        <v/>
      </c>
      <c r="BM59" s="106">
        <f>IF(R59&gt;0,(O59-R59),"")</f>
        <v/>
      </c>
      <c r="BN59" s="106">
        <f>IF(X59&gt;0,(O59-X59),"")</f>
        <v/>
      </c>
      <c r="BO59" s="106">
        <f>IF(AB59&gt;0,(O59-AB59),"")</f>
        <v/>
      </c>
      <c r="BP59" s="106">
        <f>IF(AF59&gt;0,(O59-AF59),"")</f>
        <v/>
      </c>
      <c r="BQ59" s="106">
        <f>IF(AJ59&gt;0,(O59-AJ59),"")</f>
        <v/>
      </c>
      <c r="BR59" s="106">
        <f>IF(AN59&gt;0,(O59-AN59),"")</f>
        <v/>
      </c>
      <c r="BS59" s="106">
        <f>COUNT(BM59:BR59)</f>
        <v/>
      </c>
      <c r="BT59" s="464">
        <f>IF(BS59=0,0,IF(BS59=1,0,1/(BS59*(BS59-1))))</f>
        <v/>
      </c>
      <c r="BU59" s="136">
        <f>IF(R59&gt;0,(BM59^2),"")</f>
        <v/>
      </c>
      <c r="BV59" s="136">
        <f>IF(X59&gt;0,(BN59^2),"")</f>
        <v/>
      </c>
      <c r="BW59" s="136">
        <f>IF(AB59&gt;0,(BO59^2),"")</f>
        <v/>
      </c>
      <c r="BX59" s="136">
        <f>IF(AF59&gt;0,(BP59^2),"")</f>
        <v/>
      </c>
      <c r="BY59" s="136">
        <f>IF(AJ59&gt;0,(BQ59^2),"")</f>
        <v/>
      </c>
      <c r="BZ59" s="136">
        <f>IF(AN59&gt;0,(BR59^2),"")</f>
        <v/>
      </c>
    </row>
    <row r="60" ht="76.5" customHeight="1" s="444">
      <c r="A60" s="340" t="inlineStr">
        <is>
          <t>024/B/PRS747</t>
        </is>
      </c>
      <c r="B60" s="65" t="inlineStr">
        <is>
          <t>E16</t>
        </is>
      </c>
      <c r="C60" s="78" t="inlineStr">
        <is>
          <t>Saldatrice a filo</t>
        </is>
      </c>
      <c r="D60" s="83" t="inlineStr">
        <is>
          <t>ESAB</t>
        </is>
      </c>
      <c r="E60" s="83" t="inlineStr">
        <is>
          <t>Generat. ARISTO MIG 5000I W MA6 Trainaf. ORIGO FEED 4804W MA24 10P</t>
        </is>
      </c>
      <c r="F60" s="192" t="inlineStr">
        <is>
          <t>Saldatura</t>
        </is>
      </c>
      <c r="G60" s="71" t="n">
        <v>46003</v>
      </c>
      <c r="H60" s="77" t="inlineStr">
        <is>
          <t>Compito</t>
        </is>
      </c>
      <c r="I60" s="77">
        <f>IF((V60-R60)&gt;3,"SI","")</f>
        <v/>
      </c>
      <c r="J60" s="77" t="inlineStr">
        <is>
          <t>SI</t>
        </is>
      </c>
      <c r="K60" s="77" t="n"/>
      <c r="L60" s="77" t="n"/>
      <c r="M60" s="137">
        <f>IF(R60&gt;0,(SQRT(BT60*(SUM(BU60:BZ60)))),"")</f>
        <v/>
      </c>
      <c r="N60" s="4">
        <f>IF(T60&gt;0,(MAX(T60,Z60,AD60,AH60,AL60,AP60))+SQRT(1.2^2+1^2),"")</f>
        <v/>
      </c>
      <c r="O60" s="3">
        <f>IF(R60="",0,10*LOG10(SUM(BG60:BL60)/(COUNT(R60,X60,AB60,AF60,AJ60,AN60))))</f>
        <v/>
      </c>
      <c r="P60" s="5">
        <f>IF(AND(Y60="",AC60="",AG60="",AK60="",AO60=""),S60,AVERAGE(S60,Y60,AC60,AG60,AK60,AO60)+STDEV(S60,Y60,AC60,AG60,AK60,AO60))</f>
        <v/>
      </c>
      <c r="Q60" s="14" t="n">
        <v>300</v>
      </c>
      <c r="R60" s="11" t="n">
        <v>97.40000000000001</v>
      </c>
      <c r="S60" s="12" t="n">
        <v>95.8</v>
      </c>
      <c r="T60" s="13" t="n">
        <v>121.1</v>
      </c>
      <c r="U60" s="79" t="n">
        <v>97.2</v>
      </c>
      <c r="V60" s="79" t="n">
        <v>99.7</v>
      </c>
      <c r="W60" s="10" t="n">
        <v>300</v>
      </c>
      <c r="X60" s="11" t="n">
        <v>94.59999999999999</v>
      </c>
      <c r="Y60" s="12" t="n">
        <v>93.09999999999999</v>
      </c>
      <c r="Z60" s="13" t="n">
        <v>121.4</v>
      </c>
      <c r="AA60" s="10" t="n">
        <v>300</v>
      </c>
      <c r="AB60" s="11" t="n">
        <v>78.5</v>
      </c>
      <c r="AC60" s="12" t="n">
        <v>80.5</v>
      </c>
      <c r="AD60" s="13" t="n">
        <v>112.8</v>
      </c>
      <c r="AE60" s="14" t="n">
        <v>300</v>
      </c>
      <c r="AF60" s="11" t="n">
        <v>93.40000000000001</v>
      </c>
      <c r="AG60" s="12" t="n">
        <v>91.90000000000001</v>
      </c>
      <c r="AH60" s="13" t="n">
        <v>116.9</v>
      </c>
      <c r="AI60" s="10" t="n">
        <v>300</v>
      </c>
      <c r="AJ60" s="11" t="n">
        <v>90.90000000000001</v>
      </c>
      <c r="AK60" s="12" t="n">
        <v>89.7</v>
      </c>
      <c r="AL60" s="13" t="n">
        <v>113</v>
      </c>
      <c r="AM60" s="10" t="n">
        <v>300</v>
      </c>
      <c r="AN60" s="11" t="n">
        <v>85.3</v>
      </c>
      <c r="AO60" s="12" t="n">
        <v>85.09999999999999</v>
      </c>
      <c r="AP60" s="13" t="n">
        <v>118.2</v>
      </c>
      <c r="AQ60" s="6">
        <f>IF(AND((O60)&lt;85,N60&lt;137),"NO","SI")</f>
        <v/>
      </c>
      <c r="AR60" s="7">
        <f>IF((480*(10^(7.95-(O60/10))))&lt;480,480*(10^(7.95-(O60/10))),480)</f>
        <v/>
      </c>
      <c r="AS60" s="8">
        <f>IF((480*(10^(8.45-(O60/10))))&lt;480,480*(10^(8.45-(O60/10))),480)</f>
        <v/>
      </c>
      <c r="AT60" s="9">
        <f>IF((480*(10^(8.65-(O60/10))))&lt;480,480*(10^(8.65-(O60/10))),480)</f>
        <v/>
      </c>
      <c r="AU60" s="111">
        <f>IF(O60&lt;80,"0",IF((P60-O60)&lt;=2,('DPI art.191'!$G$3-(('DPI art.191'!$F$3-'DPI art.191'!$G$3)/4)*(P60-O60-2)),('DPI art.191'!$G$3-(('DPI art.191'!$G$3-'DPI art.191'!$H$3)/8)*(P60-O60-2))))</f>
        <v/>
      </c>
      <c r="AV60" s="24">
        <f>O60-AU60</f>
        <v/>
      </c>
      <c r="AW60" s="24">
        <f>IF(N60&lt;135,N60,N60-'DPI art.191'!$I$3)</f>
        <v/>
      </c>
      <c r="AX60" s="111">
        <f>IF(I60&lt;80,"0",IF((J60-I60)&lt;=2,('DPI art.191'!$G$7-(('DPI art.191'!$F$7-'DPI art.191'!$G$7)/4)*(I60-J60-2)),('DPI art.191'!$G$7-(('DPI art.191'!$G$7-'DPI art.191'!$H$7)/8)*(J60-I60-2))))</f>
        <v/>
      </c>
      <c r="AY60" s="24">
        <f>I60-AX60</f>
        <v/>
      </c>
      <c r="AZ60" s="24">
        <f>IF(H60&lt;135,H60,H60-'DPI art.191'!$I$7)</f>
        <v/>
      </c>
      <c r="BA60" s="111">
        <f>IF(O60&lt;80,"0",IF((P60-O60)&lt;=2,('DPI art.191'!$G$5-(('DPI art.191'!$F$5-'DPI art.191'!$G$5)/4)*(P60-O60-2)),('DPI art.191'!$G$5-(('DPI art.191'!$G$5-'DPI art.191'!$H$5)/8)*(P60-O60-2))))</f>
        <v/>
      </c>
      <c r="BB60" s="24">
        <f>R60-BA60</f>
        <v/>
      </c>
      <c r="BC60" s="24">
        <f>IF(N60&lt;135,N60,N60-'DPI art.191'!$I$5)</f>
        <v/>
      </c>
      <c r="BD60" s="111">
        <f>IF(O60&lt;80,"0",IF((P60-O60)&lt;=2,('DPI art.191'!$G$7-(('DPI art.191'!$F$7-'DPI art.191'!$G$7)/4)*(O60-P60-2)),('DPI art.191'!$G$7-(('DPI art.191'!$G$7-'DPI art.191'!$H$7)/8)*(P60-O60-2))))</f>
        <v/>
      </c>
      <c r="BE60" s="24">
        <f>O60-BD60</f>
        <v/>
      </c>
      <c r="BF60" s="24">
        <f>IF(N60&lt;135,N60,N60-'DPI art.191'!$I$7)</f>
        <v/>
      </c>
      <c r="BG60" s="108">
        <f>10^(0.1*R60)</f>
        <v/>
      </c>
      <c r="BH60" s="108">
        <f>10^(0.1*X60)</f>
        <v/>
      </c>
      <c r="BI60" s="108">
        <f>10^(0.1*AB60)</f>
        <v/>
      </c>
      <c r="BJ60" s="108">
        <f>10^(0.1*AF60)</f>
        <v/>
      </c>
      <c r="BK60" s="108">
        <f>10^(0.1*AJ60)</f>
        <v/>
      </c>
      <c r="BL60" s="108">
        <f>10^(0.1*AN60)</f>
        <v/>
      </c>
      <c r="BM60" s="106">
        <f>IF(R60&gt;0,(O60-R60),"")</f>
        <v/>
      </c>
      <c r="BN60" s="106">
        <f>IF(X60&gt;0,(O60-X60),"")</f>
        <v/>
      </c>
      <c r="BO60" s="106">
        <f>IF(AB60&gt;0,(O60-AB60),"")</f>
        <v/>
      </c>
      <c r="BP60" s="106">
        <f>IF(AF60&gt;0,(O60-AF60),"")</f>
        <v/>
      </c>
      <c r="BQ60" s="106">
        <f>IF(AJ60&gt;0,(O60-AJ60),"")</f>
        <v/>
      </c>
      <c r="BR60" s="106">
        <f>IF(AN60&gt;0,(O60-AN60),"")</f>
        <v/>
      </c>
      <c r="BS60" s="106">
        <f>COUNT(BM60:BR60)</f>
        <v/>
      </c>
      <c r="BT60" s="464">
        <f>IF(BS60=0,0,IF(BS60=1,0,1/(BS60*(BS60-1))))</f>
        <v/>
      </c>
      <c r="BU60" s="136">
        <f>IF(R60&gt;0,(BM60^2),"")</f>
        <v/>
      </c>
      <c r="BV60" s="136">
        <f>IF(X60&gt;0,(BN60^2),"")</f>
        <v/>
      </c>
      <c r="BW60" s="136">
        <f>IF(AB60&gt;0,(BO60^2),"")</f>
        <v/>
      </c>
      <c r="BX60" s="136">
        <f>IF(AF60&gt;0,(BP60^2),"")</f>
        <v/>
      </c>
      <c r="BY60" s="136">
        <f>IF(AJ60&gt;0,(BQ60^2),"")</f>
        <v/>
      </c>
      <c r="BZ60" s="136">
        <f>IF(AN60&gt;0,(BR60^2),"")</f>
        <v/>
      </c>
    </row>
    <row r="61" ht="25.5" customHeight="1" s="444">
      <c r="A61" s="340" t="inlineStr">
        <is>
          <t>Verniciatura</t>
        </is>
      </c>
      <c r="B61" s="65" t="inlineStr">
        <is>
          <t>E17</t>
        </is>
      </c>
      <c r="C61" s="78" t="inlineStr">
        <is>
          <t>Zona miscelazione per preparazione vernici</t>
        </is>
      </c>
      <c r="D61" s="83" t="inlineStr">
        <is>
          <t>/</t>
        </is>
      </c>
      <c r="E61" s="83" t="inlineStr">
        <is>
          <t>/</t>
        </is>
      </c>
      <c r="F61" s="78" t="inlineStr">
        <is>
          <t>Miscelazione per preparazione vernici</t>
        </is>
      </c>
      <c r="G61" s="71" t="n">
        <v>46003</v>
      </c>
      <c r="H61" s="77" t="inlineStr">
        <is>
          <t>Compito</t>
        </is>
      </c>
      <c r="I61" s="77">
        <f>IF((V61-R61)&gt;3,"SI","")</f>
        <v/>
      </c>
      <c r="J61" s="77" t="inlineStr">
        <is>
          <t>SI</t>
        </is>
      </c>
      <c r="K61" s="77" t="n"/>
      <c r="L61" s="77" t="n"/>
      <c r="M61" s="137">
        <f>IF(R61&gt;0,(SQRT(BT61*(SUM(BU61:BZ61)))),"")</f>
        <v/>
      </c>
      <c r="N61" s="4">
        <f>IF(T61&gt;0,(MAX(T61,Z61,AD61,AH61,AL61,AP61))+SQRT(1.2^2+1^2),"")</f>
        <v/>
      </c>
      <c r="O61" s="3">
        <f>IF(R61="",0,10*LOG10(SUM(BG61:BL61)/(COUNT(R61,X61,AB61,AF61,AJ61,AN61))))</f>
        <v/>
      </c>
      <c r="P61" s="5">
        <f>IF(AND(Y61="",AC61="",AG61="",AK61="",AO61=""),S61,AVERAGE(S61,Y61,AC61,AG61,AK61,AO61)+STDEV(S61,Y61,AC61,AG61,AK61,AO61))</f>
        <v/>
      </c>
      <c r="Q61" s="14" t="n">
        <v>300</v>
      </c>
      <c r="R61" s="11" t="n">
        <v>77.3</v>
      </c>
      <c r="S61" s="12" t="n">
        <v>77.59999999999999</v>
      </c>
      <c r="T61" s="13" t="n">
        <v>96.09999999999999</v>
      </c>
      <c r="U61" s="79" t="n">
        <v>77.3</v>
      </c>
      <c r="V61" s="79" t="n">
        <v>80.09999999999999</v>
      </c>
      <c r="W61" s="10" t="n">
        <v>300</v>
      </c>
      <c r="X61" s="11" t="n">
        <v>79.7</v>
      </c>
      <c r="Y61" s="12" t="n">
        <v>79.7</v>
      </c>
      <c r="Z61" s="13" t="n">
        <v>97.3</v>
      </c>
      <c r="AA61" s="10" t="n">
        <v>300</v>
      </c>
      <c r="AB61" s="11" t="n">
        <v>80.3</v>
      </c>
      <c r="AC61" s="12" t="n">
        <v>80.09999999999999</v>
      </c>
      <c r="AD61" s="13" t="n">
        <v>97.2</v>
      </c>
      <c r="AE61" s="14" t="n">
        <v>300</v>
      </c>
      <c r="AF61" s="11" t="n">
        <v>77.09999999999999</v>
      </c>
      <c r="AG61" s="12" t="n">
        <v>78.5</v>
      </c>
      <c r="AH61" s="13" t="n">
        <v>105.5</v>
      </c>
      <c r="AI61" s="10" t="n">
        <v>300</v>
      </c>
      <c r="AJ61" s="11" t="n">
        <v>72.7</v>
      </c>
      <c r="AK61" s="12" t="n">
        <v>74.90000000000001</v>
      </c>
      <c r="AL61" s="13" t="n">
        <v>92.2</v>
      </c>
      <c r="AM61" s="10" t="n">
        <v>300</v>
      </c>
      <c r="AN61" s="11" t="n">
        <v>78</v>
      </c>
      <c r="AO61" s="12" t="n">
        <v>80</v>
      </c>
      <c r="AP61" s="13" t="n">
        <v>98.8</v>
      </c>
      <c r="AQ61" s="6">
        <f>IF(AND((O61)&lt;85,N61&lt;137),"NO","SI")</f>
        <v/>
      </c>
      <c r="AR61" s="7">
        <f>IF((480*(10^(7.95-(O61/10))))&lt;480,480*(10^(7.95-(O61/10))),480)</f>
        <v/>
      </c>
      <c r="AS61" s="8">
        <f>IF((480*(10^(8.45-(O61/10))))&lt;480,480*(10^(8.45-(O61/10))),480)</f>
        <v/>
      </c>
      <c r="AT61" s="9">
        <f>IF((480*(10^(8.65-(O61/10))))&lt;480,480*(10^(8.65-(O61/10))),480)</f>
        <v/>
      </c>
      <c r="AU61" s="111">
        <f>IF(O61&lt;80,"0",IF((P61-O61)&lt;=2,('DPI art.191'!$G$3-(('DPI art.191'!$F$3-'DPI art.191'!$G$3)/4)*(P61-O61-2)),('DPI art.191'!$G$3-(('DPI art.191'!$G$3-'DPI art.191'!$H$3)/8)*(P61-O61-2))))</f>
        <v/>
      </c>
      <c r="AV61" s="24">
        <f>O61-AU61</f>
        <v/>
      </c>
      <c r="AW61" s="24">
        <f>IF(N61&lt;135,N61,N61-'DPI art.191'!$I$3)</f>
        <v/>
      </c>
      <c r="AX61" s="111">
        <f>IF(I61&lt;80,"0",IF((J61-I61)&lt;=2,('DPI art.191'!$G$7-(('DPI art.191'!$F$7-'DPI art.191'!$G$7)/4)*(I61-J61-2)),('DPI art.191'!$G$7-(('DPI art.191'!$G$7-'DPI art.191'!$H$7)/8)*(J61-I61-2))))</f>
        <v/>
      </c>
      <c r="AY61" s="24">
        <f>I61-AX61</f>
        <v/>
      </c>
      <c r="AZ61" s="24">
        <f>IF(H61&lt;135,H61,H61-'DPI art.191'!$I$7)</f>
        <v/>
      </c>
      <c r="BA61" s="111">
        <f>IF(O61&lt;80,"0",IF((P61-O61)&lt;=2,('DPI art.191'!$G$5-(('DPI art.191'!$F$5-'DPI art.191'!$G$5)/4)*(P61-O61-2)),('DPI art.191'!$G$5-(('DPI art.191'!$G$5-'DPI art.191'!$H$5)/8)*(P61-O61-2))))</f>
        <v/>
      </c>
      <c r="BB61" s="24">
        <f>R61-BA61</f>
        <v/>
      </c>
      <c r="BC61" s="24">
        <f>IF(N61&lt;135,N61,N61-'DPI art.191'!$I$5)</f>
        <v/>
      </c>
      <c r="BD61" s="111">
        <f>IF(O61&lt;80,"0",IF((P61-O61)&lt;=2,('DPI art.191'!$G$7-(('DPI art.191'!$F$7-'DPI art.191'!$G$7)/4)*(O61-P61-2)),('DPI art.191'!$G$7-(('DPI art.191'!$G$7-'DPI art.191'!$H$7)/8)*(P61-O61-2))))</f>
        <v/>
      </c>
      <c r="BE61" s="24">
        <f>O61-BD61</f>
        <v/>
      </c>
      <c r="BF61" s="24">
        <f>IF(N61&lt;135,N61,N61-'DPI art.191'!$I$7)</f>
        <v/>
      </c>
      <c r="BG61" s="108">
        <f>10^(0.1*R61)</f>
        <v/>
      </c>
      <c r="BH61" s="108">
        <f>10^(0.1*X61)</f>
        <v/>
      </c>
      <c r="BI61" s="108">
        <f>10^(0.1*AB61)</f>
        <v/>
      </c>
      <c r="BJ61" s="108">
        <f>10^(0.1*AF61)</f>
        <v/>
      </c>
      <c r="BK61" s="108">
        <f>10^(0.1*AJ61)</f>
        <v/>
      </c>
      <c r="BL61" s="108">
        <f>10^(0.1*AN61)</f>
        <v/>
      </c>
      <c r="BM61" s="106">
        <f>IF(R61&gt;0,(O61-R61),"")</f>
        <v/>
      </c>
      <c r="BN61" s="106">
        <f>IF(X61&gt;0,(O61-X61),"")</f>
        <v/>
      </c>
      <c r="BO61" s="106">
        <f>IF(AB61&gt;0,(O61-AB61),"")</f>
        <v/>
      </c>
      <c r="BP61" s="106">
        <f>IF(AF61&gt;0,(O61-AF61),"")</f>
        <v/>
      </c>
      <c r="BQ61" s="106">
        <f>IF(AJ61&gt;0,(O61-AJ61),"")</f>
        <v/>
      </c>
      <c r="BR61" s="106">
        <f>IF(AN61&gt;0,(O61-AN61),"")</f>
        <v/>
      </c>
      <c r="BS61" s="106">
        <f>COUNT(BM61:BR61)</f>
        <v/>
      </c>
      <c r="BT61" s="464">
        <f>IF(BS61=0,0,IF(BS61=1,0,1/(BS61*(BS61-1))))</f>
        <v/>
      </c>
      <c r="BU61" s="136">
        <f>IF(R61&gt;0,(BM61^2),"")</f>
        <v/>
      </c>
      <c r="BV61" s="136">
        <f>IF(X61&gt;0,(BN61^2),"")</f>
        <v/>
      </c>
      <c r="BW61" s="136">
        <f>IF(AB61&gt;0,(BO61^2),"")</f>
        <v/>
      </c>
      <c r="BX61" s="136">
        <f>IF(AF61&gt;0,(BP61^2),"")</f>
        <v/>
      </c>
      <c r="BY61" s="136">
        <f>IF(AJ61&gt;0,(BQ61^2),"")</f>
        <v/>
      </c>
      <c r="BZ61" s="136">
        <f>IF(AN61&gt;0,(BR61^2),"")</f>
        <v/>
      </c>
    </row>
    <row r="62" ht="38.25" customHeight="1" s="444">
      <c r="A62" s="340" t="inlineStr">
        <is>
          <t>E18</t>
        </is>
      </c>
      <c r="B62" s="65" t="inlineStr">
        <is>
          <t>E18</t>
        </is>
      </c>
      <c r="C62" s="78" t="inlineStr">
        <is>
          <t>Box piazzale esterno</t>
        </is>
      </c>
      <c r="D62" s="83" t="inlineStr">
        <is>
          <t>/</t>
        </is>
      </c>
      <c r="E62" s="83" t="inlineStr">
        <is>
          <t>/</t>
        </is>
      </c>
      <c r="F62" s="78" t="inlineStr">
        <is>
          <t>Attività di supporto fasi di movimentazione in box piazzale esterno</t>
        </is>
      </c>
      <c r="G62" s="71" t="n">
        <v>46003</v>
      </c>
      <c r="H62" s="77" t="inlineStr">
        <is>
          <t>Compito</t>
        </is>
      </c>
      <c r="I62" s="77">
        <f>IF((V62-R62)&gt;3,"SI","")</f>
        <v/>
      </c>
      <c r="J62" s="77">
        <f>IF((U62-R62)&gt;3,"SI","")</f>
        <v/>
      </c>
      <c r="K62" s="77" t="n"/>
      <c r="L62" s="77" t="n"/>
      <c r="M62" s="137">
        <f>IF(R62&gt;0,(SQRT(BT62*(SUM(BU62:BZ62)))),"")</f>
        <v/>
      </c>
      <c r="N62" s="4">
        <f>IF(T62&gt;0,(MAX(T62,Z62,AD62,AH62,AL62,AP62))+SQRT(1.2^2+1^2),"")</f>
        <v/>
      </c>
      <c r="O62" s="3">
        <f>IF(R62="",0,10*LOG10(SUM(BG62:BL62)/(COUNT(R62,X62,AB62,AF62,AJ62,AN62))))</f>
        <v/>
      </c>
      <c r="P62" s="5">
        <f>IF(AND(Y62="",AC62="",AG62="",AK62="",AO62=""),S62,AVERAGE(S62,Y62,AC62,AG62,AK62,AO62)+STDEV(S62,Y62,AC62,AG62,AK62,AO62))</f>
        <v/>
      </c>
      <c r="Q62" s="14" t="n">
        <v>300</v>
      </c>
      <c r="R62" s="11" t="n">
        <v>62</v>
      </c>
      <c r="S62" s="12" t="n">
        <v>72.2</v>
      </c>
      <c r="T62" s="13" t="n">
        <v>107.9</v>
      </c>
      <c r="U62" s="79" t="n">
        <v>62</v>
      </c>
      <c r="V62" s="79" t="n">
        <v>71.3</v>
      </c>
      <c r="W62" s="10" t="n">
        <v>300</v>
      </c>
      <c r="X62" s="11" t="n">
        <v>62.8</v>
      </c>
      <c r="Y62" s="12" t="n">
        <v>78.09999999999999</v>
      </c>
      <c r="Z62" s="13" t="n">
        <v>110.6</v>
      </c>
      <c r="AA62" s="10" t="n">
        <v>300</v>
      </c>
      <c r="AB62" s="11" t="n">
        <v>61.1</v>
      </c>
      <c r="AC62" s="12" t="n">
        <v>73.09999999999999</v>
      </c>
      <c r="AD62" s="13" t="n">
        <v>106.9</v>
      </c>
      <c r="AE62" s="14" t="n">
        <v>300</v>
      </c>
      <c r="AF62" s="11" t="n">
        <v>65.09999999999999</v>
      </c>
      <c r="AG62" s="12" t="n">
        <v>74.8</v>
      </c>
      <c r="AH62" s="13" t="n">
        <v>108.7</v>
      </c>
      <c r="AI62" s="10" t="n">
        <v>300</v>
      </c>
      <c r="AJ62" s="11" t="n">
        <v>59.6</v>
      </c>
      <c r="AK62" s="12" t="n">
        <v>72.7</v>
      </c>
      <c r="AL62" s="13" t="n">
        <v>108.6</v>
      </c>
      <c r="AM62" s="10" t="n">
        <v>300</v>
      </c>
      <c r="AN62" s="11" t="n">
        <v>57.8</v>
      </c>
      <c r="AO62" s="12" t="n">
        <v>73.2</v>
      </c>
      <c r="AP62" s="13" t="n">
        <v>103.3</v>
      </c>
      <c r="AQ62" s="6">
        <f>IF(AND((O62)&lt;85,N62&lt;137),"NO","SI")</f>
        <v/>
      </c>
      <c r="AR62" s="7">
        <f>IF((480*(10^(7.95-(O62/10))))&lt;480,480*(10^(7.95-(O62/10))),480)</f>
        <v/>
      </c>
      <c r="AS62" s="8">
        <f>IF((480*(10^(8.45-(O62/10))))&lt;480,480*(10^(8.45-(O62/10))),480)</f>
        <v/>
      </c>
      <c r="AT62" s="9">
        <f>IF((480*(10^(8.65-(O62/10))))&lt;480,480*(10^(8.65-(O62/10))),480)</f>
        <v/>
      </c>
      <c r="AU62" s="111">
        <f>IF(O62&lt;80,"0",IF((P62-O62)&lt;=2,('DPI art.191'!$G$3-(('DPI art.191'!$F$3-'DPI art.191'!$G$3)/4)*(P62-O62-2)),('DPI art.191'!$G$3-(('DPI art.191'!$G$3-'DPI art.191'!$H$3)/8)*(P62-O62-2))))</f>
        <v/>
      </c>
      <c r="AV62" s="24">
        <f>O62-AU62</f>
        <v/>
      </c>
      <c r="AW62" s="24">
        <f>IF(N62&lt;135,N62,N62-'DPI art.191'!$I$3)</f>
        <v/>
      </c>
      <c r="AX62" s="111">
        <f>IF(I62&lt;80,"0",IF((J62-I62)&lt;=2,('DPI art.191'!$G$7-(('DPI art.191'!$F$7-'DPI art.191'!$G$7)/4)*(I62-J62-2)),('DPI art.191'!$G$7-(('DPI art.191'!$G$7-'DPI art.191'!$H$7)/8)*(J62-I62-2))))</f>
        <v/>
      </c>
      <c r="AY62" s="24">
        <f>I62-AX62</f>
        <v/>
      </c>
      <c r="AZ62" s="24">
        <f>IF(H62&lt;135,H62,H62-'DPI art.191'!$I$7)</f>
        <v/>
      </c>
      <c r="BA62" s="111">
        <f>IF(O62&lt;80,"0",IF((P62-O62)&lt;=2,('DPI art.191'!$G$5-(('DPI art.191'!$F$5-'DPI art.191'!$G$5)/4)*(P62-O62-2)),('DPI art.191'!$G$5-(('DPI art.191'!$G$5-'DPI art.191'!$H$5)/8)*(P62-O62-2))))</f>
        <v/>
      </c>
      <c r="BB62" s="24">
        <f>R62-BA62</f>
        <v/>
      </c>
      <c r="BC62" s="24">
        <f>IF(N62&lt;135,N62,N62-'DPI art.191'!$I$5)</f>
        <v/>
      </c>
      <c r="BD62" s="111">
        <f>IF(O62&lt;80,"0",IF((P62-O62)&lt;=2,('DPI art.191'!$G$7-(('DPI art.191'!$F$7-'DPI art.191'!$G$7)/4)*(O62-P62-2)),('DPI art.191'!$G$7-(('DPI art.191'!$G$7-'DPI art.191'!$H$7)/8)*(P62-O62-2))))</f>
        <v/>
      </c>
      <c r="BE62" s="24">
        <f>O62-BD62</f>
        <v/>
      </c>
      <c r="BF62" s="24">
        <f>IF(N62&lt;135,N62,N62-'DPI art.191'!$I$7)</f>
        <v/>
      </c>
      <c r="BG62" s="108">
        <f>10^(0.1*R62)</f>
        <v/>
      </c>
      <c r="BH62" s="108">
        <f>10^(0.1*X62)</f>
        <v/>
      </c>
      <c r="BI62" s="108">
        <f>10^(0.1*AB62)</f>
        <v/>
      </c>
      <c r="BJ62" s="108">
        <f>10^(0.1*AF62)</f>
        <v/>
      </c>
      <c r="BK62" s="108">
        <f>10^(0.1*AJ62)</f>
        <v/>
      </c>
      <c r="BL62" s="108">
        <f>10^(0.1*AN62)</f>
        <v/>
      </c>
      <c r="BM62" s="106">
        <f>IF(R62&gt;0,(O62-R62),"")</f>
        <v/>
      </c>
      <c r="BN62" s="106">
        <f>IF(X62&gt;0,(O62-X62),"")</f>
        <v/>
      </c>
      <c r="BO62" s="106">
        <f>IF(AB62&gt;0,(O62-AB62),"")</f>
        <v/>
      </c>
      <c r="BP62" s="106">
        <f>IF(AF62&gt;0,(O62-AF62),"")</f>
        <v/>
      </c>
      <c r="BQ62" s="106">
        <f>IF(AJ62&gt;0,(O62-AJ62),"")</f>
        <v/>
      </c>
      <c r="BR62" s="106">
        <f>IF(AN62&gt;0,(O62-AN62),"")</f>
        <v/>
      </c>
      <c r="BS62" s="106">
        <f>COUNT(BM62:BR62)</f>
        <v/>
      </c>
      <c r="BT62" s="464">
        <f>IF(BS62=0,0,IF(BS62=1,0,1/(BS62*(BS62-1))))</f>
        <v/>
      </c>
      <c r="BU62" s="136">
        <f>IF(R62&gt;0,(BM62^2),"")</f>
        <v/>
      </c>
      <c r="BV62" s="136">
        <f>IF(X62&gt;0,(BN62^2),"")</f>
        <v/>
      </c>
      <c r="BW62" s="136">
        <f>IF(AB62&gt;0,(BO62^2),"")</f>
        <v/>
      </c>
      <c r="BX62" s="136">
        <f>IF(AF62&gt;0,(BP62^2),"")</f>
        <v/>
      </c>
      <c r="BY62" s="136">
        <f>IF(AJ62&gt;0,(BQ62^2),"")</f>
        <v/>
      </c>
      <c r="BZ62" s="136">
        <f>IF(AN62&gt;0,(BR62^2),"")</f>
        <v/>
      </c>
    </row>
    <row r="63" ht="25.5" customHeight="1" s="444">
      <c r="A63" s="340" t="inlineStr">
        <is>
          <t>273/09</t>
        </is>
      </c>
      <c r="B63" s="65" t="inlineStr">
        <is>
          <t>F1</t>
        </is>
      </c>
      <c r="C63" s="78" t="inlineStr">
        <is>
          <t>Sega a nastro</t>
        </is>
      </c>
      <c r="D63" s="83" t="inlineStr">
        <is>
          <t>SCORTEGAGNA</t>
        </is>
      </c>
      <c r="E63" s="83" t="inlineStr">
        <is>
          <t>RUSCH 320/450 G</t>
        </is>
      </c>
      <c r="F63" s="192" t="inlineStr">
        <is>
          <t>Taglio con sega a nastro</t>
        </is>
      </c>
      <c r="G63" s="71" t="n">
        <v>45996</v>
      </c>
      <c r="H63" s="77" t="inlineStr">
        <is>
          <t>Compito</t>
        </is>
      </c>
      <c r="I63" s="77">
        <f>IF((V63-R63)&gt;3,"SI","")</f>
        <v/>
      </c>
      <c r="J63" s="77" t="inlineStr">
        <is>
          <t>SI</t>
        </is>
      </c>
      <c r="K63" s="77" t="n"/>
      <c r="L63" s="77" t="n"/>
      <c r="M63" s="137">
        <f>IF(R63&gt;0,(SQRT(BT63*(SUM(BU63:BZ63)))),"")</f>
        <v/>
      </c>
      <c r="N63" s="4">
        <f>IF(T63&gt;0,(MAX(T63,Z63,AD63,AH63,AL63,AP63))+SQRT(1.2^2+1^2),"")</f>
        <v/>
      </c>
      <c r="O63" s="3">
        <f>IF(R63="",0,10*LOG10(SUM(BG63:BL63)/(COUNT(R63,X63,AB63,AF63,AJ63,AN63))))</f>
        <v/>
      </c>
      <c r="P63" s="5">
        <f>IF(AND(Y63="",AC63="",AG63="",AK63="",AO63=""),S63,AVERAGE(S63,Y63,AC63,AG63,AK63,AO63)+STDEV(S63,Y63,AC63,AG63,AK63,AO63))</f>
        <v/>
      </c>
      <c r="Q63" s="14" t="n">
        <v>300</v>
      </c>
      <c r="R63" s="11" t="n">
        <v>86.59999999999999</v>
      </c>
      <c r="S63" s="12" t="n">
        <v>86.2</v>
      </c>
      <c r="T63" s="13" t="n">
        <v>103.7</v>
      </c>
      <c r="U63" s="79" t="n">
        <v>86.59999999999999</v>
      </c>
      <c r="V63" s="79" t="n">
        <v>89.09999999999999</v>
      </c>
      <c r="W63" s="10" t="n">
        <v>300</v>
      </c>
      <c r="X63" s="11" t="n">
        <v>87</v>
      </c>
      <c r="Y63" s="12" t="n">
        <v>86.5</v>
      </c>
      <c r="Z63" s="13" t="n">
        <v>103.1</v>
      </c>
      <c r="AA63" s="10" t="n">
        <v>300</v>
      </c>
      <c r="AB63" s="11" t="n">
        <v>86.8</v>
      </c>
      <c r="AC63" s="12" t="n">
        <v>86.2</v>
      </c>
      <c r="AD63" s="13" t="n">
        <v>111.1</v>
      </c>
      <c r="AE63" s="14" t="n">
        <v>300</v>
      </c>
      <c r="AF63" s="11" t="n">
        <v>86.59999999999999</v>
      </c>
      <c r="AG63" s="12" t="n">
        <v>86.2</v>
      </c>
      <c r="AH63" s="13" t="n">
        <v>111.1</v>
      </c>
      <c r="AI63" s="10" t="n">
        <v>300</v>
      </c>
      <c r="AJ63" s="11" t="n">
        <v>86.8</v>
      </c>
      <c r="AK63" s="12" t="n">
        <v>861</v>
      </c>
      <c r="AL63" s="13" t="n">
        <v>111.1</v>
      </c>
      <c r="AM63" s="10" t="n">
        <v>300</v>
      </c>
      <c r="AN63" s="11" t="n">
        <v>75.90000000000001</v>
      </c>
      <c r="AO63" s="12" t="n">
        <v>77.7</v>
      </c>
      <c r="AP63" s="13" t="n">
        <v>97.7</v>
      </c>
      <c r="AQ63" s="6">
        <f>IF(AND((O63)&lt;85,N63&lt;137),"NO","SI")</f>
        <v/>
      </c>
      <c r="AR63" s="7">
        <f>IF((480*(10^(7.95-(O63/10))))&lt;480,480*(10^(7.95-(O63/10))),480)</f>
        <v/>
      </c>
      <c r="AS63" s="8">
        <f>IF((480*(10^(8.45-(O63/10))))&lt;480,480*(10^(8.45-(O63/10))),480)</f>
        <v/>
      </c>
      <c r="AT63" s="9">
        <f>IF((480*(10^(8.65-(O63/10))))&lt;480,480*(10^(8.65-(O63/10))),480)</f>
        <v/>
      </c>
      <c r="AU63" s="111">
        <f>IF(O63&lt;80,"0",IF((P63-O63)&lt;=2,('DPI art.191'!$G$3-(('DPI art.191'!$F$3-'DPI art.191'!$G$3)/4)*(P63-O63-2)),('DPI art.191'!$G$3-(('DPI art.191'!$G$3-'DPI art.191'!$H$3)/8)*(P63-O63-2))))</f>
        <v/>
      </c>
      <c r="AV63" s="24">
        <f>O63-AU63</f>
        <v/>
      </c>
      <c r="AW63" s="24">
        <f>IF(N63&lt;135,N63,N63-'DPI art.191'!$I$3)</f>
        <v/>
      </c>
      <c r="AX63" s="111">
        <f>IF(I63&lt;80,"0",IF((J63-I63)&lt;=2,('DPI art.191'!$G$7-(('DPI art.191'!$F$7-'DPI art.191'!$G$7)/4)*(I63-J63-2)),('DPI art.191'!$G$7-(('DPI art.191'!$G$7-'DPI art.191'!$H$7)/8)*(J63-I63-2))))</f>
        <v/>
      </c>
      <c r="AY63" s="24">
        <f>I63-AX63</f>
        <v/>
      </c>
      <c r="AZ63" s="24">
        <f>IF(H63&lt;135,H63,H63-'DPI art.191'!$I$7)</f>
        <v/>
      </c>
      <c r="BA63" s="111">
        <f>IF(O63&lt;80,"0",IF((P63-O63)&lt;=2,('DPI art.191'!$G$5-(('DPI art.191'!$F$5-'DPI art.191'!$G$5)/4)*(P63-O63-2)),('DPI art.191'!$G$5-(('DPI art.191'!$G$5-'DPI art.191'!$H$5)/8)*(P63-O63-2))))</f>
        <v/>
      </c>
      <c r="BB63" s="24">
        <f>R63-BA63</f>
        <v/>
      </c>
      <c r="BC63" s="24">
        <f>IF(N63&lt;135,N63,N63-'DPI art.191'!$I$5)</f>
        <v/>
      </c>
      <c r="BD63" s="111">
        <f>IF(O63&lt;80,"0",IF((P63-O63)&lt;=2,('DPI art.191'!$G$7-(('DPI art.191'!$F$7-'DPI art.191'!$G$7)/4)*(O63-P63-2)),('DPI art.191'!$G$7-(('DPI art.191'!$G$7-'DPI art.191'!$H$7)/8)*(P63-O63-2))))</f>
        <v/>
      </c>
      <c r="BE63" s="24">
        <f>O63-BD63</f>
        <v/>
      </c>
      <c r="BF63" s="24">
        <f>IF(N63&lt;135,N63,N63-'DPI art.191'!$I$7)</f>
        <v/>
      </c>
      <c r="BG63" s="108">
        <f>10^(0.1*R63)</f>
        <v/>
      </c>
      <c r="BH63" s="108">
        <f>10^(0.1*X63)</f>
        <v/>
      </c>
      <c r="BI63" s="108">
        <f>10^(0.1*AB63)</f>
        <v/>
      </c>
      <c r="BJ63" s="108">
        <f>10^(0.1*AF63)</f>
        <v/>
      </c>
      <c r="BK63" s="108">
        <f>10^(0.1*AJ63)</f>
        <v/>
      </c>
      <c r="BL63" s="108">
        <f>10^(0.1*AN63)</f>
        <v/>
      </c>
      <c r="BM63" s="106">
        <f>IF(R63&gt;0,(O63-R63),"")</f>
        <v/>
      </c>
      <c r="BN63" s="106">
        <f>IF(X63&gt;0,(O63-X63),"")</f>
        <v/>
      </c>
      <c r="BO63" s="106">
        <f>IF(AB63&gt;0,(O63-AB63),"")</f>
        <v/>
      </c>
      <c r="BP63" s="106">
        <f>IF(AF63&gt;0,(O63-AF63),"")</f>
        <v/>
      </c>
      <c r="BQ63" s="106">
        <f>IF(AJ63&gt;0,(O63-AJ63),"")</f>
        <v/>
      </c>
      <c r="BR63" s="106">
        <f>IF(AN63&gt;0,(O63-AN63),"")</f>
        <v/>
      </c>
      <c r="BS63" s="106">
        <f>COUNT(BM63:BR63)</f>
        <v/>
      </c>
      <c r="BT63" s="464">
        <f>IF(BS63=0,0,IF(BS63=1,0,1/(BS63*(BS63-1))))</f>
        <v/>
      </c>
      <c r="BU63" s="136">
        <f>IF(R63&gt;0,(BM63^2),"")</f>
        <v/>
      </c>
      <c r="BV63" s="136">
        <f>IF(X63&gt;0,(BN63^2),"")</f>
        <v/>
      </c>
      <c r="BW63" s="136">
        <f>IF(AB63&gt;0,(BO63^2),"")</f>
        <v/>
      </c>
      <c r="BX63" s="136">
        <f>IF(AF63&gt;0,(BP63^2),"")</f>
        <v/>
      </c>
      <c r="BY63" s="136">
        <f>IF(AJ63&gt;0,(BQ63^2),"")</f>
        <v/>
      </c>
      <c r="BZ63" s="136">
        <f>IF(AN63&gt;0,(BR63^2),"")</f>
        <v/>
      </c>
    </row>
    <row r="64" ht="18.75" customHeight="1" s="444">
      <c r="A64" s="340" t="inlineStr">
        <is>
          <t>273/19</t>
        </is>
      </c>
      <c r="B64" s="65" t="inlineStr">
        <is>
          <t>F2</t>
        </is>
      </c>
      <c r="C64" s="78" t="inlineStr">
        <is>
          <t>Sega a nastro</t>
        </is>
      </c>
      <c r="D64" s="83" t="inlineStr">
        <is>
          <t>F.M.B</t>
        </is>
      </c>
      <c r="E64" s="83" t="inlineStr">
        <is>
          <t>SATURN + VHZ</t>
        </is>
      </c>
      <c r="F64" s="192" t="inlineStr">
        <is>
          <t>Taglio con sega a nastro</t>
        </is>
      </c>
      <c r="G64" s="71" t="n">
        <v>45996</v>
      </c>
      <c r="H64" s="77" t="inlineStr">
        <is>
          <t>Compito</t>
        </is>
      </c>
      <c r="I64" s="77">
        <f>IF((V64-R64)&gt;3,"SI","")</f>
        <v/>
      </c>
      <c r="J64" s="77" t="inlineStr">
        <is>
          <t>SI</t>
        </is>
      </c>
      <c r="K64" s="77" t="n"/>
      <c r="L64" s="77" t="n"/>
      <c r="M64" s="137">
        <f>IF(R64&gt;0,(SQRT(BT64*(SUM(BU64:BZ64)))),"")</f>
        <v/>
      </c>
      <c r="N64" s="4">
        <f>IF(T64&gt;0,(MAX(T64,Z64,AD64,AH64,AL64,AP64))+SQRT(1.2^2+1^2),"")</f>
        <v/>
      </c>
      <c r="O64" s="3">
        <f>IF(R64="",0,10*LOG10(SUM(BG64:BL64)/(COUNT(R64,X64,AB64,AF64,AJ64,AN64))))</f>
        <v/>
      </c>
      <c r="P64" s="5">
        <f>IF(AND(Y64="",AC64="",AG64="",AK64="",AO64=""),S64,AVERAGE(S64,Y64,AC64,AG64,AK64,AO64)+STDEV(S64,Y64,AC64,AG64,AK64,AO64))</f>
        <v/>
      </c>
      <c r="Q64" s="14" t="n">
        <v>300</v>
      </c>
      <c r="R64" s="11" t="n">
        <v>84.40000000000001</v>
      </c>
      <c r="S64" s="12" t="n">
        <v>83.7</v>
      </c>
      <c r="T64" s="13" t="n">
        <v>103.3</v>
      </c>
      <c r="U64" s="79" t="n">
        <v>84.40000000000001</v>
      </c>
      <c r="V64" s="79" t="n">
        <v>86.8</v>
      </c>
      <c r="W64" s="10" t="n">
        <v>300</v>
      </c>
      <c r="X64" s="11" t="n">
        <v>85.40000000000001</v>
      </c>
      <c r="Y64" s="12" t="n">
        <v>84.7</v>
      </c>
      <c r="Z64" s="13" t="n">
        <v>117.8</v>
      </c>
      <c r="AA64" s="10" t="n">
        <v>300</v>
      </c>
      <c r="AB64" s="11" t="n">
        <v>84.59999999999999</v>
      </c>
      <c r="AC64" s="12" t="n">
        <v>84</v>
      </c>
      <c r="AD64" s="13" t="n">
        <v>104.4</v>
      </c>
      <c r="AE64" s="14" t="n">
        <v>300</v>
      </c>
      <c r="AF64" s="11" t="n">
        <v>84.09999999999999</v>
      </c>
      <c r="AG64" s="12" t="n">
        <v>84.8</v>
      </c>
      <c r="AH64" s="13" t="n">
        <v>117.4</v>
      </c>
      <c r="AI64" s="10" t="n">
        <v>300</v>
      </c>
      <c r="AJ64" s="11" t="n">
        <v>80.3</v>
      </c>
      <c r="AK64" s="12" t="n">
        <v>79.90000000000001</v>
      </c>
      <c r="AL64" s="13" t="n">
        <v>103.2</v>
      </c>
      <c r="AM64" s="10" t="n">
        <v>300</v>
      </c>
      <c r="AN64" s="11" t="n">
        <v>78.8</v>
      </c>
      <c r="AO64" s="12" t="n">
        <v>78.2</v>
      </c>
      <c r="AP64" s="13" t="n">
        <v>103.8</v>
      </c>
      <c r="AQ64" s="6">
        <f>IF(AND((O64)&lt;85,N64&lt;137),"NO","SI")</f>
        <v/>
      </c>
      <c r="AR64" s="7">
        <f>IF((480*(10^(7.95-(O64/10))))&lt;480,480*(10^(7.95-(O64/10))),480)</f>
        <v/>
      </c>
      <c r="AS64" s="8">
        <f>IF((480*(10^(8.45-(O64/10))))&lt;480,480*(10^(8.45-(O64/10))),480)</f>
        <v/>
      </c>
      <c r="AT64" s="9">
        <f>IF((480*(10^(8.65-(O64/10))))&lt;480,480*(10^(8.65-(O64/10))),480)</f>
        <v/>
      </c>
      <c r="AU64" s="111">
        <f>IF(O64&lt;80,"0",IF((P64-O64)&lt;=2,('DPI art.191'!$G$3-(('DPI art.191'!$F$3-'DPI art.191'!$G$3)/4)*(P64-O64-2)),('DPI art.191'!$G$3-(('DPI art.191'!$G$3-'DPI art.191'!$H$3)/8)*(P64-O64-2))))</f>
        <v/>
      </c>
      <c r="AV64" s="24">
        <f>O64-AU64</f>
        <v/>
      </c>
      <c r="AW64" s="24">
        <f>IF(N64&lt;135,N64,N64-'DPI art.191'!$I$3)</f>
        <v/>
      </c>
      <c r="AX64" s="111">
        <f>IF(I64&lt;80,"0",IF((J64-I64)&lt;=2,('DPI art.191'!$G$7-(('DPI art.191'!$F$7-'DPI art.191'!$G$7)/4)*(I64-J64-2)),('DPI art.191'!$G$7-(('DPI art.191'!$G$7-'DPI art.191'!$H$7)/8)*(J64-I64-2))))</f>
        <v/>
      </c>
      <c r="AY64" s="24">
        <f>I64-AX64</f>
        <v/>
      </c>
      <c r="AZ64" s="24">
        <f>IF(H64&lt;135,H64,H64-'DPI art.191'!$I$7)</f>
        <v/>
      </c>
      <c r="BA64" s="111">
        <f>IF(O64&lt;80,"0",IF((P64-O64)&lt;=2,('DPI art.191'!$G$5-(('DPI art.191'!$F$5-'DPI art.191'!$G$5)/4)*(P64-O64-2)),('DPI art.191'!$G$5-(('DPI art.191'!$G$5-'DPI art.191'!$H$5)/8)*(P64-O64-2))))</f>
        <v/>
      </c>
      <c r="BB64" s="24">
        <f>R64-BA64</f>
        <v/>
      </c>
      <c r="BC64" s="24">
        <f>IF(N64&lt;135,N64,N64-'DPI art.191'!$I$5)</f>
        <v/>
      </c>
      <c r="BD64" s="111">
        <f>IF(O64&lt;80,"0",IF((P64-O64)&lt;=2,('DPI art.191'!$G$7-(('DPI art.191'!$F$7-'DPI art.191'!$G$7)/4)*(O64-P64-2)),('DPI art.191'!$G$7-(('DPI art.191'!$G$7-'DPI art.191'!$H$7)/8)*(P64-O64-2))))</f>
        <v/>
      </c>
      <c r="BE64" s="24">
        <f>O64-BD64</f>
        <v/>
      </c>
      <c r="BF64" s="24">
        <f>IF(N64&lt;135,N64,N64-'DPI art.191'!$I$7)</f>
        <v/>
      </c>
      <c r="BG64" s="108">
        <f>10^(0.1*R64)</f>
        <v/>
      </c>
      <c r="BH64" s="108">
        <f>10^(0.1*X64)</f>
        <v/>
      </c>
      <c r="BI64" s="108">
        <f>10^(0.1*AB64)</f>
        <v/>
      </c>
      <c r="BJ64" s="108">
        <f>10^(0.1*AF64)</f>
        <v/>
      </c>
      <c r="BK64" s="108">
        <f>10^(0.1*AJ64)</f>
        <v/>
      </c>
      <c r="BL64" s="108">
        <f>10^(0.1*AN64)</f>
        <v/>
      </c>
      <c r="BM64" s="106">
        <f>IF(R64&gt;0,(O64-R64),"")</f>
        <v/>
      </c>
      <c r="BN64" s="106">
        <f>IF(X64&gt;0,(O64-X64),"")</f>
        <v/>
      </c>
      <c r="BO64" s="106">
        <f>IF(AB64&gt;0,(O64-AB64),"")</f>
        <v/>
      </c>
      <c r="BP64" s="106">
        <f>IF(AF64&gt;0,(O64-AF64),"")</f>
        <v/>
      </c>
      <c r="BQ64" s="106">
        <f>IF(AJ64&gt;0,(O64-AJ64),"")</f>
        <v/>
      </c>
      <c r="BR64" s="106">
        <f>IF(AN64&gt;0,(O64-AN64),"")</f>
        <v/>
      </c>
      <c r="BS64" s="106">
        <f>COUNT(BM64:BR64)</f>
        <v/>
      </c>
      <c r="BT64" s="464">
        <f>IF(BS64=0,0,IF(BS64=1,0,1/(BS64*(BS64-1))))</f>
        <v/>
      </c>
      <c r="BU64" s="136">
        <f>IF(R64&gt;0,(BM64^2),"")</f>
        <v/>
      </c>
      <c r="BV64" s="136">
        <f>IF(X64&gt;0,(BN64^2),"")</f>
        <v/>
      </c>
      <c r="BW64" s="136">
        <f>IF(AB64&gt;0,(BO64^2),"")</f>
        <v/>
      </c>
      <c r="BX64" s="136">
        <f>IF(AF64&gt;0,(BP64^2),"")</f>
        <v/>
      </c>
      <c r="BY64" s="136">
        <f>IF(AJ64&gt;0,(BQ64^2),"")</f>
        <v/>
      </c>
      <c r="BZ64" s="136">
        <f>IF(AN64&gt;0,(BR64^2),"")</f>
        <v/>
      </c>
    </row>
    <row r="65" ht="18.75" customHeight="1" s="444">
      <c r="A65" s="340" t="inlineStr">
        <is>
          <t>Gualdo 1</t>
        </is>
      </c>
      <c r="B65" s="65" t="inlineStr">
        <is>
          <t>F3</t>
        </is>
      </c>
      <c r="C65" s="78" t="inlineStr">
        <is>
          <t>Movimentazioni interne</t>
        </is>
      </c>
      <c r="D65" s="83" t="inlineStr">
        <is>
          <t>/</t>
        </is>
      </c>
      <c r="E65" s="83" t="inlineStr">
        <is>
          <t>/</t>
        </is>
      </c>
      <c r="F65" s="78" t="inlineStr">
        <is>
          <t>Movimentazioni interne</t>
        </is>
      </c>
      <c r="G65" s="71" t="n">
        <v>45996</v>
      </c>
      <c r="H65" s="77" t="inlineStr">
        <is>
          <t>Compito</t>
        </is>
      </c>
      <c r="I65" s="77">
        <f>IF((V65-R65)&gt;3,"SI","")</f>
        <v/>
      </c>
      <c r="J65" s="77">
        <f>IF((U65-R65)&gt;3,"SI","")</f>
        <v/>
      </c>
      <c r="K65" s="77" t="n"/>
      <c r="L65" s="77" t="n"/>
      <c r="M65" s="137">
        <f>IF(R65&gt;0,(SQRT(BT65*(SUM(BU65:BZ65)))),"")</f>
        <v/>
      </c>
      <c r="N65" s="4">
        <f>IF(T65&gt;0,(MAX(T65,Z65,AD65,AH65,AL65,AP65))+SQRT(1.2^2+1^2),"")</f>
        <v/>
      </c>
      <c r="O65" s="3">
        <f>IF(R65="",0,10*LOG10(SUM(BG65:BL65)/(COUNT(R65,X65,AB65,AF65,AJ65,AN65))))</f>
        <v/>
      </c>
      <c r="P65" s="5">
        <f>IF(AND(Y65="",AC65="",AG65="",AK65="",AO65=""),S65,AVERAGE(S65,Y65,AC65,AG65,AK65,AO65)+STDEV(S65,Y65,AC65,AG65,AK65,AO65))</f>
        <v/>
      </c>
      <c r="Q65" s="14" t="n">
        <v>300</v>
      </c>
      <c r="R65" s="11" t="n">
        <v>81.09999999999999</v>
      </c>
      <c r="S65" s="12" t="n">
        <v>83.90000000000001</v>
      </c>
      <c r="T65" s="13" t="n">
        <v>109.9</v>
      </c>
      <c r="U65" s="79" t="n">
        <v>81.2</v>
      </c>
      <c r="V65" s="79" t="n">
        <v>84.3</v>
      </c>
      <c r="W65" s="10" t="n">
        <v>300</v>
      </c>
      <c r="X65" s="11" t="n">
        <v>80.09999999999999</v>
      </c>
      <c r="Y65" s="12" t="n">
        <v>81.2</v>
      </c>
      <c r="Z65" s="13" t="n">
        <v>103.1</v>
      </c>
      <c r="AA65" s="10" t="n">
        <v>300</v>
      </c>
      <c r="AB65" s="11" t="n">
        <v>83.09999999999999</v>
      </c>
      <c r="AC65" s="12" t="n">
        <v>84.2</v>
      </c>
      <c r="AD65" s="13" t="n">
        <v>107.9</v>
      </c>
      <c r="AE65" s="14" t="n">
        <v>300</v>
      </c>
      <c r="AF65" s="11" t="n">
        <v>83.40000000000001</v>
      </c>
      <c r="AG65" s="12" t="n">
        <v>84.5</v>
      </c>
      <c r="AH65" s="13" t="n">
        <v>109.1</v>
      </c>
      <c r="AI65" s="10" t="n">
        <v>300</v>
      </c>
      <c r="AJ65" s="11" t="n">
        <v>81.2</v>
      </c>
      <c r="AK65" s="12" t="n">
        <v>81.8</v>
      </c>
      <c r="AL65" s="13" t="n">
        <v>108.5</v>
      </c>
      <c r="AM65" s="10" t="n">
        <v>300</v>
      </c>
      <c r="AN65" s="11" t="n">
        <v>82.59999999999999</v>
      </c>
      <c r="AO65" s="12" t="n">
        <v>83.8</v>
      </c>
      <c r="AP65" s="13" t="n">
        <v>111.2</v>
      </c>
      <c r="AQ65" s="6">
        <f>IF(AND((O65)&lt;85,N65&lt;137),"NO","SI")</f>
        <v/>
      </c>
      <c r="AR65" s="7">
        <f>IF((480*(10^(7.95-(O65/10))))&lt;480,480*(10^(7.95-(O65/10))),480)</f>
        <v/>
      </c>
      <c r="AS65" s="8">
        <f>IF((480*(10^(8.45-(O65/10))))&lt;480,480*(10^(8.45-(O65/10))),480)</f>
        <v/>
      </c>
      <c r="AT65" s="9">
        <f>IF((480*(10^(8.65-(O65/10))))&lt;480,480*(10^(8.65-(O65/10))),480)</f>
        <v/>
      </c>
      <c r="AU65" s="111">
        <f>IF(O65&lt;80,"0",IF((P65-O65)&lt;=2,('DPI art.191'!$G$3-(('DPI art.191'!$F$3-'DPI art.191'!$G$3)/4)*(P65-O65-2)),('DPI art.191'!$G$3-(('DPI art.191'!$G$3-'DPI art.191'!$H$3)/8)*(P65-O65-2))))</f>
        <v/>
      </c>
      <c r="AV65" s="24">
        <f>O65-AU65</f>
        <v/>
      </c>
      <c r="AW65" s="24">
        <f>IF(N65&lt;135,N65,N65-'DPI art.191'!$I$3)</f>
        <v/>
      </c>
      <c r="AX65" s="111">
        <f>IF(I65&lt;80,"0",IF((J65-I65)&lt;=2,('DPI art.191'!$G$7-(('DPI art.191'!$F$7-'DPI art.191'!$G$7)/4)*(I65-J65-2)),('DPI art.191'!$G$7-(('DPI art.191'!$G$7-'DPI art.191'!$H$7)/8)*(J65-I65-2))))</f>
        <v/>
      </c>
      <c r="AY65" s="24">
        <f>I65-AX65</f>
        <v/>
      </c>
      <c r="AZ65" s="24">
        <f>IF(H65&lt;135,H65,H65-'DPI art.191'!$I$7)</f>
        <v/>
      </c>
      <c r="BA65" s="111">
        <f>IF(O65&lt;80,"0",IF((P65-O65)&lt;=2,('DPI art.191'!$G$5-(('DPI art.191'!$F$5-'DPI art.191'!$G$5)/4)*(P65-O65-2)),('DPI art.191'!$G$5-(('DPI art.191'!$G$5-'DPI art.191'!$H$5)/8)*(P65-O65-2))))</f>
        <v/>
      </c>
      <c r="BB65" s="24">
        <f>R65-BA65</f>
        <v/>
      </c>
      <c r="BC65" s="24">
        <f>IF(N65&lt;135,N65,N65-'DPI art.191'!$I$5)</f>
        <v/>
      </c>
      <c r="BD65" s="111">
        <f>IF(O65&lt;80,"0",IF((P65-O65)&lt;=2,('DPI art.191'!$G$7-(('DPI art.191'!$F$7-'DPI art.191'!$G$7)/4)*(O65-P65-2)),('DPI art.191'!$G$7-(('DPI art.191'!$G$7-'DPI art.191'!$H$7)/8)*(P65-O65-2))))</f>
        <v/>
      </c>
      <c r="BE65" s="24">
        <f>O65-BD65</f>
        <v/>
      </c>
      <c r="BF65" s="24">
        <f>IF(N65&lt;135,N65,N65-'DPI art.191'!$I$7)</f>
        <v/>
      </c>
      <c r="BG65" s="108">
        <f>10^(0.1*R65)</f>
        <v/>
      </c>
      <c r="BH65" s="108">
        <f>10^(0.1*X65)</f>
        <v/>
      </c>
      <c r="BI65" s="108">
        <f>10^(0.1*AB65)</f>
        <v/>
      </c>
      <c r="BJ65" s="108">
        <f>10^(0.1*AF65)</f>
        <v/>
      </c>
      <c r="BK65" s="108">
        <f>10^(0.1*AJ65)</f>
        <v/>
      </c>
      <c r="BL65" s="108">
        <f>10^(0.1*AN65)</f>
        <v/>
      </c>
      <c r="BM65" s="106">
        <f>IF(R65&gt;0,(O65-R65),"")</f>
        <v/>
      </c>
      <c r="BN65" s="106">
        <f>IF(X65&gt;0,(O65-X65),"")</f>
        <v/>
      </c>
      <c r="BO65" s="106">
        <f>IF(AB65&gt;0,(O65-AB65),"")</f>
        <v/>
      </c>
      <c r="BP65" s="106">
        <f>IF(AF65&gt;0,(O65-AF65),"")</f>
        <v/>
      </c>
      <c r="BQ65" s="106">
        <f>IF(AJ65&gt;0,(O65-AJ65),"")</f>
        <v/>
      </c>
      <c r="BR65" s="106">
        <f>IF(AN65&gt;0,(O65-AN65),"")</f>
        <v/>
      </c>
      <c r="BS65" s="106">
        <f>COUNT(BM65:BR65)</f>
        <v/>
      </c>
      <c r="BT65" s="464">
        <f>IF(BS65=0,0,IF(BS65=1,0,1/(BS65*(BS65-1))))</f>
        <v/>
      </c>
      <c r="BU65" s="136">
        <f>IF(R65&gt;0,(BM65^2),"")</f>
        <v/>
      </c>
      <c r="BV65" s="136">
        <f>IF(X65&gt;0,(BN65^2),"")</f>
        <v/>
      </c>
      <c r="BW65" s="136">
        <f>IF(AB65&gt;0,(BO65^2),"")</f>
        <v/>
      </c>
      <c r="BX65" s="136">
        <f>IF(AF65&gt;0,(BP65^2),"")</f>
        <v/>
      </c>
      <c r="BY65" s="136">
        <f>IF(AJ65&gt;0,(BQ65^2),"")</f>
        <v/>
      </c>
      <c r="BZ65" s="136">
        <f>IF(AN65&gt;0,(BR65^2),"")</f>
        <v/>
      </c>
    </row>
    <row r="66" ht="18.75" customHeight="1" s="444">
      <c r="A66" s="340" t="inlineStr">
        <is>
          <t>266/01</t>
        </is>
      </c>
      <c r="B66" s="65" t="inlineStr">
        <is>
          <t>F4</t>
        </is>
      </c>
      <c r="C66" s="78" t="inlineStr">
        <is>
          <t>Pressa</t>
        </is>
      </c>
      <c r="D66" s="83" t="inlineStr">
        <is>
          <t xml:space="preserve">PARESA </t>
        </is>
      </c>
      <c r="E66" s="83" t="inlineStr">
        <is>
          <t>800 t</t>
        </is>
      </c>
      <c r="F66" s="78" t="inlineStr">
        <is>
          <t>Pressa</t>
        </is>
      </c>
      <c r="G66" s="71" t="n">
        <v>45996</v>
      </c>
      <c r="H66" s="77" t="inlineStr">
        <is>
          <t>Compito</t>
        </is>
      </c>
      <c r="I66" s="77">
        <f>IF((V66-R66)&gt;3,"SI","")</f>
        <v/>
      </c>
      <c r="J66" s="77" t="inlineStr">
        <is>
          <t>SI</t>
        </is>
      </c>
      <c r="K66" s="77" t="n"/>
      <c r="L66" s="77" t="n"/>
      <c r="M66" s="137">
        <f>IF(R66&gt;0,(SQRT(BT66*(SUM(BU66:BZ66)))),"")</f>
        <v/>
      </c>
      <c r="N66" s="4">
        <f>IF(T66&gt;0,(MAX(T66,Z66,AD66,AH66,AL66,AP66))+SQRT(1.2^2+1^2),"")</f>
        <v/>
      </c>
      <c r="O66" s="3">
        <f>IF(R66="",0,10*LOG10(SUM(BG66:BL66)/(COUNT(R66,X66,AB66,AF66,AJ66,AN66))))</f>
        <v/>
      </c>
      <c r="P66" s="5">
        <f>IF(AND(Y66="",AC66="",AG66="",AK66="",AO66=""),S66,AVERAGE(S66,Y66,AC66,AG66,AK66,AO66)+STDEV(S66,Y66,AC66,AG66,AK66,AO66))</f>
        <v/>
      </c>
      <c r="Q66" s="14" t="n">
        <v>300</v>
      </c>
      <c r="R66" s="11" t="n">
        <v>83.5</v>
      </c>
      <c r="S66" s="12" t="n">
        <v>83.8</v>
      </c>
      <c r="T66" s="13" t="n">
        <v>105.2</v>
      </c>
      <c r="U66" s="79" t="n">
        <v>83.5</v>
      </c>
      <c r="V66" s="79" t="n">
        <v>85.40000000000001</v>
      </c>
      <c r="W66" s="10" t="n">
        <v>300</v>
      </c>
      <c r="X66" s="11" t="n">
        <v>82.40000000000001</v>
      </c>
      <c r="Y66" s="12" t="n">
        <v>84.90000000000001</v>
      </c>
      <c r="Z66" s="13" t="n">
        <v>112</v>
      </c>
      <c r="AA66" s="10" t="n">
        <v>300</v>
      </c>
      <c r="AB66" s="11" t="n">
        <v>83.5</v>
      </c>
      <c r="AC66" s="12" t="n">
        <v>86</v>
      </c>
      <c r="AD66" s="13" t="n">
        <v>115.9</v>
      </c>
      <c r="AE66" s="14" t="n">
        <v>300</v>
      </c>
      <c r="AF66" s="11" t="n">
        <v>86.09999999999999</v>
      </c>
      <c r="AG66" s="12" t="n">
        <v>88.40000000000001</v>
      </c>
      <c r="AH66" s="13" t="n">
        <v>120.8</v>
      </c>
      <c r="AI66" s="10" t="n">
        <v>300</v>
      </c>
      <c r="AJ66" s="11" t="n">
        <v>87.09999999999999</v>
      </c>
      <c r="AK66" s="12" t="n">
        <v>87.2</v>
      </c>
      <c r="AL66" s="13" t="n">
        <v>110.9</v>
      </c>
      <c r="AM66" s="10" t="n">
        <v>300</v>
      </c>
      <c r="AN66" s="11" t="n">
        <v>87.09999999999999</v>
      </c>
      <c r="AO66" s="12" t="n">
        <v>87.40000000000001</v>
      </c>
      <c r="AP66" s="13" t="n">
        <v>111.2</v>
      </c>
      <c r="AQ66" s="6">
        <f>IF(AND((O66)&lt;85,N66&lt;137),"NO","SI")</f>
        <v/>
      </c>
      <c r="AR66" s="7">
        <f>IF((480*(10^(7.95-(O66/10))))&lt;480,480*(10^(7.95-(O66/10))),480)</f>
        <v/>
      </c>
      <c r="AS66" s="8">
        <f>IF((480*(10^(8.45-(O66/10))))&lt;480,480*(10^(8.45-(O66/10))),480)</f>
        <v/>
      </c>
      <c r="AT66" s="9">
        <f>IF((480*(10^(8.65-(O66/10))))&lt;480,480*(10^(8.65-(O66/10))),480)</f>
        <v/>
      </c>
      <c r="AU66" s="111">
        <f>IF(O66&lt;80,"0",IF((P66-O66)&lt;=2,('DPI art.191'!$G$3-(('DPI art.191'!$F$3-'DPI art.191'!$G$3)/4)*(P66-O66-2)),('DPI art.191'!$G$3-(('DPI art.191'!$G$3-'DPI art.191'!$H$3)/8)*(P66-O66-2))))</f>
        <v/>
      </c>
      <c r="AV66" s="24">
        <f>O66-AU66</f>
        <v/>
      </c>
      <c r="AW66" s="24">
        <f>IF(N66&lt;135,N66,N66-'DPI art.191'!$I$3)</f>
        <v/>
      </c>
      <c r="AX66" s="111">
        <f>IF(I66&lt;80,"0",IF((J66-I66)&lt;=2,('DPI art.191'!$G$7-(('DPI art.191'!$F$7-'DPI art.191'!$G$7)/4)*(I66-J66-2)),('DPI art.191'!$G$7-(('DPI art.191'!$G$7-'DPI art.191'!$H$7)/8)*(J66-I66-2))))</f>
        <v/>
      </c>
      <c r="AY66" s="24">
        <f>I66-AX66</f>
        <v/>
      </c>
      <c r="AZ66" s="24">
        <f>IF(H66&lt;135,H66,H66-'DPI art.191'!$I$7)</f>
        <v/>
      </c>
      <c r="BA66" s="111">
        <f>IF(O66&lt;80,"0",IF((P66-O66)&lt;=2,('DPI art.191'!$G$5-(('DPI art.191'!$F$5-'DPI art.191'!$G$5)/4)*(P66-O66-2)),('DPI art.191'!$G$5-(('DPI art.191'!$G$5-'DPI art.191'!$H$5)/8)*(P66-O66-2))))</f>
        <v/>
      </c>
      <c r="BB66" s="24">
        <f>R66-BA66</f>
        <v/>
      </c>
      <c r="BC66" s="24">
        <f>IF(N66&lt;135,N66,N66-'DPI art.191'!$I$5)</f>
        <v/>
      </c>
      <c r="BD66" s="111">
        <f>IF(O66&lt;80,"0",IF((P66-O66)&lt;=2,('DPI art.191'!$G$7-(('DPI art.191'!$F$7-'DPI art.191'!$G$7)/4)*(O66-P66-2)),('DPI art.191'!$G$7-(('DPI art.191'!$G$7-'DPI art.191'!$H$7)/8)*(P66-O66-2))))</f>
        <v/>
      </c>
      <c r="BE66" s="24">
        <f>O66-BD66</f>
        <v/>
      </c>
      <c r="BF66" s="24">
        <f>IF(N66&lt;135,N66,N66-'DPI art.191'!$I$7)</f>
        <v/>
      </c>
      <c r="BG66" s="108">
        <f>10^(0.1*R66)</f>
        <v/>
      </c>
      <c r="BH66" s="108">
        <f>10^(0.1*X66)</f>
        <v/>
      </c>
      <c r="BI66" s="108">
        <f>10^(0.1*AB66)</f>
        <v/>
      </c>
      <c r="BJ66" s="108">
        <f>10^(0.1*AF66)</f>
        <v/>
      </c>
      <c r="BK66" s="108">
        <f>10^(0.1*AJ66)</f>
        <v/>
      </c>
      <c r="BL66" s="108">
        <f>10^(0.1*AN66)</f>
        <v/>
      </c>
      <c r="BM66" s="106">
        <f>IF(R66&gt;0,(O66-R66),"")</f>
        <v/>
      </c>
      <c r="BN66" s="106">
        <f>IF(X66&gt;0,(O66-X66),"")</f>
        <v/>
      </c>
      <c r="BO66" s="106">
        <f>IF(AB66&gt;0,(O66-AB66),"")</f>
        <v/>
      </c>
      <c r="BP66" s="106">
        <f>IF(AF66&gt;0,(O66-AF66),"")</f>
        <v/>
      </c>
      <c r="BQ66" s="106">
        <f>IF(AJ66&gt;0,(O66-AJ66),"")</f>
        <v/>
      </c>
      <c r="BR66" s="106">
        <f>IF(AN66&gt;0,(O66-AN66),"")</f>
        <v/>
      </c>
      <c r="BS66" s="106">
        <f>COUNT(BM66:BR66)</f>
        <v/>
      </c>
      <c r="BT66" s="464">
        <f>IF(BS66=0,0,IF(BS66=1,0,1/(BS66*(BS66-1))))</f>
        <v/>
      </c>
      <c r="BU66" s="136">
        <f>IF(R66&gt;0,(BM66^2),"")</f>
        <v/>
      </c>
      <c r="BV66" s="136">
        <f>IF(X66&gt;0,(BN66^2),"")</f>
        <v/>
      </c>
      <c r="BW66" s="136">
        <f>IF(AB66&gt;0,(BO66^2),"")</f>
        <v/>
      </c>
      <c r="BX66" s="136">
        <f>IF(AF66&gt;0,(BP66^2),"")</f>
        <v/>
      </c>
      <c r="BY66" s="136">
        <f>IF(AJ66&gt;0,(BQ66^2),"")</f>
        <v/>
      </c>
      <c r="BZ66" s="136">
        <f>IF(AN66&gt;0,(BR66^2),"")</f>
        <v/>
      </c>
    </row>
    <row r="67" ht="25.5" customHeight="1" s="444">
      <c r="A67" s="340" t="inlineStr">
        <is>
          <t>Gualdo 1</t>
        </is>
      </c>
      <c r="B67" s="65" t="inlineStr">
        <is>
          <t>F5</t>
        </is>
      </c>
      <c r="C67" s="78" t="inlineStr">
        <is>
          <t>Ufficio tecnico interno produzione</t>
        </is>
      </c>
      <c r="D67" s="83" t="inlineStr">
        <is>
          <t>/</t>
        </is>
      </c>
      <c r="E67" s="83" t="inlineStr">
        <is>
          <t>/</t>
        </is>
      </c>
      <c r="F67" s="78" t="inlineStr">
        <is>
          <t>Attività ufficio tecnico interno produzione</t>
        </is>
      </c>
      <c r="G67" s="71" t="n">
        <v>45996</v>
      </c>
      <c r="H67" s="77" t="inlineStr">
        <is>
          <t>Compito</t>
        </is>
      </c>
      <c r="I67" s="77" t="n"/>
      <c r="J67" s="77">
        <f>IF((U67-R67)&gt;3,"SI","")</f>
        <v/>
      </c>
      <c r="K67" s="77" t="n"/>
      <c r="L67" s="77" t="n"/>
      <c r="M67" s="137">
        <f>IF(R67&gt;0,(SQRT(BT67*(SUM(BU67:BZ67)))),"")</f>
        <v/>
      </c>
      <c r="N67" s="4">
        <f>IF(T67&gt;0,(MAX(T67,Z67,AD67,AH67,AL67,AP67))+SQRT(1.2^2+1^2),"")</f>
        <v/>
      </c>
      <c r="O67" s="3">
        <f>IF(R67="",0,10*LOG10(SUM(BG67:BL67)/(COUNT(R67,X67,AB67,AF67,AJ67,AN67))))</f>
        <v/>
      </c>
      <c r="P67" s="5">
        <f>IF(AND(Y67="",AC67="",AG67="",AK67="",AO67=""),S67,AVERAGE(S67,Y67,AC67,AG67,AK67,AO67)+STDEV(S67,Y67,AC67,AG67,AK67,AO67))</f>
        <v/>
      </c>
      <c r="Q67" s="14" t="n">
        <v>300</v>
      </c>
      <c r="R67" s="11" t="n">
        <v>48.9</v>
      </c>
      <c r="S67" s="12" t="n">
        <v>69.2</v>
      </c>
      <c r="T67" s="13" t="n">
        <v>90.5</v>
      </c>
      <c r="U67" s="79" t="n">
        <v>54.1</v>
      </c>
      <c r="V67" s="79" t="n">
        <v>65.90000000000001</v>
      </c>
      <c r="W67" s="10" t="n">
        <v>300</v>
      </c>
      <c r="X67" s="11" t="n">
        <v>48.1</v>
      </c>
      <c r="Y67" s="12" t="n">
        <v>65.90000000000001</v>
      </c>
      <c r="Z67" s="13" t="n">
        <v>87.40000000000001</v>
      </c>
      <c r="AA67" s="10" t="n">
        <v>300</v>
      </c>
      <c r="AB67" s="11" t="n">
        <v>46.5</v>
      </c>
      <c r="AC67" s="12" t="n">
        <v>66.59999999999999</v>
      </c>
      <c r="AD67" s="13" t="n">
        <v>87.09999999999999</v>
      </c>
      <c r="AE67" s="14" t="n">
        <v>300</v>
      </c>
      <c r="AF67" s="11" t="n">
        <v>47.6</v>
      </c>
      <c r="AG67" s="12" t="n">
        <v>64.2</v>
      </c>
      <c r="AH67" s="13" t="n">
        <v>83.90000000000001</v>
      </c>
      <c r="AI67" s="10" t="n">
        <v>300</v>
      </c>
      <c r="AJ67" s="11" t="n">
        <v>49.2</v>
      </c>
      <c r="AK67" s="12" t="n">
        <v>66.09999999999999</v>
      </c>
      <c r="AL67" s="13" t="n">
        <v>84.3</v>
      </c>
      <c r="AM67" s="10" t="n">
        <v>300</v>
      </c>
      <c r="AN67" s="11" t="n">
        <v>66.90000000000001</v>
      </c>
      <c r="AO67" s="12" t="n">
        <v>76.8</v>
      </c>
      <c r="AP67" s="13" t="n">
        <v>110.1</v>
      </c>
      <c r="AQ67" s="6">
        <f>IF(AND((O67)&lt;85,N67&lt;137),"NO","SI")</f>
        <v/>
      </c>
      <c r="AR67" s="7">
        <f>IF((480*(10^(7.95-(O67/10))))&lt;480,480*(10^(7.95-(O67/10))),480)</f>
        <v/>
      </c>
      <c r="AS67" s="8">
        <f>IF((480*(10^(8.45-(O67/10))))&lt;480,480*(10^(8.45-(O67/10))),480)</f>
        <v/>
      </c>
      <c r="AT67" s="9">
        <f>IF((480*(10^(8.65-(O67/10))))&lt;480,480*(10^(8.65-(O67/10))),480)</f>
        <v/>
      </c>
      <c r="AU67" s="111">
        <f>IF(O67&lt;80,"0",IF((P67-O67)&lt;=2,('DPI art.191'!$G$3-(('DPI art.191'!$F$3-'DPI art.191'!$G$3)/4)*(P67-O67-2)),('DPI art.191'!$G$3-(('DPI art.191'!$G$3-'DPI art.191'!$H$3)/8)*(P67-O67-2))))</f>
        <v/>
      </c>
      <c r="AV67" s="24">
        <f>O67-AU67</f>
        <v/>
      </c>
      <c r="AW67" s="24">
        <f>IF(N67&lt;135,N67,N67-'DPI art.191'!$I$3)</f>
        <v/>
      </c>
      <c r="AX67" s="111">
        <f>IF(I67&lt;80,"0",IF((J67-I67)&lt;=2,('DPI art.191'!$G$7-(('DPI art.191'!$F$7-'DPI art.191'!$G$7)/4)*(I67-J67-2)),('DPI art.191'!$G$7-(('DPI art.191'!$G$7-'DPI art.191'!$H$7)/8)*(J67-I67-2))))</f>
        <v/>
      </c>
      <c r="AY67" s="24">
        <f>I67-AX67</f>
        <v/>
      </c>
      <c r="AZ67" s="24">
        <f>IF(H67&lt;135,H67,H67-'DPI art.191'!$I$7)</f>
        <v/>
      </c>
      <c r="BA67" s="111">
        <f>IF(O67&lt;80,"0",IF((P67-O67)&lt;=2,('DPI art.191'!$G$5-(('DPI art.191'!$F$5-'DPI art.191'!$G$5)/4)*(P67-O67-2)),('DPI art.191'!$G$5-(('DPI art.191'!$G$5-'DPI art.191'!$H$5)/8)*(P67-O67-2))))</f>
        <v/>
      </c>
      <c r="BB67" s="24">
        <f>R67-BA67</f>
        <v/>
      </c>
      <c r="BC67" s="24">
        <f>IF(N67&lt;135,N67,N67-'DPI art.191'!$I$5)</f>
        <v/>
      </c>
      <c r="BD67" s="111">
        <f>IF(O67&lt;80,"0",IF((P67-O67)&lt;=2,('DPI art.191'!$G$7-(('DPI art.191'!$F$7-'DPI art.191'!$G$7)/4)*(O67-P67-2)),('DPI art.191'!$G$7-(('DPI art.191'!$G$7-'DPI art.191'!$H$7)/8)*(P67-O67-2))))</f>
        <v/>
      </c>
      <c r="BE67" s="24">
        <f>O67-BD67</f>
        <v/>
      </c>
      <c r="BF67" s="24">
        <f>IF(N67&lt;135,N67,N67-'DPI art.191'!$I$7)</f>
        <v/>
      </c>
      <c r="BG67" s="108">
        <f>10^(0.1*R67)</f>
        <v/>
      </c>
      <c r="BH67" s="108">
        <f>10^(0.1*X67)</f>
        <v/>
      </c>
      <c r="BI67" s="108">
        <f>10^(0.1*AB67)</f>
        <v/>
      </c>
      <c r="BJ67" s="108">
        <f>10^(0.1*AF67)</f>
        <v/>
      </c>
      <c r="BK67" s="108">
        <f>10^(0.1*AJ67)</f>
        <v/>
      </c>
      <c r="BL67" s="108">
        <f>10^(0.1*AN67)</f>
        <v/>
      </c>
      <c r="BM67" s="106">
        <f>IF(R67&gt;0,(O67-R67),"")</f>
        <v/>
      </c>
      <c r="BN67" s="106">
        <f>IF(X67&gt;0,(O67-X67),"")</f>
        <v/>
      </c>
      <c r="BO67" s="106">
        <f>IF(AB67&gt;0,(O67-AB67),"")</f>
        <v/>
      </c>
      <c r="BP67" s="106">
        <f>IF(AF67&gt;0,(O67-AF67),"")</f>
        <v/>
      </c>
      <c r="BQ67" s="106">
        <f>IF(AJ67&gt;0,(O67-AJ67),"")</f>
        <v/>
      </c>
      <c r="BR67" s="106">
        <f>IF(AN67&gt;0,(O67-AN67),"")</f>
        <v/>
      </c>
      <c r="BS67" s="106">
        <f>COUNT(BM67:BR67)</f>
        <v/>
      </c>
      <c r="BT67" s="464">
        <f>IF(BS67=0,0,IF(BS67=1,0,1/(BS67*(BS67-1))))</f>
        <v/>
      </c>
      <c r="BU67" s="136">
        <f>IF(R67&gt;0,(BM67^2),"")</f>
        <v/>
      </c>
      <c r="BV67" s="136">
        <f>IF(X67&gt;0,(BN67^2),"")</f>
        <v/>
      </c>
      <c r="BW67" s="136">
        <f>IF(AB67&gt;0,(BO67^2),"")</f>
        <v/>
      </c>
      <c r="BX67" s="136">
        <f>IF(AF67&gt;0,(BP67^2),"")</f>
        <v/>
      </c>
      <c r="BY67" s="136">
        <f>IF(AJ67&gt;0,(BQ67^2),"")</f>
        <v/>
      </c>
      <c r="BZ67" s="136">
        <f>IF(AN67&gt;0,(BR67^2),"")</f>
        <v/>
      </c>
    </row>
    <row r="68" ht="38.25" customHeight="1" s="444">
      <c r="A68" s="340" t="inlineStr">
        <is>
          <t>260/05</t>
        </is>
      </c>
      <c r="B68" s="65" t="inlineStr">
        <is>
          <t>F6</t>
        </is>
      </c>
      <c r="C68" s="78" t="inlineStr">
        <is>
          <t xml:space="preserve">Pantografo CN </t>
        </is>
      </c>
      <c r="D68" s="83" t="inlineStr">
        <is>
          <t>ESAB</t>
        </is>
      </c>
      <c r="E68" s="83" t="inlineStr">
        <is>
          <t>SXE-P2 4500 - 2500 x 21000 mm</t>
        </is>
      </c>
      <c r="F68" s="192" t="inlineStr">
        <is>
          <t>Scarico perzzi da pantografo</t>
        </is>
      </c>
      <c r="G68" s="71" t="n">
        <v>45996</v>
      </c>
      <c r="H68" s="77" t="inlineStr">
        <is>
          <t>Compito</t>
        </is>
      </c>
      <c r="I68" s="77">
        <f>IF((V68-R68)&gt;3,"SI","")</f>
        <v/>
      </c>
      <c r="J68" s="77">
        <f>IF((U68-R68)&gt;3,"SI","")</f>
        <v/>
      </c>
      <c r="K68" s="77" t="n"/>
      <c r="L68" s="77" t="n"/>
      <c r="M68" s="137">
        <f>IF(R68&gt;0,(SQRT(BT68*(SUM(BU68:BZ68)))),"")</f>
        <v/>
      </c>
      <c r="N68" s="4">
        <f>IF(T68&gt;0,(MAX(T68,Z68,AD68,AH68,AL68,AP68))+SQRT(1.2^2+1^2),"")</f>
        <v/>
      </c>
      <c r="O68" s="3">
        <f>IF(R68="",0,10*LOG10(SUM(BG68:BL68)/(COUNT(R68,X68,AB68,AF68,AJ68,AN68))))</f>
        <v/>
      </c>
      <c r="P68" s="5">
        <f>IF(AND(Y68="",AC68="",AG68="",AK68="",AO68=""),S68,AVERAGE(S68,Y68,AC68,AG68,AK68,AO68)+STDEV(S68,Y68,AC68,AG68,AK68,AO68))</f>
        <v/>
      </c>
      <c r="Q68" s="14" t="n">
        <v>300</v>
      </c>
      <c r="R68" s="11" t="n">
        <v>82.40000000000001</v>
      </c>
      <c r="S68" s="12" t="n">
        <v>83.90000000000001</v>
      </c>
      <c r="T68" s="13" t="n">
        <v>112.4</v>
      </c>
      <c r="U68" s="79" t="n">
        <v>82.40000000000001</v>
      </c>
      <c r="V68" s="79" t="n">
        <v>86.3</v>
      </c>
      <c r="W68" s="10" t="n">
        <v>300</v>
      </c>
      <c r="X68" s="11" t="n">
        <v>78.2</v>
      </c>
      <c r="Y68" s="12" t="n">
        <v>80.7</v>
      </c>
      <c r="Z68" s="13" t="n">
        <v>103</v>
      </c>
      <c r="AA68" s="10" t="n">
        <v>300</v>
      </c>
      <c r="AB68" s="11" t="n">
        <v>75.59999999999999</v>
      </c>
      <c r="AC68" s="12" t="n">
        <v>79.3</v>
      </c>
      <c r="AD68" s="13" t="n">
        <v>104.4</v>
      </c>
      <c r="AE68" s="14" t="n">
        <v>300</v>
      </c>
      <c r="AF68" s="11" t="n">
        <v>78.90000000000001</v>
      </c>
      <c r="AG68" s="12" t="n">
        <v>81.5</v>
      </c>
      <c r="AH68" s="13" t="n">
        <v>103.1</v>
      </c>
      <c r="AI68" s="10" t="n">
        <v>300</v>
      </c>
      <c r="AJ68" s="11" t="n">
        <v>79.7</v>
      </c>
      <c r="AK68" s="12" t="n">
        <v>82.09999999999999</v>
      </c>
      <c r="AL68" s="13" t="n">
        <v>103.7</v>
      </c>
      <c r="AM68" s="10" t="n">
        <v>300</v>
      </c>
      <c r="AN68" s="11" t="n">
        <v>78.09999999999999</v>
      </c>
      <c r="AO68" s="12" t="n">
        <v>80.59999999999999</v>
      </c>
      <c r="AP68" s="13" t="n">
        <v>103.5</v>
      </c>
      <c r="AQ68" s="6">
        <f>IF(AND((O68)&lt;85,N68&lt;137),"NO","SI")</f>
        <v/>
      </c>
      <c r="AR68" s="7">
        <f>IF((480*(10^(7.95-(O68/10))))&lt;480,480*(10^(7.95-(O68/10))),480)</f>
        <v/>
      </c>
      <c r="AS68" s="8">
        <f>IF((480*(10^(8.45-(O68/10))))&lt;480,480*(10^(8.45-(O68/10))),480)</f>
        <v/>
      </c>
      <c r="AT68" s="9">
        <f>IF((480*(10^(8.65-(O68/10))))&lt;480,480*(10^(8.65-(O68/10))),480)</f>
        <v/>
      </c>
      <c r="AU68" s="111">
        <f>IF(O68&lt;80,"0",IF((P68-O68)&lt;=2,('DPI art.191'!$G$3-(('DPI art.191'!$F$3-'DPI art.191'!$G$3)/4)*(P68-O68-2)),('DPI art.191'!$G$3-(('DPI art.191'!$G$3-'DPI art.191'!$H$3)/8)*(P68-O68-2))))</f>
        <v/>
      </c>
      <c r="AV68" s="24">
        <f>O68-AU68</f>
        <v/>
      </c>
      <c r="AW68" s="24">
        <f>IF(N68&lt;135,N68,N68-'DPI art.191'!$I$3)</f>
        <v/>
      </c>
      <c r="AX68" s="111">
        <f>IF(I68&lt;80,"0",IF((J68-I68)&lt;=2,('DPI art.191'!$G$7-(('DPI art.191'!$F$7-'DPI art.191'!$G$7)/4)*(I68-J68-2)),('DPI art.191'!$G$7-(('DPI art.191'!$G$7-'DPI art.191'!$H$7)/8)*(J68-I68-2))))</f>
        <v/>
      </c>
      <c r="AY68" s="24">
        <f>I68-AX68</f>
        <v/>
      </c>
      <c r="AZ68" s="24">
        <f>IF(H68&lt;135,H68,H68-'DPI art.191'!$I$7)</f>
        <v/>
      </c>
      <c r="BA68" s="111">
        <f>IF(O68&lt;80,"0",IF((P68-O68)&lt;=2,('DPI art.191'!$G$5-(('DPI art.191'!$F$5-'DPI art.191'!$G$5)/4)*(P68-O68-2)),('DPI art.191'!$G$5-(('DPI art.191'!$G$5-'DPI art.191'!$H$5)/8)*(P68-O68-2))))</f>
        <v/>
      </c>
      <c r="BB68" s="24">
        <f>R68-BA68</f>
        <v/>
      </c>
      <c r="BC68" s="24">
        <f>IF(N68&lt;135,N68,N68-'DPI art.191'!$I$5)</f>
        <v/>
      </c>
      <c r="BD68" s="111">
        <f>IF(O68&lt;80,"0",IF((P68-O68)&lt;=2,('DPI art.191'!$G$7-(('DPI art.191'!$F$7-'DPI art.191'!$G$7)/4)*(O68-P68-2)),('DPI art.191'!$G$7-(('DPI art.191'!$G$7-'DPI art.191'!$H$7)/8)*(P68-O68-2))))</f>
        <v/>
      </c>
      <c r="BE68" s="24">
        <f>O68-BD68</f>
        <v/>
      </c>
      <c r="BF68" s="24">
        <f>IF(N68&lt;135,N68,N68-'DPI art.191'!$I$7)</f>
        <v/>
      </c>
      <c r="BG68" s="108">
        <f>10^(0.1*R68)</f>
        <v/>
      </c>
      <c r="BH68" s="108">
        <f>10^(0.1*X68)</f>
        <v/>
      </c>
      <c r="BI68" s="108">
        <f>10^(0.1*AB68)</f>
        <v/>
      </c>
      <c r="BJ68" s="108">
        <f>10^(0.1*AF68)</f>
        <v/>
      </c>
      <c r="BK68" s="108">
        <f>10^(0.1*AJ68)</f>
        <v/>
      </c>
      <c r="BL68" s="108">
        <f>10^(0.1*AN68)</f>
        <v/>
      </c>
      <c r="BM68" s="106">
        <f>IF(R68&gt;0,(O68-R68),"")</f>
        <v/>
      </c>
      <c r="BN68" s="106">
        <f>IF(X68&gt;0,(O68-X68),"")</f>
        <v/>
      </c>
      <c r="BO68" s="106">
        <f>IF(AB68&gt;0,(O68-AB68),"")</f>
        <v/>
      </c>
      <c r="BP68" s="106">
        <f>IF(AF68&gt;0,(O68-AF68),"")</f>
        <v/>
      </c>
      <c r="BQ68" s="106">
        <f>IF(AJ68&gt;0,(O68-AJ68),"")</f>
        <v/>
      </c>
      <c r="BR68" s="106">
        <f>IF(AN68&gt;0,(O68-AN68),"")</f>
        <v/>
      </c>
      <c r="BS68" s="106">
        <f>COUNT(BM68:BR68)</f>
        <v/>
      </c>
      <c r="BT68" s="464">
        <f>IF(BS68=0,0,IF(BS68=1,0,1/(BS68*(BS68-1))))</f>
        <v/>
      </c>
      <c r="BU68" s="136">
        <f>IF(R68&gt;0,(BM68^2),"")</f>
        <v/>
      </c>
      <c r="BV68" s="136">
        <f>IF(X68&gt;0,(BN68^2),"")</f>
        <v/>
      </c>
      <c r="BW68" s="136">
        <f>IF(AB68&gt;0,(BO68^2),"")</f>
        <v/>
      </c>
      <c r="BX68" s="136">
        <f>IF(AF68&gt;0,(BP68^2),"")</f>
        <v/>
      </c>
      <c r="BY68" s="136">
        <f>IF(AJ68&gt;0,(BQ68^2),"")</f>
        <v/>
      </c>
      <c r="BZ68" s="136">
        <f>IF(AN68&gt;0,(BR68^2),"")</f>
        <v/>
      </c>
    </row>
    <row r="69" ht="38.25" customHeight="1" s="444">
      <c r="A69" s="340" t="inlineStr">
        <is>
          <t>262/01</t>
        </is>
      </c>
      <c r="B69" s="65" t="inlineStr">
        <is>
          <t>F7</t>
        </is>
      </c>
      <c r="C69" s="78" t="inlineStr">
        <is>
          <t>Piegatrice</t>
        </is>
      </c>
      <c r="D69" s="83" t="inlineStr">
        <is>
          <t>ERMAKSAN</t>
        </is>
      </c>
      <c r="E69" s="83" t="inlineStr">
        <is>
          <t>CNCAP 6100-400 - 6000 x 15mm</t>
        </is>
      </c>
      <c r="F69" s="192" t="inlineStr">
        <is>
          <t>Piegatura</t>
        </is>
      </c>
      <c r="G69" s="71" t="n">
        <v>45996</v>
      </c>
      <c r="H69" s="77" t="inlineStr">
        <is>
          <t>Compito</t>
        </is>
      </c>
      <c r="I69" s="77">
        <f>IF((V69-R69)&gt;3,"SI","")</f>
        <v/>
      </c>
      <c r="J69" s="77">
        <f>IF((U69-R69)&gt;3,"SI","")</f>
        <v/>
      </c>
      <c r="K69" s="77" t="n"/>
      <c r="L69" s="77" t="n"/>
      <c r="M69" s="137">
        <f>IF(R69&gt;0,(SQRT(BT69*(SUM(BU69:BZ69)))),"")</f>
        <v/>
      </c>
      <c r="N69" s="4">
        <f>IF(T69&gt;0,(MAX(T69,Z69,AD69,AH69,AL69,AP69))+SQRT(1.2^2+1^2),"")</f>
        <v/>
      </c>
      <c r="O69" s="3">
        <f>IF(R69="",0,10*LOG10(SUM(BG69:BL69)/(COUNT(R69,X69,AB69,AF69,AJ69,AN69))))</f>
        <v/>
      </c>
      <c r="P69" s="5">
        <f>IF(AND(Y69="",AC69="",AG69="",AK69="",AO69=""),S69,AVERAGE(S69,Y69,AC69,AG69,AK69,AO69)+STDEV(S69,Y69,AC69,AG69,AK69,AO69))</f>
        <v/>
      </c>
      <c r="Q69" s="14" t="n">
        <v>300</v>
      </c>
      <c r="R69" s="11" t="n">
        <v>82.40000000000001</v>
      </c>
      <c r="S69" s="12" t="n">
        <v>82.5</v>
      </c>
      <c r="T69" s="13" t="n">
        <v>99.8</v>
      </c>
      <c r="U69" s="79" t="n">
        <v>83.5</v>
      </c>
      <c r="V69" s="79" t="n">
        <v>87.59999999999999</v>
      </c>
      <c r="W69" s="10" t="n">
        <v>300</v>
      </c>
      <c r="X69" s="11" t="n">
        <v>81.7</v>
      </c>
      <c r="Y69" s="12" t="n">
        <v>83.09999999999999</v>
      </c>
      <c r="Z69" s="13" t="n">
        <v>106.8</v>
      </c>
      <c r="AA69" s="10" t="n">
        <v>300</v>
      </c>
      <c r="AB69" s="11" t="n">
        <v>83.40000000000001</v>
      </c>
      <c r="AC69" s="12" t="n">
        <v>84</v>
      </c>
      <c r="AD69" s="13" t="n">
        <v>105</v>
      </c>
      <c r="AE69" s="14" t="n">
        <v>300</v>
      </c>
      <c r="AF69" s="11" t="n">
        <v>83.59999999999999</v>
      </c>
      <c r="AG69" s="12" t="n">
        <v>84</v>
      </c>
      <c r="AH69" s="13" t="n">
        <v>109.5</v>
      </c>
      <c r="AI69" s="10" t="n">
        <v>300</v>
      </c>
      <c r="AJ69" s="11" t="n">
        <v>84</v>
      </c>
      <c r="AK69" s="12" t="n">
        <v>84.5</v>
      </c>
      <c r="AL69" s="13" t="n">
        <v>115.1</v>
      </c>
      <c r="AM69" s="10" t="n">
        <v>300</v>
      </c>
      <c r="AN69" s="11" t="n">
        <v>83.3</v>
      </c>
      <c r="AO69" s="12" t="n">
        <v>83.5</v>
      </c>
      <c r="AP69" s="13" t="n">
        <v>108.8</v>
      </c>
      <c r="AQ69" s="6">
        <f>IF(AND((O69)&lt;85,N69&lt;137),"NO","SI")</f>
        <v/>
      </c>
      <c r="AR69" s="7">
        <f>IF((480*(10^(7.95-(O69/10))))&lt;480,480*(10^(7.95-(O69/10))),480)</f>
        <v/>
      </c>
      <c r="AS69" s="8">
        <f>IF((480*(10^(8.45-(O69/10))))&lt;480,480*(10^(8.45-(O69/10))),480)</f>
        <v/>
      </c>
      <c r="AT69" s="9">
        <f>IF((480*(10^(8.65-(O69/10))))&lt;480,480*(10^(8.65-(O69/10))),480)</f>
        <v/>
      </c>
      <c r="AU69" s="111">
        <f>IF(O69&lt;80,"0",IF((P69-O69)&lt;=2,('DPI art.191'!$G$3-(('DPI art.191'!$F$3-'DPI art.191'!$G$3)/4)*(P69-O69-2)),('DPI art.191'!$G$3-(('DPI art.191'!$G$3-'DPI art.191'!$H$3)/8)*(P69-O69-2))))</f>
        <v/>
      </c>
      <c r="AV69" s="24">
        <f>O69-AU69</f>
        <v/>
      </c>
      <c r="AW69" s="24">
        <f>IF(N69&lt;135,N69,N69-'DPI art.191'!$I$3)</f>
        <v/>
      </c>
      <c r="AX69" s="111">
        <f>IF(I69&lt;80,"0",IF((J69-I69)&lt;=2,('DPI art.191'!$G$7-(('DPI art.191'!$F$7-'DPI art.191'!$G$7)/4)*(I69-J69-2)),('DPI art.191'!$G$7-(('DPI art.191'!$G$7-'DPI art.191'!$H$7)/8)*(J69-I69-2))))</f>
        <v/>
      </c>
      <c r="AY69" s="24">
        <f>I69-AX69</f>
        <v/>
      </c>
      <c r="AZ69" s="24">
        <f>IF(H69&lt;135,H69,H69-'DPI art.191'!$I$7)</f>
        <v/>
      </c>
      <c r="BA69" s="111">
        <f>IF(O69&lt;80,"0",IF((P69-O69)&lt;=2,('DPI art.191'!$G$5-(('DPI art.191'!$F$5-'DPI art.191'!$G$5)/4)*(P69-O69-2)),('DPI art.191'!$G$5-(('DPI art.191'!$G$5-'DPI art.191'!$H$5)/8)*(P69-O69-2))))</f>
        <v/>
      </c>
      <c r="BB69" s="24">
        <f>R69-BA69</f>
        <v/>
      </c>
      <c r="BC69" s="24">
        <f>IF(N69&lt;135,N69,N69-'DPI art.191'!$I$5)</f>
        <v/>
      </c>
      <c r="BD69" s="111">
        <f>IF(O69&lt;80,"0",IF((P69-O69)&lt;=2,('DPI art.191'!$G$7-(('DPI art.191'!$F$7-'DPI art.191'!$G$7)/4)*(O69-P69-2)),('DPI art.191'!$G$7-(('DPI art.191'!$G$7-'DPI art.191'!$H$7)/8)*(P69-O69-2))))</f>
        <v/>
      </c>
      <c r="BE69" s="24">
        <f>O69-BD69</f>
        <v/>
      </c>
      <c r="BF69" s="24">
        <f>IF(N69&lt;135,N69,N69-'DPI art.191'!$I$7)</f>
        <v/>
      </c>
      <c r="BG69" s="108">
        <f>10^(0.1*R69)</f>
        <v/>
      </c>
      <c r="BH69" s="108">
        <f>10^(0.1*X69)</f>
        <v/>
      </c>
      <c r="BI69" s="108">
        <f>10^(0.1*AB69)</f>
        <v/>
      </c>
      <c r="BJ69" s="108">
        <f>10^(0.1*AF69)</f>
        <v/>
      </c>
      <c r="BK69" s="108">
        <f>10^(0.1*AJ69)</f>
        <v/>
      </c>
      <c r="BL69" s="108">
        <f>10^(0.1*AN69)</f>
        <v/>
      </c>
      <c r="BM69" s="106">
        <f>IF(R69&gt;0,(O69-R69),"")</f>
        <v/>
      </c>
      <c r="BN69" s="106">
        <f>IF(X69&gt;0,(O69-X69),"")</f>
        <v/>
      </c>
      <c r="BO69" s="106">
        <f>IF(AB69&gt;0,(O69-AB69),"")</f>
        <v/>
      </c>
      <c r="BP69" s="106">
        <f>IF(AF69&gt;0,(O69-AF69),"")</f>
        <v/>
      </c>
      <c r="BQ69" s="106">
        <f>IF(AJ69&gt;0,(O69-AJ69),"")</f>
        <v/>
      </c>
      <c r="BR69" s="106">
        <f>IF(AN69&gt;0,(O69-AN69),"")</f>
        <v/>
      </c>
      <c r="BS69" s="106">
        <f>COUNT(BM69:BR69)</f>
        <v/>
      </c>
      <c r="BT69" s="464">
        <f>IF(BS69=0,0,IF(BS69=1,0,1/(BS69*(BS69-1))))</f>
        <v/>
      </c>
      <c r="BU69" s="136">
        <f>IF(R69&gt;0,(BM69^2),"")</f>
        <v/>
      </c>
      <c r="BV69" s="136">
        <f>IF(X69&gt;0,(BN69^2),"")</f>
        <v/>
      </c>
      <c r="BW69" s="136">
        <f>IF(AB69&gt;0,(BO69^2),"")</f>
        <v/>
      </c>
      <c r="BX69" s="136">
        <f>IF(AF69&gt;0,(BP69^2),"")</f>
        <v/>
      </c>
      <c r="BY69" s="136">
        <f>IF(AJ69&gt;0,(BQ69^2),"")</f>
        <v/>
      </c>
      <c r="BZ69" s="136">
        <f>IF(AN69&gt;0,(BR69^2),"")</f>
        <v/>
      </c>
    </row>
    <row r="70" ht="51" customHeight="1" s="444">
      <c r="A70" s="340" t="inlineStr">
        <is>
          <t>024/B/PRS757</t>
        </is>
      </c>
      <c r="B70" s="65" t="inlineStr">
        <is>
          <t>F8</t>
        </is>
      </c>
      <c r="C70" s="78" t="inlineStr">
        <is>
          <t>Saldatrice a filo</t>
        </is>
      </c>
      <c r="D70" s="83" t="inlineStr">
        <is>
          <t>MILLER</t>
        </is>
      </c>
      <c r="E70" s="83" t="inlineStr">
        <is>
          <t>Pipeworx 400 Power - Pipeworx Dual Bench Feeder</t>
        </is>
      </c>
      <c r="F70" s="192" t="inlineStr">
        <is>
          <t>Saldatura</t>
        </is>
      </c>
      <c r="G70" s="71" t="n">
        <v>45996</v>
      </c>
      <c r="H70" s="77" t="inlineStr">
        <is>
          <t>Compito</t>
        </is>
      </c>
      <c r="I70" s="77">
        <f>IF((V70-R70)&gt;3,"SI","")</f>
        <v/>
      </c>
      <c r="J70" s="77">
        <f>IF((U70-R70)&gt;3,"SI","")</f>
        <v/>
      </c>
      <c r="K70" s="77" t="n"/>
      <c r="L70" s="77" t="n"/>
      <c r="M70" s="137">
        <f>IF(R70&gt;0,(SQRT(BT70*(SUM(BU70:BZ70)))),"")</f>
        <v/>
      </c>
      <c r="N70" s="4">
        <f>IF(T70&gt;0,(MAX(T70,Z70,AD70,AH70,AL70,AP70))+SQRT(1.2^2+1^2),"")</f>
        <v/>
      </c>
      <c r="O70" s="3">
        <f>IF(R70="",0,10*LOG10(SUM(BG70:BL70)/(COUNT(R70,X70,AB70,AF70,AJ70,AN70))))</f>
        <v/>
      </c>
      <c r="P70" s="5">
        <f>IF(AND(Y70="",AC70="",AG70="",AK70="",AO70=""),S70,AVERAGE(S70,Y70,AC70,AG70,AK70,AO70)+STDEV(S70,Y70,AC70,AG70,AK70,AO70))</f>
        <v/>
      </c>
      <c r="Q70" s="14" t="n">
        <v>300</v>
      </c>
      <c r="R70" s="11" t="n">
        <v>89.3</v>
      </c>
      <c r="S70" s="12" t="n">
        <v>88.5</v>
      </c>
      <c r="T70" s="13" t="n">
        <v>126.1</v>
      </c>
      <c r="U70" s="79" t="n">
        <v>89.40000000000001</v>
      </c>
      <c r="V70" s="79" t="n">
        <v>97.7</v>
      </c>
      <c r="W70" s="10" t="n">
        <v>300</v>
      </c>
      <c r="X70" s="11" t="n">
        <v>96.59999999999999</v>
      </c>
      <c r="Y70" s="12" t="n">
        <v>95.8</v>
      </c>
      <c r="Z70" s="13" t="n">
        <v>134.8</v>
      </c>
      <c r="AA70" s="10" t="n">
        <v>300</v>
      </c>
      <c r="AB70" s="11" t="n">
        <v>82.5</v>
      </c>
      <c r="AC70" s="12" t="n">
        <v>83.2</v>
      </c>
      <c r="AD70" s="13" t="n">
        <v>116.1</v>
      </c>
      <c r="AE70" s="14" t="n">
        <v>300</v>
      </c>
      <c r="AF70" s="11" t="n">
        <v>82.59999999999999</v>
      </c>
      <c r="AG70" s="12" t="n">
        <v>82.90000000000001</v>
      </c>
      <c r="AH70" s="13" t="n">
        <v>112.9</v>
      </c>
      <c r="AI70" s="10" t="n">
        <v>300</v>
      </c>
      <c r="AJ70" s="11" t="n">
        <v>92.09999999999999</v>
      </c>
      <c r="AK70" s="12" t="n">
        <v>91.3</v>
      </c>
      <c r="AL70" s="13" t="n">
        <v>128.4</v>
      </c>
      <c r="AM70" s="10" t="n">
        <v>300</v>
      </c>
      <c r="AN70" s="11" t="n">
        <v>82</v>
      </c>
      <c r="AO70" s="12" t="n">
        <v>82.90000000000001</v>
      </c>
      <c r="AP70" s="13" t="n">
        <v>114</v>
      </c>
      <c r="AQ70" s="6">
        <f>IF(AND((O70)&lt;85,N70&lt;137),"NO","SI")</f>
        <v/>
      </c>
      <c r="AR70" s="7">
        <f>IF((480*(10^(7.95-(O70/10))))&lt;480,480*(10^(7.95-(O70/10))),480)</f>
        <v/>
      </c>
      <c r="AS70" s="8">
        <f>IF((480*(10^(8.45-(O70/10))))&lt;480,480*(10^(8.45-(O70/10))),480)</f>
        <v/>
      </c>
      <c r="AT70" s="9">
        <f>IF((480*(10^(8.65-(O70/10))))&lt;480,480*(10^(8.65-(O70/10))),480)</f>
        <v/>
      </c>
      <c r="AU70" s="111">
        <f>IF(O70&lt;80,"0",IF((P70-O70)&lt;=2,('DPI art.191'!$G$3-(('DPI art.191'!$F$3-'DPI art.191'!$G$3)/4)*(P70-O70-2)),('DPI art.191'!$G$3-(('DPI art.191'!$G$3-'DPI art.191'!$H$3)/8)*(P70-O70-2))))</f>
        <v/>
      </c>
      <c r="AV70" s="24">
        <f>O70-AU70</f>
        <v/>
      </c>
      <c r="AW70" s="24">
        <f>IF(N70&lt;135,N70,N70-'DPI art.191'!$I$3)</f>
        <v/>
      </c>
      <c r="AX70" s="111">
        <f>IF(I70&lt;80,"0",IF((J70-I70)&lt;=2,('DPI art.191'!$G$7-(('DPI art.191'!$F$7-'DPI art.191'!$G$7)/4)*(I70-J70-2)),('DPI art.191'!$G$7-(('DPI art.191'!$G$7-'DPI art.191'!$H$7)/8)*(J70-I70-2))))</f>
        <v/>
      </c>
      <c r="AY70" s="24">
        <f>I70-AX70</f>
        <v/>
      </c>
      <c r="AZ70" s="24">
        <f>IF(H70&lt;135,H70,H70-'DPI art.191'!$I$7)</f>
        <v/>
      </c>
      <c r="BA70" s="111">
        <f>IF(O70&lt;80,"0",IF((P70-O70)&lt;=2,('DPI art.191'!$G$5-(('DPI art.191'!$F$5-'DPI art.191'!$G$5)/4)*(P70-O70-2)),('DPI art.191'!$G$5-(('DPI art.191'!$G$5-'DPI art.191'!$H$5)/8)*(P70-O70-2))))</f>
        <v/>
      </c>
      <c r="BB70" s="24">
        <f>R70-BA70</f>
        <v/>
      </c>
      <c r="BC70" s="24">
        <f>IF(N70&lt;135,N70,N70-'DPI art.191'!$I$5)</f>
        <v/>
      </c>
      <c r="BD70" s="111">
        <f>IF(O70&lt;80,"0",IF((P70-O70)&lt;=2,('DPI art.191'!$G$7-(('DPI art.191'!$F$7-'DPI art.191'!$G$7)/4)*(O70-P70-2)),('DPI art.191'!$G$7-(('DPI art.191'!$G$7-'DPI art.191'!$H$7)/8)*(P70-O70-2))))</f>
        <v/>
      </c>
      <c r="BE70" s="24">
        <f>O70-BD70</f>
        <v/>
      </c>
      <c r="BF70" s="24">
        <f>IF(N70&lt;135,N70,N70-'DPI art.191'!$I$7)</f>
        <v/>
      </c>
      <c r="BG70" s="108">
        <f>10^(0.1*R70)</f>
        <v/>
      </c>
      <c r="BH70" s="108">
        <f>10^(0.1*X70)</f>
        <v/>
      </c>
      <c r="BI70" s="108">
        <f>10^(0.1*AB70)</f>
        <v/>
      </c>
      <c r="BJ70" s="108">
        <f>10^(0.1*AF70)</f>
        <v/>
      </c>
      <c r="BK70" s="108">
        <f>10^(0.1*AJ70)</f>
        <v/>
      </c>
      <c r="BL70" s="108">
        <f>10^(0.1*AN70)</f>
        <v/>
      </c>
      <c r="BM70" s="106">
        <f>IF(R70&gt;0,(O70-R70),"")</f>
        <v/>
      </c>
      <c r="BN70" s="106">
        <f>IF(X70&gt;0,(O70-X70),"")</f>
        <v/>
      </c>
      <c r="BO70" s="106">
        <f>IF(AB70&gt;0,(O70-AB70),"")</f>
        <v/>
      </c>
      <c r="BP70" s="106">
        <f>IF(AF70&gt;0,(O70-AF70),"")</f>
        <v/>
      </c>
      <c r="BQ70" s="106">
        <f>IF(AJ70&gt;0,(O70-AJ70),"")</f>
        <v/>
      </c>
      <c r="BR70" s="106">
        <f>IF(AN70&gt;0,(O70-AN70),"")</f>
        <v/>
      </c>
      <c r="BS70" s="106">
        <f>COUNT(BM70:BR70)</f>
        <v/>
      </c>
      <c r="BT70" s="464">
        <f>IF(BS70=0,0,IF(BS70=1,0,1/(BS70*(BS70-1))))</f>
        <v/>
      </c>
      <c r="BU70" s="136">
        <f>IF(R70&gt;0,(BM70^2),"")</f>
        <v/>
      </c>
      <c r="BV70" s="136">
        <f>IF(X70&gt;0,(BN70^2),"")</f>
        <v/>
      </c>
      <c r="BW70" s="136">
        <f>IF(AB70&gt;0,(BO70^2),"")</f>
        <v/>
      </c>
      <c r="BX70" s="136">
        <f>IF(AF70&gt;0,(BP70^2),"")</f>
        <v/>
      </c>
      <c r="BY70" s="136">
        <f>IF(AJ70&gt;0,(BQ70^2),"")</f>
        <v/>
      </c>
      <c r="BZ70" s="136">
        <f>IF(AN70&gt;0,(BR70^2),"")</f>
        <v/>
      </c>
    </row>
    <row r="71" ht="25.5" customHeight="1" s="444">
      <c r="A71" s="340" t="inlineStr">
        <is>
          <t>Gualdo 1</t>
        </is>
      </c>
      <c r="B71" s="65" t="inlineStr">
        <is>
          <t>F9</t>
        </is>
      </c>
      <c r="C71" s="78" t="inlineStr">
        <is>
          <t>Movimentazioni esterne in prossimità di autogru</t>
        </is>
      </c>
      <c r="D71" s="83" t="inlineStr">
        <is>
          <t>/</t>
        </is>
      </c>
      <c r="E71" s="83" t="inlineStr">
        <is>
          <t>/</t>
        </is>
      </c>
      <c r="F71" s="78" t="inlineStr">
        <is>
          <t>Assistenza alle movimentazioni esterne in prossimità di autogru</t>
        </is>
      </c>
      <c r="G71" s="71" t="n">
        <v>45996</v>
      </c>
      <c r="H71" s="77" t="inlineStr">
        <is>
          <t>Compito</t>
        </is>
      </c>
      <c r="I71" s="77">
        <f>IF((V71-R71)&gt;3,"SI","")</f>
        <v/>
      </c>
      <c r="J71" s="77" t="inlineStr">
        <is>
          <t>SI</t>
        </is>
      </c>
      <c r="K71" s="77" t="n"/>
      <c r="L71" s="77" t="n"/>
      <c r="M71" s="137">
        <f>IF(R71&gt;0,(SQRT(BT71*(SUM(BU71:BZ71)))),"")</f>
        <v/>
      </c>
      <c r="N71" s="4">
        <f>IF(T71&gt;0,(MAX(T71,Z71,AD71,AH71,AL71,AP71))+SQRT(1.2^2+1^2),"")</f>
        <v/>
      </c>
      <c r="O71" s="3">
        <f>IF(R71="",0,10*LOG10(SUM(BG71:BL71)/(COUNT(R71,X71,AB71,AF71,AJ71,AN71))))</f>
        <v/>
      </c>
      <c r="P71" s="5">
        <f>IF(AND(Y71="",AC71="",AG71="",AK71="",AO71=""),S71,AVERAGE(S71,Y71,AC71,AG71,AK71,AO71)+STDEV(S71,Y71,AC71,AG71,AK71,AO71))</f>
        <v/>
      </c>
      <c r="Q71" s="14" t="n">
        <v>300</v>
      </c>
      <c r="R71" s="11" t="n">
        <v>80</v>
      </c>
      <c r="S71" s="12" t="n">
        <v>81</v>
      </c>
      <c r="T71" s="13" t="n">
        <v>95.5</v>
      </c>
      <c r="U71" s="79" t="n">
        <v>66.09999999999999</v>
      </c>
      <c r="V71" s="79" t="n">
        <v>70.40000000000001</v>
      </c>
      <c r="W71" s="10" t="n">
        <v>300</v>
      </c>
      <c r="X71" s="11" t="n">
        <v>78.5</v>
      </c>
      <c r="Y71" s="12" t="n">
        <v>87.8</v>
      </c>
      <c r="Z71" s="13" t="n">
        <v>119.4</v>
      </c>
      <c r="AA71" s="10" t="n">
        <v>300</v>
      </c>
      <c r="AB71" s="11" t="n">
        <v>83</v>
      </c>
      <c r="AC71" s="12" t="n">
        <v>92.59999999999999</v>
      </c>
      <c r="AD71" s="13" t="n">
        <v>109.9</v>
      </c>
      <c r="AE71" s="14" t="n">
        <v>300</v>
      </c>
      <c r="AF71" s="11" t="n">
        <v>81.8</v>
      </c>
      <c r="AG71" s="12" t="n">
        <v>91.8</v>
      </c>
      <c r="AH71" s="13" t="n">
        <v>113.1</v>
      </c>
      <c r="AI71" s="10" t="n">
        <v>300</v>
      </c>
      <c r="AJ71" s="11" t="n">
        <v>83.7</v>
      </c>
      <c r="AK71" s="12" t="n">
        <v>93.5</v>
      </c>
      <c r="AL71" s="13" t="n">
        <v>107.8</v>
      </c>
      <c r="AM71" s="10" t="n">
        <v>300</v>
      </c>
      <c r="AN71" s="11" t="n">
        <v>84</v>
      </c>
      <c r="AO71" s="12" t="n">
        <v>94.09999999999999</v>
      </c>
      <c r="AP71" s="13" t="n">
        <v>115.4</v>
      </c>
      <c r="AQ71" s="6">
        <f>IF(AND((O71)&lt;85,N71&lt;137),"NO","SI")</f>
        <v/>
      </c>
      <c r="AR71" s="7">
        <f>IF((480*(10^(7.95-(O71/10))))&lt;480,480*(10^(7.95-(O71/10))),480)</f>
        <v/>
      </c>
      <c r="AS71" s="8">
        <f>IF((480*(10^(8.45-(O71/10))))&lt;480,480*(10^(8.45-(O71/10))),480)</f>
        <v/>
      </c>
      <c r="AT71" s="9">
        <f>IF((480*(10^(8.65-(O71/10))))&lt;480,480*(10^(8.65-(O71/10))),480)</f>
        <v/>
      </c>
      <c r="AU71" s="111">
        <f>IF(O71&lt;80,"0",IF((P71-O71)&lt;=2,('DPI art.191'!$G$3-(('DPI art.191'!$F$3-'DPI art.191'!$G$3)/4)*(P71-O71-2)),('DPI art.191'!$G$3-(('DPI art.191'!$G$3-'DPI art.191'!$H$3)/8)*(P71-O71-2))))</f>
        <v/>
      </c>
      <c r="AV71" s="24">
        <f>O71-AU71</f>
        <v/>
      </c>
      <c r="AW71" s="24">
        <f>IF(N71&lt;135,N71,N71-'DPI art.191'!$I$3)</f>
        <v/>
      </c>
      <c r="AX71" s="111">
        <f>IF(I71&lt;80,"0",IF((J71-I71)&lt;=2,('DPI art.191'!$G$7-(('DPI art.191'!$F$7-'DPI art.191'!$G$7)/4)*(I71-J71-2)),('DPI art.191'!$G$7-(('DPI art.191'!$G$7-'DPI art.191'!$H$7)/8)*(J71-I71-2))))</f>
        <v/>
      </c>
      <c r="AY71" s="24">
        <f>I71-AX71</f>
        <v/>
      </c>
      <c r="AZ71" s="24">
        <f>IF(H71&lt;135,H71,H71-'DPI art.191'!$I$7)</f>
        <v/>
      </c>
      <c r="BA71" s="111">
        <f>IF(O71&lt;80,"0",IF((P71-O71)&lt;=2,('DPI art.191'!$G$5-(('DPI art.191'!$F$5-'DPI art.191'!$G$5)/4)*(P71-O71-2)),('DPI art.191'!$G$5-(('DPI art.191'!$G$5-'DPI art.191'!$H$5)/8)*(P71-O71-2))))</f>
        <v/>
      </c>
      <c r="BB71" s="24">
        <f>R71-BA71</f>
        <v/>
      </c>
      <c r="BC71" s="24">
        <f>IF(N71&lt;135,N71,N71-'DPI art.191'!$I$5)</f>
        <v/>
      </c>
      <c r="BD71" s="111">
        <f>IF(O71&lt;80,"0",IF((P71-O71)&lt;=2,('DPI art.191'!$G$7-(('DPI art.191'!$F$7-'DPI art.191'!$G$7)/4)*(O71-P71-2)),('DPI art.191'!$G$7-(('DPI art.191'!$G$7-'DPI art.191'!$H$7)/8)*(P71-O71-2))))</f>
        <v/>
      </c>
      <c r="BE71" s="24">
        <f>O71-BD71</f>
        <v/>
      </c>
      <c r="BF71" s="24">
        <f>IF(N71&lt;135,N71,N71-'DPI art.191'!$I$7)</f>
        <v/>
      </c>
      <c r="BG71" s="108">
        <f>10^(0.1*R71)</f>
        <v/>
      </c>
      <c r="BH71" s="108">
        <f>10^(0.1*X71)</f>
        <v/>
      </c>
      <c r="BI71" s="108">
        <f>10^(0.1*AB71)</f>
        <v/>
      </c>
      <c r="BJ71" s="108">
        <f>10^(0.1*AF71)</f>
        <v/>
      </c>
      <c r="BK71" s="108">
        <f>10^(0.1*AJ71)</f>
        <v/>
      </c>
      <c r="BL71" s="108">
        <f>10^(0.1*AN71)</f>
        <v/>
      </c>
      <c r="BM71" s="106">
        <f>IF(R71&gt;0,(O71-R71),"")</f>
        <v/>
      </c>
      <c r="BN71" s="106">
        <f>IF(X71&gt;0,(O71-X71),"")</f>
        <v/>
      </c>
      <c r="BO71" s="106">
        <f>IF(AB71&gt;0,(O71-AB71),"")</f>
        <v/>
      </c>
      <c r="BP71" s="106">
        <f>IF(AF71&gt;0,(O71-AF71),"")</f>
        <v/>
      </c>
      <c r="BQ71" s="106">
        <f>IF(AJ71&gt;0,(O71-AJ71),"")</f>
        <v/>
      </c>
      <c r="BR71" s="106">
        <f>IF(AN71&gt;0,(O71-AN71),"")</f>
        <v/>
      </c>
      <c r="BS71" s="106">
        <f>COUNT(BM71:BR71)</f>
        <v/>
      </c>
      <c r="BT71" s="464">
        <f>IF(BS71=0,0,IF(BS71=1,0,1/(BS71*(BS71-1))))</f>
        <v/>
      </c>
      <c r="BU71" s="136">
        <f>IF(R71&gt;0,(BM71^2),"")</f>
        <v/>
      </c>
      <c r="BV71" s="136">
        <f>IF(X71&gt;0,(BN71^2),"")</f>
        <v/>
      </c>
      <c r="BW71" s="136">
        <f>IF(AB71&gt;0,(BO71^2),"")</f>
        <v/>
      </c>
      <c r="BX71" s="136">
        <f>IF(AF71&gt;0,(BP71^2),"")</f>
        <v/>
      </c>
      <c r="BY71" s="136">
        <f>IF(AJ71&gt;0,(BQ71^2),"")</f>
        <v/>
      </c>
      <c r="BZ71" s="136">
        <f>IF(AN71&gt;0,(BR71^2),"")</f>
        <v/>
      </c>
    </row>
    <row r="72" ht="18.75" customHeight="1" s="444">
      <c r="A72" s="340" t="inlineStr">
        <is>
          <t>Gualdo 1</t>
        </is>
      </c>
      <c r="B72" s="65" t="inlineStr">
        <is>
          <t>F10</t>
        </is>
      </c>
      <c r="C72" s="78" t="inlineStr">
        <is>
          <t>Box esterno pausa ristoro</t>
        </is>
      </c>
      <c r="D72" s="83" t="inlineStr">
        <is>
          <t>/</t>
        </is>
      </c>
      <c r="E72" s="83" t="inlineStr">
        <is>
          <t>/</t>
        </is>
      </c>
      <c r="F72" s="78" t="inlineStr">
        <is>
          <t>Box esterno pausa ristoro</t>
        </is>
      </c>
      <c r="G72" s="71" t="n">
        <v>45996</v>
      </c>
      <c r="H72" s="77" t="inlineStr">
        <is>
          <t>Compito</t>
        </is>
      </c>
      <c r="I72" s="77">
        <f>IF((V72-R72)&gt;3,"SI","")</f>
        <v/>
      </c>
      <c r="J72" s="77">
        <f>IF((U72-R72)&gt;3,"SI","")</f>
        <v/>
      </c>
      <c r="K72" s="77" t="n"/>
      <c r="L72" s="77" t="n"/>
      <c r="M72" s="137">
        <f>IF(R72&gt;0,(SQRT(BT72*(SUM(BU72:BZ72)))),"")</f>
        <v/>
      </c>
      <c r="N72" s="4">
        <f>IF(T72&gt;0,(MAX(T72,Z72,AD72,AH72,AL72,AP72))+SQRT(1.2^2+1^2),"")</f>
        <v/>
      </c>
      <c r="O72" s="3">
        <f>IF(R72="",0,10*LOG10(SUM(BG72:BL72)/(COUNT(R72,X72,AB72,AF72,AJ72,AN72))))</f>
        <v/>
      </c>
      <c r="P72" s="5">
        <f>IF(AND(Y72="",AC72="",AG72="",AK72="",AO72=""),S72,AVERAGE(S72,Y72,AC72,AG72,AK72,AO72)+STDEV(S72,Y72,AC72,AG72,AK72,AO72))</f>
        <v/>
      </c>
      <c r="Q72" s="14" t="n">
        <v>300</v>
      </c>
      <c r="R72" s="11" t="n">
        <v>79.7</v>
      </c>
      <c r="S72" s="12" t="n">
        <v>82.5</v>
      </c>
      <c r="T72" s="13" t="n">
        <v>107.8</v>
      </c>
      <c r="U72" s="79" t="n">
        <v>79.8</v>
      </c>
      <c r="V72" s="79" t="n">
        <v>86.40000000000001</v>
      </c>
      <c r="W72" s="10" t="n">
        <v>300</v>
      </c>
      <c r="X72" s="11" t="n">
        <v>72.2</v>
      </c>
      <c r="Y72" s="12" t="n">
        <v>78</v>
      </c>
      <c r="Z72" s="13" t="n">
        <v>100.2</v>
      </c>
      <c r="AA72" s="10" t="n">
        <v>300</v>
      </c>
      <c r="AB72" s="11" t="n">
        <v>70.09999999999999</v>
      </c>
      <c r="AC72" s="12" t="n">
        <v>74.40000000000001</v>
      </c>
      <c r="AD72" s="13" t="n">
        <v>99.40000000000001</v>
      </c>
      <c r="AE72" s="14" t="n">
        <v>300</v>
      </c>
      <c r="AF72" s="11" t="n">
        <v>71</v>
      </c>
      <c r="AG72" s="12" t="n">
        <v>75.09999999999999</v>
      </c>
      <c r="AH72" s="13" t="n">
        <v>104.2</v>
      </c>
      <c r="AI72" s="10" t="n">
        <v>300</v>
      </c>
      <c r="AJ72" s="11" t="n">
        <v>74.59999999999999</v>
      </c>
      <c r="AK72" s="12" t="n">
        <v>77.7</v>
      </c>
      <c r="AL72" s="13" t="n">
        <v>108.4</v>
      </c>
      <c r="AM72" s="10" t="n">
        <v>300</v>
      </c>
      <c r="AN72" s="11" t="n">
        <v>71.2</v>
      </c>
      <c r="AO72" s="12" t="n">
        <v>74.90000000000001</v>
      </c>
      <c r="AP72" s="13" t="n">
        <v>97.59999999999999</v>
      </c>
      <c r="AQ72" s="6">
        <f>IF(AND((O72)&lt;85,N72&lt;137),"NO","SI")</f>
        <v/>
      </c>
      <c r="AR72" s="7">
        <f>IF((480*(10^(7.95-(O72/10))))&lt;480,480*(10^(7.95-(O72/10))),480)</f>
        <v/>
      </c>
      <c r="AS72" s="8">
        <f>IF((480*(10^(8.45-(O72/10))))&lt;480,480*(10^(8.45-(O72/10))),480)</f>
        <v/>
      </c>
      <c r="AT72" s="9">
        <f>IF((480*(10^(8.65-(O72/10))))&lt;480,480*(10^(8.65-(O72/10))),480)</f>
        <v/>
      </c>
      <c r="AU72" s="111">
        <f>IF(O72&lt;80,"0",IF((P72-O72)&lt;=2,('DPI art.191'!$G$3-(('DPI art.191'!$F$3-'DPI art.191'!$G$3)/4)*(P72-O72-2)),('DPI art.191'!$G$3-(('DPI art.191'!$G$3-'DPI art.191'!$H$3)/8)*(P72-O72-2))))</f>
        <v/>
      </c>
      <c r="AV72" s="24">
        <f>O72-AU72</f>
        <v/>
      </c>
      <c r="AW72" s="24">
        <f>IF(N72&lt;135,N72,N72-'DPI art.191'!$I$3)</f>
        <v/>
      </c>
      <c r="AX72" s="111">
        <f>IF(I72&lt;80,"0",IF((J72-I72)&lt;=2,('DPI art.191'!$G$7-(('DPI art.191'!$F$7-'DPI art.191'!$G$7)/4)*(I72-J72-2)),('DPI art.191'!$G$7-(('DPI art.191'!$G$7-'DPI art.191'!$H$7)/8)*(J72-I72-2))))</f>
        <v/>
      </c>
      <c r="AY72" s="24">
        <f>I72-AX72</f>
        <v/>
      </c>
      <c r="AZ72" s="24">
        <f>IF(H72&lt;135,H72,H72-'DPI art.191'!$I$7)</f>
        <v/>
      </c>
      <c r="BA72" s="111">
        <f>IF(O72&lt;80,"0",IF((P72-O72)&lt;=2,('DPI art.191'!$G$5-(('DPI art.191'!$F$5-'DPI art.191'!$G$5)/4)*(P72-O72-2)),('DPI art.191'!$G$5-(('DPI art.191'!$G$5-'DPI art.191'!$H$5)/8)*(P72-O72-2))))</f>
        <v/>
      </c>
      <c r="BB72" s="24">
        <f>R72-BA72</f>
        <v/>
      </c>
      <c r="BC72" s="24">
        <f>IF(N72&lt;135,N72,N72-'DPI art.191'!$I$5)</f>
        <v/>
      </c>
      <c r="BD72" s="111">
        <f>IF(O72&lt;80,"0",IF((P72-O72)&lt;=2,('DPI art.191'!$G$7-(('DPI art.191'!$F$7-'DPI art.191'!$G$7)/4)*(O72-P72-2)),('DPI art.191'!$G$7-(('DPI art.191'!$G$7-'DPI art.191'!$H$7)/8)*(P72-O72-2))))</f>
        <v/>
      </c>
      <c r="BE72" s="24">
        <f>O72-BD72</f>
        <v/>
      </c>
      <c r="BF72" s="24">
        <f>IF(N72&lt;135,N72,N72-'DPI art.191'!$I$7)</f>
        <v/>
      </c>
      <c r="BG72" s="108">
        <f>10^(0.1*R72)</f>
        <v/>
      </c>
      <c r="BH72" s="108">
        <f>10^(0.1*X72)</f>
        <v/>
      </c>
      <c r="BI72" s="108">
        <f>10^(0.1*AB72)</f>
        <v/>
      </c>
      <c r="BJ72" s="108">
        <f>10^(0.1*AF72)</f>
        <v/>
      </c>
      <c r="BK72" s="108">
        <f>10^(0.1*AJ72)</f>
        <v/>
      </c>
      <c r="BL72" s="108">
        <f>10^(0.1*AN72)</f>
        <v/>
      </c>
      <c r="BM72" s="106">
        <f>IF(R72&gt;0,(O72-R72),"")</f>
        <v/>
      </c>
      <c r="BN72" s="106">
        <f>IF(X72&gt;0,(O72-X72),"")</f>
        <v/>
      </c>
      <c r="BO72" s="106">
        <f>IF(AB72&gt;0,(O72-AB72),"")</f>
        <v/>
      </c>
      <c r="BP72" s="106">
        <f>IF(AF72&gt;0,(O72-AF72),"")</f>
        <v/>
      </c>
      <c r="BQ72" s="106">
        <f>IF(AJ72&gt;0,(O72-AJ72),"")</f>
        <v/>
      </c>
      <c r="BR72" s="106">
        <f>IF(AN72&gt;0,(O72-AN72),"")</f>
        <v/>
      </c>
      <c r="BS72" s="106">
        <f>COUNT(BM72:BR72)</f>
        <v/>
      </c>
      <c r="BT72" s="464">
        <f>IF(BS72=0,0,IF(BS72=1,0,1/(BS72*(BS72-1))))</f>
        <v/>
      </c>
      <c r="BU72" s="136">
        <f>IF(R72&gt;0,(BM72^2),"")</f>
        <v/>
      </c>
      <c r="BV72" s="136">
        <f>IF(X72&gt;0,(BN72^2),"")</f>
        <v/>
      </c>
      <c r="BW72" s="136">
        <f>IF(AB72&gt;0,(BO72^2),"")</f>
        <v/>
      </c>
      <c r="BX72" s="136">
        <f>IF(AF72&gt;0,(BP72^2),"")</f>
        <v/>
      </c>
      <c r="BY72" s="136">
        <f>IF(AJ72&gt;0,(BQ72^2),"")</f>
        <v/>
      </c>
      <c r="BZ72" s="136">
        <f>IF(AN72&gt;0,(BR72^2),"")</f>
        <v/>
      </c>
    </row>
    <row r="73" ht="25.5" customHeight="1" s="444">
      <c r="A73" s="340" t="inlineStr">
        <is>
          <t>037/ED14</t>
        </is>
      </c>
      <c r="B73" s="65" t="inlineStr">
        <is>
          <t>F11</t>
        </is>
      </c>
      <c r="C73" s="78" t="inlineStr">
        <is>
          <t>Gru a torre</t>
        </is>
      </c>
      <c r="D73" s="83" t="inlineStr">
        <is>
          <t>TEREX-COMEDIL</t>
        </is>
      </c>
      <c r="E73" s="83" t="inlineStr">
        <is>
          <t>CTT 141/A</t>
        </is>
      </c>
      <c r="F73" s="78" t="inlineStr">
        <is>
          <t>Movimentazioni in piazzale esterno con gru a torre</t>
        </is>
      </c>
      <c r="G73" s="71" t="n">
        <v>45996</v>
      </c>
      <c r="H73" s="77" t="inlineStr">
        <is>
          <t>Compito</t>
        </is>
      </c>
      <c r="I73" s="77">
        <f>IF((V73-R73)&gt;3,"SI","")</f>
        <v/>
      </c>
      <c r="J73" s="77">
        <f>IF((U73-R73)&gt;3,"SI","")</f>
        <v/>
      </c>
      <c r="K73" s="77" t="n"/>
      <c r="L73" s="77" t="n"/>
      <c r="M73" s="137">
        <f>IF(R73&gt;0,(SQRT(BT73*(SUM(BU73:BZ73)))),"")</f>
        <v/>
      </c>
      <c r="N73" s="4">
        <f>IF(T73&gt;0,(MAX(T73,Z73,AD73,AH73,AL73,AP73))+SQRT(1.2^2+1^2),"")</f>
        <v/>
      </c>
      <c r="O73" s="3">
        <f>IF(R73="",0,10*LOG10(SUM(BG73:BL73)/(COUNT(R73,X73,AB73,AF73,AJ73,AN73))))</f>
        <v/>
      </c>
      <c r="P73" s="5">
        <f>IF(AND(Y73="",AC73="",AG73="",AK73="",AO73=""),S73,AVERAGE(S73,Y73,AC73,AG73,AK73,AO73)+STDEV(S73,Y73,AC73,AG73,AK73,AO73))</f>
        <v/>
      </c>
      <c r="Q73" s="14" t="n">
        <v>300</v>
      </c>
      <c r="R73" s="11" t="n">
        <v>62.8</v>
      </c>
      <c r="S73" s="12" t="n">
        <v>70.5</v>
      </c>
      <c r="T73" s="13" t="n">
        <v>98.2</v>
      </c>
      <c r="U73" s="79" t="n">
        <v>62.7</v>
      </c>
      <c r="V73" s="79" t="n">
        <v>69.59999999999999</v>
      </c>
      <c r="W73" s="10" t="n">
        <v>300</v>
      </c>
      <c r="X73" s="11" t="n">
        <v>64.2</v>
      </c>
      <c r="Y73" s="12" t="n">
        <v>71.90000000000001</v>
      </c>
      <c r="Z73" s="13" t="n">
        <v>91.7</v>
      </c>
      <c r="AA73" s="10" t="n">
        <v>300</v>
      </c>
      <c r="AB73" s="11" t="n">
        <v>59.9</v>
      </c>
      <c r="AC73" s="12" t="n">
        <v>67.7</v>
      </c>
      <c r="AD73" s="13" t="n">
        <v>91.2</v>
      </c>
      <c r="AE73" s="14" t="n">
        <v>300</v>
      </c>
      <c r="AF73" s="11" t="n">
        <v>57.9</v>
      </c>
      <c r="AG73" s="12" t="n">
        <v>64.7</v>
      </c>
      <c r="AH73" s="13" t="n">
        <v>90.09999999999999</v>
      </c>
      <c r="AI73" s="10" t="n">
        <v>300</v>
      </c>
      <c r="AJ73" s="11" t="n">
        <v>58.6</v>
      </c>
      <c r="AK73" s="12" t="n">
        <v>67.59999999999999</v>
      </c>
      <c r="AL73" s="13" t="n">
        <v>89.2</v>
      </c>
      <c r="AM73" s="10" t="n">
        <v>300</v>
      </c>
      <c r="AN73" s="11" t="n">
        <v>60.9</v>
      </c>
      <c r="AO73" s="12" t="n">
        <v>67.40000000000001</v>
      </c>
      <c r="AP73" s="13" t="n">
        <v>96.59999999999999</v>
      </c>
      <c r="AQ73" s="6">
        <f>IF(AND((O73)&lt;85,N73&lt;137),"NO","SI")</f>
        <v/>
      </c>
      <c r="AR73" s="7">
        <f>IF((480*(10^(7.95-(O73/10))))&lt;480,480*(10^(7.95-(O73/10))),480)</f>
        <v/>
      </c>
      <c r="AS73" s="8">
        <f>IF((480*(10^(8.45-(O73/10))))&lt;480,480*(10^(8.45-(O73/10))),480)</f>
        <v/>
      </c>
      <c r="AT73" s="9">
        <f>IF((480*(10^(8.65-(O73/10))))&lt;480,480*(10^(8.65-(O73/10))),480)</f>
        <v/>
      </c>
      <c r="AU73" s="111">
        <f>IF(O73&lt;80,"0",IF((P73-O73)&lt;=2,('DPI art.191'!$G$3-(('DPI art.191'!$F$3-'DPI art.191'!$G$3)/4)*(P73-O73-2)),('DPI art.191'!$G$3-(('DPI art.191'!$G$3-'DPI art.191'!$H$3)/8)*(P73-O73-2))))</f>
        <v/>
      </c>
      <c r="AV73" s="24">
        <f>O73-AU73</f>
        <v/>
      </c>
      <c r="AW73" s="24">
        <f>IF(N73&lt;135,N73,N73-'DPI art.191'!$I$3)</f>
        <v/>
      </c>
      <c r="AX73" s="111">
        <f>IF(I73&lt;80,"0",IF((J73-I73)&lt;=2,('DPI art.191'!$G$7-(('DPI art.191'!$F$7-'DPI art.191'!$G$7)/4)*(I73-J73-2)),('DPI art.191'!$G$7-(('DPI art.191'!$G$7-'DPI art.191'!$H$7)/8)*(J73-I73-2))))</f>
        <v/>
      </c>
      <c r="AY73" s="24">
        <f>I73-AX73</f>
        <v/>
      </c>
      <c r="AZ73" s="24">
        <f>IF(H73&lt;135,H73,H73-'DPI art.191'!$I$7)</f>
        <v/>
      </c>
      <c r="BA73" s="111">
        <f>IF(O73&lt;80,"0",IF((P73-O73)&lt;=2,('DPI art.191'!$G$5-(('DPI art.191'!$F$5-'DPI art.191'!$G$5)/4)*(P73-O73-2)),('DPI art.191'!$G$5-(('DPI art.191'!$G$5-'DPI art.191'!$H$5)/8)*(P73-O73-2))))</f>
        <v/>
      </c>
      <c r="BB73" s="24">
        <f>R73-BA73</f>
        <v/>
      </c>
      <c r="BC73" s="24">
        <f>IF(N73&lt;135,N73,N73-'DPI art.191'!$I$5)</f>
        <v/>
      </c>
      <c r="BD73" s="111">
        <f>IF(O73&lt;80,"0",IF((P73-O73)&lt;=2,('DPI art.191'!$G$7-(('DPI art.191'!$F$7-'DPI art.191'!$G$7)/4)*(O73-P73-2)),('DPI art.191'!$G$7-(('DPI art.191'!$G$7-'DPI art.191'!$H$7)/8)*(P73-O73-2))))</f>
        <v/>
      </c>
      <c r="BE73" s="24">
        <f>O73-BD73</f>
        <v/>
      </c>
      <c r="BF73" s="24">
        <f>IF(N73&lt;135,N73,N73-'DPI art.191'!$I$7)</f>
        <v/>
      </c>
      <c r="BG73" s="108">
        <f>10^(0.1*R73)</f>
        <v/>
      </c>
      <c r="BH73" s="108">
        <f>10^(0.1*X73)</f>
        <v/>
      </c>
      <c r="BI73" s="108">
        <f>10^(0.1*AB73)</f>
        <v/>
      </c>
      <c r="BJ73" s="108">
        <f>10^(0.1*AF73)</f>
        <v/>
      </c>
      <c r="BK73" s="108">
        <f>10^(0.1*AJ73)</f>
        <v/>
      </c>
      <c r="BL73" s="108">
        <f>10^(0.1*AN73)</f>
        <v/>
      </c>
      <c r="BM73" s="106">
        <f>IF(R73&gt;0,(O73-R73),"")</f>
        <v/>
      </c>
      <c r="BN73" s="106">
        <f>IF(X73&gt;0,(O73-X73),"")</f>
        <v/>
      </c>
      <c r="BO73" s="106">
        <f>IF(AB73&gt;0,(O73-AB73),"")</f>
        <v/>
      </c>
      <c r="BP73" s="106">
        <f>IF(AF73&gt;0,(O73-AF73),"")</f>
        <v/>
      </c>
      <c r="BQ73" s="106">
        <f>IF(AJ73&gt;0,(O73-AJ73),"")</f>
        <v/>
      </c>
      <c r="BR73" s="106">
        <f>IF(AN73&gt;0,(O73-AN73),"")</f>
        <v/>
      </c>
      <c r="BS73" s="106">
        <f>COUNT(BM73:BR73)</f>
        <v/>
      </c>
      <c r="BT73" s="464">
        <f>IF(BS73=0,0,IF(BS73=1,0,1/(BS73*(BS73-1))))</f>
        <v/>
      </c>
      <c r="BU73" s="136">
        <f>IF(R73&gt;0,(BM73^2),"")</f>
        <v/>
      </c>
      <c r="BV73" s="136">
        <f>IF(X73&gt;0,(BN73^2),"")</f>
        <v/>
      </c>
      <c r="BW73" s="136">
        <f>IF(AB73&gt;0,(BO73^2),"")</f>
        <v/>
      </c>
      <c r="BX73" s="136">
        <f>IF(AF73&gt;0,(BP73^2),"")</f>
        <v/>
      </c>
      <c r="BY73" s="136">
        <f>IF(AJ73&gt;0,(BQ73^2),"")</f>
        <v/>
      </c>
      <c r="BZ73" s="136">
        <f>IF(AN73&gt;0,(BR73^2),"")</f>
        <v/>
      </c>
    </row>
    <row r="74" ht="26.25" customHeight="1" s="444">
      <c r="A74" s="340" t="inlineStr">
        <is>
          <t>Gualdo 1</t>
        </is>
      </c>
      <c r="B74" s="65" t="inlineStr">
        <is>
          <t>F12</t>
        </is>
      </c>
      <c r="C74" s="78" t="inlineStr">
        <is>
          <t>Zona manutenzioni</t>
        </is>
      </c>
      <c r="D74" s="83" t="inlineStr">
        <is>
          <t>/</t>
        </is>
      </c>
      <c r="E74" s="83" t="inlineStr">
        <is>
          <t>/</t>
        </is>
      </c>
      <c r="F74" s="192" t="inlineStr">
        <is>
          <t>Manutenzioni</t>
        </is>
      </c>
      <c r="G74" s="71" t="n">
        <v>46003</v>
      </c>
      <c r="H74" s="77" t="inlineStr">
        <is>
          <t>Compito</t>
        </is>
      </c>
      <c r="I74" s="77">
        <f>IF((V74-R74)&gt;3,"SI","")</f>
        <v/>
      </c>
      <c r="J74" s="77" t="inlineStr">
        <is>
          <t>SI</t>
        </is>
      </c>
      <c r="K74" s="77" t="n"/>
      <c r="L74" s="77" t="n"/>
      <c r="M74" s="137">
        <f>IF(R74&gt;0,(SQRT(BT74*(SUM(BU74:BZ74)))),"")</f>
        <v/>
      </c>
      <c r="N74" s="4">
        <f>IF(T74&gt;0,(MAX(T74,Z74,AD74,AH74,AL74,AP74))+SQRT(1.2^2+1^2),"")</f>
        <v/>
      </c>
      <c r="O74" s="3">
        <f>IF(R74="",0,10*LOG10(SUM(BG74:BL74)/(COUNT(R74,X74,AB74,AF74,AJ74,AN74))))</f>
        <v/>
      </c>
      <c r="P74" s="5">
        <f>IF(AND(Y74="",AC74="",AG74="",AK74="",AO74=""),S74,AVERAGE(S74,Y74,AC74,AG74,AK74,AO74)+STDEV(S74,Y74,AC74,AG74,AK74,AO74))</f>
        <v/>
      </c>
      <c r="Q74" s="14" t="n">
        <v>300</v>
      </c>
      <c r="R74" s="11" t="n">
        <v>73.5</v>
      </c>
      <c r="S74" s="12" t="n">
        <v>76.5</v>
      </c>
      <c r="T74" s="13" t="n">
        <v>96.7</v>
      </c>
      <c r="U74" s="79" t="n">
        <v>73.40000000000001</v>
      </c>
      <c r="V74" s="79" t="n">
        <v>76.09999999999999</v>
      </c>
      <c r="W74" s="10" t="n">
        <v>300</v>
      </c>
      <c r="X74" s="11" t="n">
        <v>74</v>
      </c>
      <c r="Y74" s="12" t="n">
        <v>76.3</v>
      </c>
      <c r="Z74" s="13" t="n">
        <v>105</v>
      </c>
      <c r="AA74" s="10" t="n">
        <v>300</v>
      </c>
      <c r="AB74" s="11" t="n">
        <v>73.40000000000001</v>
      </c>
      <c r="AC74" s="12" t="n">
        <v>76</v>
      </c>
      <c r="AD74" s="13" t="n">
        <v>98.8</v>
      </c>
      <c r="AE74" s="14" t="n">
        <v>300</v>
      </c>
      <c r="AF74" s="11" t="n">
        <v>72.59999999999999</v>
      </c>
      <c r="AG74" s="12" t="n">
        <v>76</v>
      </c>
      <c r="AH74" s="13" t="n">
        <v>99.3</v>
      </c>
      <c r="AI74" s="10" t="n">
        <v>300</v>
      </c>
      <c r="AJ74" s="11" t="n">
        <v>72.3</v>
      </c>
      <c r="AK74" s="12" t="n">
        <v>76</v>
      </c>
      <c r="AL74" s="13" t="n">
        <v>104.2</v>
      </c>
      <c r="AM74" s="10" t="n">
        <v>300</v>
      </c>
      <c r="AN74" s="11" t="n">
        <v>73.09999999999999</v>
      </c>
      <c r="AO74" s="12" t="n">
        <v>77</v>
      </c>
      <c r="AP74" s="13" t="n">
        <v>99.40000000000001</v>
      </c>
      <c r="AQ74" s="6">
        <f>IF(AND((O74)&lt;85,N74&lt;137),"NO","SI")</f>
        <v/>
      </c>
      <c r="AR74" s="7">
        <f>IF((480*(10^(7.95-(O74/10))))&lt;480,480*(10^(7.95-(O74/10))),480)</f>
        <v/>
      </c>
      <c r="AS74" s="8">
        <f>IF((480*(10^(8.45-(O74/10))))&lt;480,480*(10^(8.45-(O74/10))),480)</f>
        <v/>
      </c>
      <c r="AT74" s="9">
        <f>IF((480*(10^(8.65-(O74/10))))&lt;480,480*(10^(8.65-(O74/10))),480)</f>
        <v/>
      </c>
      <c r="AU74" s="111">
        <f>IF(O74&lt;80,"0",IF((P74-O74)&lt;=2,('DPI art.191'!$G$3-(('DPI art.191'!$F$3-'DPI art.191'!$G$3)/4)*(P74-O74-2)),('DPI art.191'!$G$3-(('DPI art.191'!$G$3-'DPI art.191'!$H$3)/8)*(P74-O74-2))))</f>
        <v/>
      </c>
      <c r="AV74" s="24">
        <f>O74-AU74</f>
        <v/>
      </c>
      <c r="AW74" s="24">
        <f>IF(N74&lt;135,N74,N74-'DPI art.191'!$I$3)</f>
        <v/>
      </c>
      <c r="AX74" s="111">
        <f>IF(I74&lt;80,"0",IF((J74-I74)&lt;=2,('DPI art.191'!$G$7-(('DPI art.191'!$F$7-'DPI art.191'!$G$7)/4)*(I74-J74-2)),('DPI art.191'!$G$7-(('DPI art.191'!$G$7-'DPI art.191'!$H$7)/8)*(J74-I74-2))))</f>
        <v/>
      </c>
      <c r="AY74" s="24">
        <f>I74-AX74</f>
        <v/>
      </c>
      <c r="AZ74" s="24">
        <f>IF(H74&lt;135,H74,H74-'DPI art.191'!$I$7)</f>
        <v/>
      </c>
      <c r="BA74" s="111">
        <f>IF(O74&lt;80,"0",IF((P74-O74)&lt;=2,('DPI art.191'!$G$5-(('DPI art.191'!$F$5-'DPI art.191'!$G$5)/4)*(P74-O74-2)),('DPI art.191'!$G$5-(('DPI art.191'!$G$5-'DPI art.191'!$H$5)/8)*(P74-O74-2))))</f>
        <v/>
      </c>
      <c r="BB74" s="24">
        <f>R74-BA74</f>
        <v/>
      </c>
      <c r="BC74" s="24">
        <f>IF(N74&lt;135,N74,N74-'DPI art.191'!$I$5)</f>
        <v/>
      </c>
      <c r="BD74" s="111">
        <f>IF(O74&lt;80,"0",IF((P74-O74)&lt;=2,('DPI art.191'!$G$7-(('DPI art.191'!$F$7-'DPI art.191'!$G$7)/4)*(O74-P74-2)),('DPI art.191'!$G$7-(('DPI art.191'!$G$7-'DPI art.191'!$H$7)/8)*(P74-O74-2))))</f>
        <v/>
      </c>
      <c r="BE74" s="24">
        <f>O74-BD74</f>
        <v/>
      </c>
      <c r="BF74" s="24">
        <f>IF(N74&lt;135,N74,N74-'DPI art.191'!$I$7)</f>
        <v/>
      </c>
      <c r="BG74" s="108">
        <f>10^(0.1*R74)</f>
        <v/>
      </c>
      <c r="BH74" s="108">
        <f>10^(0.1*X74)</f>
        <v/>
      </c>
      <c r="BI74" s="108">
        <f>10^(0.1*AB74)</f>
        <v/>
      </c>
      <c r="BJ74" s="108">
        <f>10^(0.1*AF74)</f>
        <v/>
      </c>
      <c r="BK74" s="108">
        <f>10^(0.1*AJ74)</f>
        <v/>
      </c>
      <c r="BL74" s="108">
        <f>10^(0.1*AN74)</f>
        <v/>
      </c>
      <c r="BM74" s="106">
        <f>IF(R74&gt;0,(O74-R74),"")</f>
        <v/>
      </c>
      <c r="BN74" s="106">
        <f>IF(X74&gt;0,(O74-X74),"")</f>
        <v/>
      </c>
      <c r="BO74" s="106">
        <f>IF(AB74&gt;0,(O74-AB74),"")</f>
        <v/>
      </c>
      <c r="BP74" s="106">
        <f>IF(AF74&gt;0,(O74-AF74),"")</f>
        <v/>
      </c>
      <c r="BQ74" s="106">
        <f>IF(AJ74&gt;0,(O74-AJ74),"")</f>
        <v/>
      </c>
      <c r="BR74" s="106">
        <f>IF(AN74&gt;0,(O74-AN74),"")</f>
        <v/>
      </c>
      <c r="BS74" s="106">
        <f>COUNT(BM74:BR74)</f>
        <v/>
      </c>
      <c r="BT74" s="464">
        <f>IF(BS74=0,0,IF(BS74=1,0,1/(BS74*(BS74-1))))</f>
        <v/>
      </c>
      <c r="BU74" s="136">
        <f>IF(R74&gt;0,(BM74^2),"")</f>
        <v/>
      </c>
      <c r="BV74" s="136">
        <f>IF(X74&gt;0,(BN74^2),"")</f>
        <v/>
      </c>
      <c r="BW74" s="136">
        <f>IF(AB74&gt;0,(BO74^2),"")</f>
        <v/>
      </c>
      <c r="BX74" s="136">
        <f>IF(AF74&gt;0,(BP74^2),"")</f>
        <v/>
      </c>
      <c r="BY74" s="136">
        <f>IF(AJ74&gt;0,(BQ74^2),"")</f>
        <v/>
      </c>
      <c r="BZ74" s="136">
        <f>IF(AN74&gt;0,(BR74^2),"")</f>
        <v/>
      </c>
    </row>
    <row r="75" ht="18.75" customHeight="1" s="444">
      <c r="A75" s="340" t="inlineStr">
        <is>
          <t>Gualdo 2</t>
        </is>
      </c>
      <c r="B75" s="65" t="inlineStr">
        <is>
          <t>F13</t>
        </is>
      </c>
      <c r="C75" s="78" t="inlineStr">
        <is>
          <t>Uffici primo piano</t>
        </is>
      </c>
      <c r="D75" s="83" t="inlineStr">
        <is>
          <t>/</t>
        </is>
      </c>
      <c r="E75" s="83" t="inlineStr">
        <is>
          <t>/</t>
        </is>
      </c>
      <c r="F75" s="192" t="inlineStr">
        <is>
          <t>Attività di ufficio</t>
        </is>
      </c>
      <c r="G75" s="71" t="n">
        <v>46003</v>
      </c>
      <c r="H75" s="77" t="inlineStr">
        <is>
          <t>Compito</t>
        </is>
      </c>
      <c r="I75" s="77">
        <f>IF((V75-R75)&gt;3,"SI","")</f>
        <v/>
      </c>
      <c r="J75" s="77">
        <f>IF((U75-R75)&gt;3,"SI","")</f>
        <v/>
      </c>
      <c r="K75" s="77" t="n"/>
      <c r="L75" s="77" t="n"/>
      <c r="M75" s="137">
        <f>IF(R75&gt;0,(SQRT(BT75*(SUM(BU75:BZ75)))),"")</f>
        <v/>
      </c>
      <c r="N75" s="4">
        <f>IF(T75&gt;0,(MAX(T75,Z75,AD75,AH75,AL75,AP75))+SQRT(1.2^2+1^2),"")</f>
        <v/>
      </c>
      <c r="O75" s="3">
        <f>IF(R75="",0,10*LOG10(SUM(BG75:BL75)/(COUNT(R75,X75,AB75,AF75,AJ75,AN75))))</f>
        <v/>
      </c>
      <c r="P75" s="5">
        <f>IF(AND(Y75="",AC75="",AG75="",AK75="",AO75=""),S75,AVERAGE(S75,Y75,AC75,AG75,AK75,AO75)+STDEV(S75,Y75,AC75,AG75,AK75,AO75))</f>
        <v/>
      </c>
      <c r="Q75" s="14" t="n">
        <v>300</v>
      </c>
      <c r="R75" s="11" t="n">
        <v>50.1</v>
      </c>
      <c r="S75" s="12" t="n">
        <v>55.3</v>
      </c>
      <c r="T75" s="13" t="n">
        <v>91.40000000000001</v>
      </c>
      <c r="U75" s="79" t="n">
        <v>50.1</v>
      </c>
      <c r="V75" s="79" t="n">
        <v>57.8</v>
      </c>
      <c r="W75" s="10" t="n">
        <v>300</v>
      </c>
      <c r="X75" s="11" t="n">
        <v>51.2</v>
      </c>
      <c r="Y75" s="12" t="n">
        <v>55.9</v>
      </c>
      <c r="Z75" s="13" t="n">
        <v>89.40000000000001</v>
      </c>
      <c r="AA75" s="10" t="n">
        <v>300</v>
      </c>
      <c r="AB75" s="11" t="n">
        <v>56.1</v>
      </c>
      <c r="AC75" s="12" t="n">
        <v>60.5</v>
      </c>
      <c r="AD75" s="13" t="n">
        <v>104.9</v>
      </c>
      <c r="AE75" s="14" t="n">
        <v>300</v>
      </c>
      <c r="AF75" s="11" t="n">
        <v>47.8</v>
      </c>
      <c r="AG75" s="12" t="n">
        <v>54.6</v>
      </c>
      <c r="AH75" s="13" t="n">
        <v>88.90000000000001</v>
      </c>
      <c r="AI75" s="10" t="n">
        <v>300</v>
      </c>
      <c r="AJ75" s="11" t="n">
        <v>47.4</v>
      </c>
      <c r="AK75" s="12" t="n">
        <v>54.3</v>
      </c>
      <c r="AL75" s="13" t="n">
        <v>91.90000000000001</v>
      </c>
      <c r="AM75" s="10" t="n">
        <v>300</v>
      </c>
      <c r="AN75" s="11" t="n">
        <v>44.7</v>
      </c>
      <c r="AO75" s="12" t="n">
        <v>55.4</v>
      </c>
      <c r="AP75" s="13" t="n">
        <v>90.90000000000001</v>
      </c>
      <c r="AQ75" s="6">
        <f>IF(AND((O75)&lt;85,N75&lt;137),"NO","SI")</f>
        <v/>
      </c>
      <c r="AR75" s="7">
        <f>IF((480*(10^(7.95-(O75/10))))&lt;480,480*(10^(7.95-(O75/10))),480)</f>
        <v/>
      </c>
      <c r="AS75" s="8">
        <f>IF((480*(10^(8.45-(O75/10))))&lt;480,480*(10^(8.45-(O75/10))),480)</f>
        <v/>
      </c>
      <c r="AT75" s="9">
        <f>IF((480*(10^(8.65-(O75/10))))&lt;480,480*(10^(8.65-(O75/10))),480)</f>
        <v/>
      </c>
      <c r="AU75" s="111">
        <f>IF(O75&lt;80,"0",IF((P75-O75)&lt;=2,('DPI art.191'!$G$3-(('DPI art.191'!$F$3-'DPI art.191'!$G$3)/4)*(P75-O75-2)),('DPI art.191'!$G$3-(('DPI art.191'!$G$3-'DPI art.191'!$H$3)/8)*(P75-O75-2))))</f>
        <v/>
      </c>
      <c r="AV75" s="24">
        <f>O75-AU75</f>
        <v/>
      </c>
      <c r="AW75" s="24">
        <f>IF(N75&lt;135,N75,N75-'DPI art.191'!$I$3)</f>
        <v/>
      </c>
      <c r="AX75" s="111">
        <f>IF(I75&lt;80,"0",IF((J75-I75)&lt;=2,('DPI art.191'!$G$7-(('DPI art.191'!$F$7-'DPI art.191'!$G$7)/4)*(I75-J75-2)),('DPI art.191'!$G$7-(('DPI art.191'!$G$7-'DPI art.191'!$H$7)/8)*(J75-I75-2))))</f>
        <v/>
      </c>
      <c r="AY75" s="24">
        <f>I75-AX75</f>
        <v/>
      </c>
      <c r="AZ75" s="24">
        <f>IF(H75&lt;135,H75,H75-'DPI art.191'!$I$7)</f>
        <v/>
      </c>
      <c r="BA75" s="111">
        <f>IF(O75&lt;80,"0",IF((P75-O75)&lt;=2,('DPI art.191'!$G$5-(('DPI art.191'!$F$5-'DPI art.191'!$G$5)/4)*(P75-O75-2)),('DPI art.191'!$G$5-(('DPI art.191'!$G$5-'DPI art.191'!$H$5)/8)*(P75-O75-2))))</f>
        <v/>
      </c>
      <c r="BB75" s="24">
        <f>R75-BA75</f>
        <v/>
      </c>
      <c r="BC75" s="24">
        <f>IF(N75&lt;135,N75,N75-'DPI art.191'!$I$5)</f>
        <v/>
      </c>
      <c r="BD75" s="111">
        <f>IF(O75&lt;80,"0",IF((P75-O75)&lt;=2,('DPI art.191'!$G$7-(('DPI art.191'!$F$7-'DPI art.191'!$G$7)/4)*(O75-P75-2)),('DPI art.191'!$G$7-(('DPI art.191'!$G$7-'DPI art.191'!$H$7)/8)*(P75-O75-2))))</f>
        <v/>
      </c>
      <c r="BE75" s="24">
        <f>O75-BD75</f>
        <v/>
      </c>
      <c r="BF75" s="24">
        <f>IF(N75&lt;135,N75,N75-'DPI art.191'!$I$7)</f>
        <v/>
      </c>
      <c r="BG75" s="108">
        <f>10^(0.1*R75)</f>
        <v/>
      </c>
      <c r="BH75" s="108">
        <f>10^(0.1*X75)</f>
        <v/>
      </c>
      <c r="BI75" s="108">
        <f>10^(0.1*AB75)</f>
        <v/>
      </c>
      <c r="BJ75" s="108">
        <f>10^(0.1*AF75)</f>
        <v/>
      </c>
      <c r="BK75" s="108">
        <f>10^(0.1*AJ75)</f>
        <v/>
      </c>
      <c r="BL75" s="108">
        <f>10^(0.1*AN75)</f>
        <v/>
      </c>
      <c r="BM75" s="106">
        <f>IF(R75&gt;0,(O75-R75),"")</f>
        <v/>
      </c>
      <c r="BN75" s="106">
        <f>IF(X75&gt;0,(O75-X75),"")</f>
        <v/>
      </c>
      <c r="BO75" s="106">
        <f>IF(AB75&gt;0,(O75-AB75),"")</f>
        <v/>
      </c>
      <c r="BP75" s="106">
        <f>IF(AF75&gt;0,(O75-AF75),"")</f>
        <v/>
      </c>
      <c r="BQ75" s="106">
        <f>IF(AJ75&gt;0,(O75-AJ75),"")</f>
        <v/>
      </c>
      <c r="BR75" s="106">
        <f>IF(AN75&gt;0,(O75-AN75),"")</f>
        <v/>
      </c>
      <c r="BS75" s="106">
        <f>COUNT(BM75:BR75)</f>
        <v/>
      </c>
      <c r="BT75" s="464">
        <f>IF(BS75=0,0,IF(BS75=1,0,1/(BS75*(BS75-1))))</f>
        <v/>
      </c>
      <c r="BU75" s="136">
        <f>IF(R75&gt;0,(BM75^2),"")</f>
        <v/>
      </c>
      <c r="BV75" s="136">
        <f>IF(X75&gt;0,(BN75^2),"")</f>
        <v/>
      </c>
      <c r="BW75" s="136">
        <f>IF(AB75&gt;0,(BO75^2),"")</f>
        <v/>
      </c>
      <c r="BX75" s="136">
        <f>IF(AF75&gt;0,(BP75^2),"")</f>
        <v/>
      </c>
      <c r="BY75" s="136">
        <f>IF(AJ75&gt;0,(BQ75^2),"")</f>
        <v/>
      </c>
      <c r="BZ75" s="136">
        <f>IF(AN75&gt;0,(BR75^2),"")</f>
        <v/>
      </c>
    </row>
    <row r="76" ht="18.75" customHeight="1" s="444">
      <c r="A76" s="340" t="inlineStr">
        <is>
          <t>024/B/PRS805</t>
        </is>
      </c>
      <c r="B76" s="65" t="inlineStr">
        <is>
          <t>F14</t>
        </is>
      </c>
      <c r="C76" s="78" t="inlineStr">
        <is>
          <t>Saldatrice a filo</t>
        </is>
      </c>
      <c r="D76" s="83" t="inlineStr">
        <is>
          <t>ESAB</t>
        </is>
      </c>
      <c r="E76" s="83" t="inlineStr">
        <is>
          <t>ARISTO 500X</t>
        </is>
      </c>
      <c r="F76" s="192" t="inlineStr">
        <is>
          <t>Saldatura</t>
        </is>
      </c>
      <c r="G76" s="71" t="n">
        <v>46003</v>
      </c>
      <c r="H76" s="77" t="inlineStr">
        <is>
          <t>Compito</t>
        </is>
      </c>
      <c r="I76" s="77">
        <f>IF((V76-R76)&gt;3,"SI","")</f>
        <v/>
      </c>
      <c r="J76" s="77">
        <f>IF((U76-R76)&gt;3,"SI","")</f>
        <v/>
      </c>
      <c r="K76" s="77" t="n"/>
      <c r="L76" s="77" t="n"/>
      <c r="M76" s="137">
        <f>IF(R76&gt;0,(SQRT(BT76*(SUM(BU76:BZ76)))),"")</f>
        <v/>
      </c>
      <c r="N76" s="4">
        <f>IF(T76&gt;0,(MAX(T76,Z76,AD76,AH76,AL76,AP76))+SQRT(1.2^2+1^2),"")</f>
        <v/>
      </c>
      <c r="O76" s="3">
        <f>IF(R76="",0,10*LOG10(SUM(BG76:BL76)/(COUNT(R76,X76,AB76,AF76,AJ76,AN76))))</f>
        <v/>
      </c>
      <c r="P76" s="5">
        <f>IF(AND(Y76="",AC76="",AG76="",AK76="",AO76=""),S76,AVERAGE(S76,Y76,AC76,AG76,AK76,AO76)+STDEV(S76,Y76,AC76,AG76,AK76,AO76))</f>
        <v/>
      </c>
      <c r="Q76" s="14" t="n">
        <v>300</v>
      </c>
      <c r="R76" s="11" t="n">
        <v>80</v>
      </c>
      <c r="S76" s="12" t="n">
        <v>81</v>
      </c>
      <c r="T76" s="13" t="n">
        <v>115</v>
      </c>
      <c r="U76" s="79" t="n">
        <v>80</v>
      </c>
      <c r="V76" s="79" t="n">
        <v>83.09999999999999</v>
      </c>
      <c r="W76" s="10" t="n">
        <v>300</v>
      </c>
      <c r="X76" s="11" t="n">
        <v>83</v>
      </c>
      <c r="Y76" s="12" t="n">
        <v>83</v>
      </c>
      <c r="Z76" s="13" t="n">
        <v>118.4</v>
      </c>
      <c r="AA76" s="10" t="n">
        <v>300</v>
      </c>
      <c r="AB76" s="11" t="n">
        <v>83.7</v>
      </c>
      <c r="AC76" s="12" t="n">
        <v>83.40000000000001</v>
      </c>
      <c r="AD76" s="13" t="n">
        <v>115.1</v>
      </c>
      <c r="AE76" s="14" t="n">
        <v>300</v>
      </c>
      <c r="AF76" s="11" t="n">
        <v>83.3</v>
      </c>
      <c r="AG76" s="12" t="n">
        <v>83</v>
      </c>
      <c r="AH76" s="13" t="n">
        <v>113.2</v>
      </c>
      <c r="AI76" s="10" t="n">
        <v>300</v>
      </c>
      <c r="AJ76" s="11" t="n">
        <v>81.8</v>
      </c>
      <c r="AK76" s="12" t="n">
        <v>81.90000000000001</v>
      </c>
      <c r="AL76" s="13" t="n">
        <v>116</v>
      </c>
      <c r="AM76" s="10" t="n">
        <v>300</v>
      </c>
      <c r="AN76" s="11" t="n">
        <v>82.09999999999999</v>
      </c>
      <c r="AO76" s="12" t="n">
        <v>81.59999999999999</v>
      </c>
      <c r="AP76" s="13" t="n">
        <v>114.5</v>
      </c>
      <c r="AQ76" s="6">
        <f>IF(AND((O76)&lt;85,N76&lt;137),"NO","SI")</f>
        <v/>
      </c>
      <c r="AR76" s="7">
        <f>IF((480*(10^(7.95-(O76/10))))&lt;480,480*(10^(7.95-(O76/10))),480)</f>
        <v/>
      </c>
      <c r="AS76" s="8">
        <f>IF((480*(10^(8.45-(O76/10))))&lt;480,480*(10^(8.45-(O76/10))),480)</f>
        <v/>
      </c>
      <c r="AT76" s="9">
        <f>IF((480*(10^(8.65-(O76/10))))&lt;480,480*(10^(8.65-(O76/10))),480)</f>
        <v/>
      </c>
      <c r="AU76" s="111">
        <f>IF(O76&lt;80,"0",IF((P76-O76)&lt;=2,('DPI art.191'!$G$3-(('DPI art.191'!$F$3-'DPI art.191'!$G$3)/4)*(P76-O76-2)),('DPI art.191'!$G$3-(('DPI art.191'!$G$3-'DPI art.191'!$H$3)/8)*(P76-O76-2))))</f>
        <v/>
      </c>
      <c r="AV76" s="24">
        <f>O76-AU76</f>
        <v/>
      </c>
      <c r="AW76" s="24">
        <f>IF(N76&lt;135,N76,N76-'DPI art.191'!$I$3)</f>
        <v/>
      </c>
      <c r="AX76" s="111">
        <f>IF(I76&lt;80,"0",IF((J76-I76)&lt;=2,('DPI art.191'!$G$7-(('DPI art.191'!$F$7-'DPI art.191'!$G$7)/4)*(I76-J76-2)),('DPI art.191'!$G$7-(('DPI art.191'!$G$7-'DPI art.191'!$H$7)/8)*(J76-I76-2))))</f>
        <v/>
      </c>
      <c r="AY76" s="24">
        <f>I76-AX76</f>
        <v/>
      </c>
      <c r="AZ76" s="24">
        <f>IF(H76&lt;135,H76,H76-'DPI art.191'!$I$7)</f>
        <v/>
      </c>
      <c r="BA76" s="111">
        <f>IF(O76&lt;80,"0",IF((P76-O76)&lt;=2,('DPI art.191'!$G$5-(('DPI art.191'!$F$5-'DPI art.191'!$G$5)/4)*(P76-O76-2)),('DPI art.191'!$G$5-(('DPI art.191'!$G$5-'DPI art.191'!$H$5)/8)*(P76-O76-2))))</f>
        <v/>
      </c>
      <c r="BB76" s="24">
        <f>R76-BA76</f>
        <v/>
      </c>
      <c r="BC76" s="24">
        <f>IF(N76&lt;135,N76,N76-'DPI art.191'!$I$5)</f>
        <v/>
      </c>
      <c r="BD76" s="111">
        <f>IF(O76&lt;80,"0",IF((P76-O76)&lt;=2,('DPI art.191'!$G$7-(('DPI art.191'!$F$7-'DPI art.191'!$G$7)/4)*(O76-P76-2)),('DPI art.191'!$G$7-(('DPI art.191'!$G$7-'DPI art.191'!$H$7)/8)*(P76-O76-2))))</f>
        <v/>
      </c>
      <c r="BE76" s="24">
        <f>O76-BD76</f>
        <v/>
      </c>
      <c r="BF76" s="24">
        <f>IF(N76&lt;135,N76,N76-'DPI art.191'!$I$7)</f>
        <v/>
      </c>
      <c r="BG76" s="108">
        <f>10^(0.1*R76)</f>
        <v/>
      </c>
      <c r="BH76" s="108">
        <f>10^(0.1*X76)</f>
        <v/>
      </c>
      <c r="BI76" s="108">
        <f>10^(0.1*AB76)</f>
        <v/>
      </c>
      <c r="BJ76" s="108">
        <f>10^(0.1*AF76)</f>
        <v/>
      </c>
      <c r="BK76" s="108">
        <f>10^(0.1*AJ76)</f>
        <v/>
      </c>
      <c r="BL76" s="108">
        <f>10^(0.1*AN76)</f>
        <v/>
      </c>
      <c r="BM76" s="106">
        <f>IF(R76&gt;0,(O76-R76),"")</f>
        <v/>
      </c>
      <c r="BN76" s="106">
        <f>IF(X76&gt;0,(O76-X76),"")</f>
        <v/>
      </c>
      <c r="BO76" s="106">
        <f>IF(AB76&gt;0,(O76-AB76),"")</f>
        <v/>
      </c>
      <c r="BP76" s="106">
        <f>IF(AF76&gt;0,(O76-AF76),"")</f>
        <v/>
      </c>
      <c r="BQ76" s="106">
        <f>IF(AJ76&gt;0,(O76-AJ76),"")</f>
        <v/>
      </c>
      <c r="BR76" s="106">
        <f>IF(AN76&gt;0,(O76-AN76),"")</f>
        <v/>
      </c>
      <c r="BS76" s="106">
        <f>COUNT(BM76:BR76)</f>
        <v/>
      </c>
      <c r="BT76" s="464">
        <f>IF(BS76=0,0,IF(BS76=1,0,1/(BS76*(BS76-1))))</f>
        <v/>
      </c>
      <c r="BU76" s="136">
        <f>IF(R76&gt;0,(BM76^2),"")</f>
        <v/>
      </c>
      <c r="BV76" s="136">
        <f>IF(X76&gt;0,(BN76^2),"")</f>
        <v/>
      </c>
      <c r="BW76" s="136">
        <f>IF(AB76&gt;0,(BO76^2),"")</f>
        <v/>
      </c>
      <c r="BX76" s="136">
        <f>IF(AF76&gt;0,(BP76^2),"")</f>
        <v/>
      </c>
      <c r="BY76" s="136">
        <f>IF(AJ76&gt;0,(BQ76^2),"")</f>
        <v/>
      </c>
      <c r="BZ76" s="136">
        <f>IF(AN76&gt;0,(BR76^2),"")</f>
        <v/>
      </c>
    </row>
    <row r="77" ht="25.5" customHeight="1" s="444">
      <c r="A77" s="340" t="inlineStr">
        <is>
          <t>024/B/PRS736</t>
        </is>
      </c>
      <c r="B77" s="65" t="inlineStr">
        <is>
          <t>F15</t>
        </is>
      </c>
      <c r="C77" s="78" t="inlineStr">
        <is>
          <t>Saldatrice a filo</t>
        </is>
      </c>
      <c r="D77" s="83" t="inlineStr">
        <is>
          <t>ESAB</t>
        </is>
      </c>
      <c r="E77" s="83" t="inlineStr">
        <is>
          <t>Mig5000i - Feed3004</t>
        </is>
      </c>
      <c r="F77" s="192" t="inlineStr">
        <is>
          <t>Saldatura</t>
        </is>
      </c>
      <c r="G77" s="71" t="n">
        <v>46003</v>
      </c>
      <c r="H77" s="77" t="inlineStr">
        <is>
          <t>Compito</t>
        </is>
      </c>
      <c r="I77" s="77">
        <f>IF((V77-R77)&gt;3,"SI","")</f>
        <v/>
      </c>
      <c r="J77" s="77">
        <f>IF((U77-R77)&gt;3,"SI","")</f>
        <v/>
      </c>
      <c r="K77" s="77" t="n"/>
      <c r="L77" s="77" t="n"/>
      <c r="M77" s="137">
        <f>IF(R77&gt;0,(SQRT(BT77*(SUM(BU77:BZ77)))),"")</f>
        <v/>
      </c>
      <c r="N77" s="4">
        <f>IF(T77&gt;0,(MAX(T77,Z77,AD77,AH77,AL77,AP77))+SQRT(1.2^2+1^2),"")</f>
        <v/>
      </c>
      <c r="O77" s="3">
        <f>IF(R77="",0,10*LOG10(SUM(BG77:BL77)/(COUNT(R77,X77,AB77,AF77,AJ77,AN77))))</f>
        <v/>
      </c>
      <c r="P77" s="5">
        <f>IF(AND(Y77="",AC77="",AG77="",AK77="",AO77=""),S77,AVERAGE(S77,Y77,AC77,AG77,AK77,AO77)+STDEV(S77,Y77,AC77,AG77,AK77,AO77))</f>
        <v/>
      </c>
      <c r="Q77" s="14" t="n">
        <v>300</v>
      </c>
      <c r="R77" s="11" t="n">
        <v>90.09999999999999</v>
      </c>
      <c r="S77" s="12" t="n">
        <v>88.59999999999999</v>
      </c>
      <c r="T77" s="13" t="n">
        <v>117.9</v>
      </c>
      <c r="U77" s="79" t="n">
        <v>90.09999999999999</v>
      </c>
      <c r="V77" s="79" t="n">
        <v>93.2</v>
      </c>
      <c r="W77" s="10" t="n">
        <v>300</v>
      </c>
      <c r="X77" s="11" t="n">
        <v>93.40000000000001</v>
      </c>
      <c r="Y77" s="12" t="n">
        <v>92</v>
      </c>
      <c r="Z77" s="13" t="n">
        <v>128.6</v>
      </c>
      <c r="AA77" s="10" t="n">
        <v>300</v>
      </c>
      <c r="AB77" s="11" t="n">
        <v>98.7</v>
      </c>
      <c r="AC77" s="12" t="n">
        <v>97.5</v>
      </c>
      <c r="AD77" s="13" t="n">
        <v>136.8</v>
      </c>
      <c r="AE77" s="14" t="n">
        <v>300</v>
      </c>
      <c r="AF77" s="11" t="n">
        <v>94</v>
      </c>
      <c r="AG77" s="12" t="n">
        <v>92.8</v>
      </c>
      <c r="AH77" s="13" t="n">
        <v>136.3</v>
      </c>
      <c r="AI77" s="10" t="n">
        <v>300</v>
      </c>
      <c r="AJ77" s="11" t="n">
        <v>87</v>
      </c>
      <c r="AK77" s="12" t="n">
        <v>86.90000000000001</v>
      </c>
      <c r="AL77" s="13" t="n">
        <v>127.9</v>
      </c>
      <c r="AM77" s="10" t="n">
        <v>300</v>
      </c>
      <c r="AN77" s="11" t="n">
        <v>87.40000000000001</v>
      </c>
      <c r="AO77" s="12" t="n">
        <v>87.2</v>
      </c>
      <c r="AP77" s="13" t="n">
        <v>126.8</v>
      </c>
      <c r="AQ77" s="6">
        <f>IF(AND((O77)&lt;85,N77&lt;137),"NO","SI")</f>
        <v/>
      </c>
      <c r="AR77" s="7">
        <f>IF((480*(10^(7.95-(O77/10))))&lt;480,480*(10^(7.95-(O77/10))),480)</f>
        <v/>
      </c>
      <c r="AS77" s="8">
        <f>IF((480*(10^(8.45-(O77/10))))&lt;480,480*(10^(8.45-(O77/10))),480)</f>
        <v/>
      </c>
      <c r="AT77" s="9">
        <f>IF((480*(10^(8.65-(O77/10))))&lt;480,480*(10^(8.65-(O77/10))),480)</f>
        <v/>
      </c>
      <c r="AU77" s="111">
        <f>IF(O77&lt;80,"0",IF((P77-O77)&lt;=2,('DPI art.191'!$G$3-(('DPI art.191'!$F$3-'DPI art.191'!$G$3)/4)*(P77-O77-2)),('DPI art.191'!$G$3-(('DPI art.191'!$G$3-'DPI art.191'!$H$3)/8)*(P77-O77-2))))</f>
        <v/>
      </c>
      <c r="AV77" s="24">
        <f>O77-AU77</f>
        <v/>
      </c>
      <c r="AW77" s="24">
        <f>IF(N77&lt;135,N77,N77-'DPI art.191'!$I$3)</f>
        <v/>
      </c>
      <c r="AX77" s="111">
        <f>IF(I77&lt;80,"0",IF((J77-I77)&lt;=2,('DPI art.191'!$G$7-(('DPI art.191'!$F$7-'DPI art.191'!$G$7)/4)*(I77-J77-2)),('DPI art.191'!$G$7-(('DPI art.191'!$G$7-'DPI art.191'!$H$7)/8)*(J77-I77-2))))</f>
        <v/>
      </c>
      <c r="AY77" s="24">
        <f>I77-AX77</f>
        <v/>
      </c>
      <c r="AZ77" s="24">
        <f>IF(H77&lt;135,H77,H77-'DPI art.191'!$I$7)</f>
        <v/>
      </c>
      <c r="BA77" s="111">
        <f>IF(O77&lt;80,"0",IF((P77-O77)&lt;=2,('DPI art.191'!$G$5-(('DPI art.191'!$F$5-'DPI art.191'!$G$5)/4)*(P77-O77-2)),('DPI art.191'!$G$5-(('DPI art.191'!$G$5-'DPI art.191'!$H$5)/8)*(P77-O77-2))))</f>
        <v/>
      </c>
      <c r="BB77" s="24">
        <f>R77-BA77</f>
        <v/>
      </c>
      <c r="BC77" s="24">
        <f>IF(N77&lt;135,N77,N77-'DPI art.191'!$I$5)</f>
        <v/>
      </c>
      <c r="BD77" s="111">
        <f>IF(O77&lt;80,"0",IF((P77-O77)&lt;=2,('DPI art.191'!$G$7-(('DPI art.191'!$F$7-'DPI art.191'!$G$7)/4)*(O77-P77-2)),('DPI art.191'!$G$7-(('DPI art.191'!$G$7-'DPI art.191'!$H$7)/8)*(P77-O77-2))))</f>
        <v/>
      </c>
      <c r="BE77" s="24">
        <f>O77-BD77</f>
        <v/>
      </c>
      <c r="BF77" s="24">
        <f>IF(N77&lt;135,N77,N77-'DPI art.191'!$I$7)</f>
        <v/>
      </c>
      <c r="BG77" s="108">
        <f>10^(0.1*R77)</f>
        <v/>
      </c>
      <c r="BH77" s="108">
        <f>10^(0.1*X77)</f>
        <v/>
      </c>
      <c r="BI77" s="108">
        <f>10^(0.1*AB77)</f>
        <v/>
      </c>
      <c r="BJ77" s="108">
        <f>10^(0.1*AF77)</f>
        <v/>
      </c>
      <c r="BK77" s="108">
        <f>10^(0.1*AJ77)</f>
        <v/>
      </c>
      <c r="BL77" s="108">
        <f>10^(0.1*AN77)</f>
        <v/>
      </c>
      <c r="BM77" s="106">
        <f>IF(R77&gt;0,(O77-R77),"")</f>
        <v/>
      </c>
      <c r="BN77" s="106">
        <f>IF(X77&gt;0,(O77-X77),"")</f>
        <v/>
      </c>
      <c r="BO77" s="106">
        <f>IF(AB77&gt;0,(O77-AB77),"")</f>
        <v/>
      </c>
      <c r="BP77" s="106">
        <f>IF(AF77&gt;0,(O77-AF77),"")</f>
        <v/>
      </c>
      <c r="BQ77" s="106">
        <f>IF(AJ77&gt;0,(O77-AJ77),"")</f>
        <v/>
      </c>
      <c r="BR77" s="106">
        <f>IF(AN77&gt;0,(O77-AN77),"")</f>
        <v/>
      </c>
      <c r="BS77" s="106">
        <f>COUNT(BM77:BR77)</f>
        <v/>
      </c>
      <c r="BT77" s="464">
        <f>IF(BS77=0,0,IF(BS77=1,0,1/(BS77*(BS77-1))))</f>
        <v/>
      </c>
      <c r="BU77" s="136">
        <f>IF(R77&gt;0,(BM77^2),"")</f>
        <v/>
      </c>
      <c r="BV77" s="136">
        <f>IF(X77&gt;0,(BN77^2),"")</f>
        <v/>
      </c>
      <c r="BW77" s="136">
        <f>IF(AB77&gt;0,(BO77^2),"")</f>
        <v/>
      </c>
      <c r="BX77" s="136">
        <f>IF(AF77&gt;0,(BP77^2),"")</f>
        <v/>
      </c>
      <c r="BY77" s="136">
        <f>IF(AJ77&gt;0,(BQ77^2),"")</f>
        <v/>
      </c>
      <c r="BZ77" s="136">
        <f>IF(AN77&gt;0,(BR77^2),"")</f>
        <v/>
      </c>
    </row>
    <row r="78" ht="51" customHeight="1" s="444">
      <c r="A78" s="340" t="inlineStr">
        <is>
          <t>Verniciatura</t>
        </is>
      </c>
      <c r="B78" s="65" t="inlineStr">
        <is>
          <t>F16</t>
        </is>
      </c>
      <c r="C78" s="78" t="inlineStr">
        <is>
          <t>Preparazione verniciatura - operazioni di pulizia pezzi in uscita dalla sabbiatura con aria compressa</t>
        </is>
      </c>
      <c r="D78" s="83" t="inlineStr">
        <is>
          <t>/</t>
        </is>
      </c>
      <c r="E78" s="83" t="inlineStr">
        <is>
          <t>/</t>
        </is>
      </c>
      <c r="F78" s="78" t="inlineStr">
        <is>
          <t>Preparazione verniciatura - operazioni di pulizia pezzi in uscita dalla sabbiatura con aria compressa</t>
        </is>
      </c>
      <c r="G78" s="71" t="n">
        <v>46003</v>
      </c>
      <c r="H78" s="77" t="inlineStr">
        <is>
          <t>Compito</t>
        </is>
      </c>
      <c r="I78" s="77">
        <f>IF((V78-R78)&gt;3,"SI","")</f>
        <v/>
      </c>
      <c r="J78" s="77" t="inlineStr">
        <is>
          <t>SI</t>
        </is>
      </c>
      <c r="K78" s="77" t="n"/>
      <c r="L78" s="77" t="n"/>
      <c r="M78" s="137">
        <f>IF(R78&gt;0,(SQRT(BT78*(SUM(BU78:BZ78)))),"")</f>
        <v/>
      </c>
      <c r="N78" s="4">
        <f>IF(T78&gt;0,(MAX(T78,Z78,AD78,AH78,AL78,AP78))+SQRT(1.2^2+1^2),"")</f>
        <v/>
      </c>
      <c r="O78" s="3">
        <f>IF(R78="",0,10*LOG10(SUM(BG78:BL78)/(COUNT(R78,X78,AB78,AF78,AJ78,AN78))))</f>
        <v/>
      </c>
      <c r="P78" s="5">
        <f>IF(AND(Y78="",AC78="",AG78="",AK78="",AO78=""),S78,AVERAGE(S78,Y78,AC78,AG78,AK78,AO78)+STDEV(S78,Y78,AC78,AG78,AK78,AO78))</f>
        <v/>
      </c>
      <c r="Q78" s="14" t="n">
        <v>300</v>
      </c>
      <c r="R78" s="11" t="n">
        <v>104.3</v>
      </c>
      <c r="S78" s="12" t="n">
        <v>102.8</v>
      </c>
      <c r="T78" s="13" t="n">
        <v>121.9</v>
      </c>
      <c r="U78" s="79" t="n">
        <v>104.3</v>
      </c>
      <c r="V78" s="79" t="n">
        <v>106.2</v>
      </c>
      <c r="W78" s="10" t="n">
        <v>300</v>
      </c>
      <c r="X78" s="11" t="n">
        <v>113.5</v>
      </c>
      <c r="Y78" s="12" t="n">
        <v>111.8</v>
      </c>
      <c r="Z78" s="13" t="n">
        <v>133.4</v>
      </c>
      <c r="AA78" s="10" t="n">
        <v>300</v>
      </c>
      <c r="AB78" s="11" t="n">
        <v>116.3</v>
      </c>
      <c r="AC78" s="12" t="n">
        <v>114.5</v>
      </c>
      <c r="AD78" s="13" t="n">
        <v>133.3</v>
      </c>
      <c r="AE78" s="14" t="n">
        <v>300</v>
      </c>
      <c r="AF78" s="11" t="n">
        <v>116.8</v>
      </c>
      <c r="AG78" s="12" t="n">
        <v>115</v>
      </c>
      <c r="AH78" s="13" t="n">
        <v>134.6</v>
      </c>
      <c r="AI78" s="10" t="n">
        <v>300</v>
      </c>
      <c r="AJ78" s="11" t="n">
        <v>115.2</v>
      </c>
      <c r="AK78" s="12" t="n">
        <v>113.3</v>
      </c>
      <c r="AL78" s="13" t="n">
        <v>133</v>
      </c>
      <c r="AM78" s="10" t="n">
        <v>300</v>
      </c>
      <c r="AN78" s="11" t="n">
        <v>116.1</v>
      </c>
      <c r="AO78" s="12" t="n">
        <v>114.3</v>
      </c>
      <c r="AP78" s="13" t="n">
        <v>133.7</v>
      </c>
      <c r="AQ78" s="6">
        <f>IF(AND((O78)&lt;85,N78&lt;137),"NO","SI")</f>
        <v/>
      </c>
      <c r="AR78" s="7">
        <f>IF((480*(10^(7.95-(O78/10))))&lt;480,480*(10^(7.95-(O78/10))),480)</f>
        <v/>
      </c>
      <c r="AS78" s="8">
        <f>IF((480*(10^(8.45-(O78/10))))&lt;480,480*(10^(8.45-(O78/10))),480)</f>
        <v/>
      </c>
      <c r="AT78" s="9">
        <f>IF((480*(10^(8.65-(O78/10))))&lt;480,480*(10^(8.65-(O78/10))),480)</f>
        <v/>
      </c>
      <c r="AU78" s="111">
        <f>IF(O78&lt;80,"0",IF((P78-O78)&lt;=2,('DPI art.191'!$G$3-(('DPI art.191'!$F$3-'DPI art.191'!$G$3)/4)*(P78-O78-2)),('DPI art.191'!$G$3-(('DPI art.191'!$G$3-'DPI art.191'!$H$3)/8)*(P78-O78-2))))</f>
        <v/>
      </c>
      <c r="AV78" s="24">
        <f>O78-AU78</f>
        <v/>
      </c>
      <c r="AW78" s="24">
        <f>IF(N78&lt;135,N78,N78-'DPI art.191'!$I$3)</f>
        <v/>
      </c>
      <c r="AX78" s="111">
        <f>IF(I78&lt;80,"0",IF((J78-I78)&lt;=2,('DPI art.191'!$G$7-(('DPI art.191'!$F$7-'DPI art.191'!$G$7)/4)*(I78-J78-2)),('DPI art.191'!$G$7-(('DPI art.191'!$G$7-'DPI art.191'!$H$7)/8)*(J78-I78-2))))</f>
        <v/>
      </c>
      <c r="AY78" s="24">
        <f>I78-AX78</f>
        <v/>
      </c>
      <c r="AZ78" s="24">
        <f>IF(H78&lt;135,H78,H78-'DPI art.191'!$I$7)</f>
        <v/>
      </c>
      <c r="BA78" s="111">
        <f>IF(O78&lt;80,"0",IF((P78-O78)&lt;=2,('DPI art.191'!$G$5-(('DPI art.191'!$F$5-'DPI art.191'!$G$5)/4)*(P78-O78-2)),('DPI art.191'!$G$5-(('DPI art.191'!$G$5-'DPI art.191'!$H$5)/8)*(P78-O78-2))))</f>
        <v/>
      </c>
      <c r="BB78" s="24">
        <f>R78-BA78</f>
        <v/>
      </c>
      <c r="BC78" s="24">
        <f>IF(N78&lt;135,N78,N78-'DPI art.191'!$I$5)</f>
        <v/>
      </c>
      <c r="BD78" s="111">
        <f>IF(O78&lt;80,"0",IF((P78-O78)&lt;=2,('DPI art.191'!$G$7-(('DPI art.191'!$F$7-'DPI art.191'!$G$7)/4)*(O78-P78-2)),('DPI art.191'!$G$7-(('DPI art.191'!$G$7-'DPI art.191'!$H$7)/8)*(P78-O78-2))))</f>
        <v/>
      </c>
      <c r="BE78" s="24">
        <f>O78-BD78</f>
        <v/>
      </c>
      <c r="BF78" s="24">
        <f>IF(N78&lt;135,N78,N78-'DPI art.191'!$I$7)</f>
        <v/>
      </c>
      <c r="BG78" s="108">
        <f>10^(0.1*R78)</f>
        <v/>
      </c>
      <c r="BH78" s="108">
        <f>10^(0.1*X78)</f>
        <v/>
      </c>
      <c r="BI78" s="108">
        <f>10^(0.1*AB78)</f>
        <v/>
      </c>
      <c r="BJ78" s="108">
        <f>10^(0.1*AF78)</f>
        <v/>
      </c>
      <c r="BK78" s="108">
        <f>10^(0.1*AJ78)</f>
        <v/>
      </c>
      <c r="BL78" s="108">
        <f>10^(0.1*AN78)</f>
        <v/>
      </c>
      <c r="BM78" s="106">
        <f>IF(R78&gt;0,(O78-R78),"")</f>
        <v/>
      </c>
      <c r="BN78" s="106">
        <f>IF(X78&gt;0,(O78-X78),"")</f>
        <v/>
      </c>
      <c r="BO78" s="106">
        <f>IF(AB78&gt;0,(O78-AB78),"")</f>
        <v/>
      </c>
      <c r="BP78" s="106">
        <f>IF(AF78&gt;0,(O78-AF78),"")</f>
        <v/>
      </c>
      <c r="BQ78" s="106">
        <f>IF(AJ78&gt;0,(O78-AJ78),"")</f>
        <v/>
      </c>
      <c r="BR78" s="106">
        <f>IF(AN78&gt;0,(O78-AN78),"")</f>
        <v/>
      </c>
      <c r="BS78" s="106">
        <f>COUNT(BM78:BR78)</f>
        <v/>
      </c>
      <c r="BT78" s="464">
        <f>IF(BS78=0,0,IF(BS78=1,0,1/(BS78*(BS78-1))))</f>
        <v/>
      </c>
      <c r="BU78" s="136">
        <f>IF(R78&gt;0,(BM78^2),"")</f>
        <v/>
      </c>
      <c r="BV78" s="136">
        <f>IF(X78&gt;0,(BN78^2),"")</f>
        <v/>
      </c>
      <c r="BW78" s="136">
        <f>IF(AB78&gt;0,(BO78^2),"")</f>
        <v/>
      </c>
      <c r="BX78" s="136">
        <f>IF(AF78&gt;0,(BP78^2),"")</f>
        <v/>
      </c>
      <c r="BY78" s="136">
        <f>IF(AJ78&gt;0,(BQ78^2),"")</f>
        <v/>
      </c>
      <c r="BZ78" s="136">
        <f>IF(AN78&gt;0,(BR78^2),"")</f>
        <v/>
      </c>
    </row>
    <row r="79" ht="38.25" customHeight="1" s="444">
      <c r="A79" s="340" t="inlineStr">
        <is>
          <t>Verniciatura</t>
        </is>
      </c>
      <c r="B79" s="65" t="inlineStr">
        <is>
          <t>F17</t>
        </is>
      </c>
      <c r="C79" s="78" t="inlineStr">
        <is>
          <t>Preparazione verniciatura - operazioni manuali di applicazione nastro adesivo</t>
        </is>
      </c>
      <c r="D79" s="83" t="inlineStr">
        <is>
          <t>/</t>
        </is>
      </c>
      <c r="E79" s="83" t="inlineStr">
        <is>
          <t>/</t>
        </is>
      </c>
      <c r="F79" s="78" t="inlineStr">
        <is>
          <t>Preparazione verniciatura - operazioni manuali di applicazione nastro adesivo</t>
        </is>
      </c>
      <c r="G79" s="71" t="n">
        <v>46003</v>
      </c>
      <c r="H79" s="77" t="inlineStr">
        <is>
          <t>Compito</t>
        </is>
      </c>
      <c r="I79" s="77">
        <f>IF((V79-R79)&gt;3,"SI","")</f>
        <v/>
      </c>
      <c r="J79" s="77">
        <f>IF((U79-R79)&gt;3,"SI","")</f>
        <v/>
      </c>
      <c r="K79" s="77" t="n"/>
      <c r="L79" s="77" t="n"/>
      <c r="M79" s="137">
        <f>IF(R79&gt;0,(SQRT(BT79*(SUM(BU79:BZ79)))),"")</f>
        <v/>
      </c>
      <c r="N79" s="4">
        <f>IF(T79&gt;0,(MAX(T79,Z79,AD79,AH79,AL79,AP79))+SQRT(1.2^2+1^2),"")</f>
        <v/>
      </c>
      <c r="O79" s="3">
        <f>IF(R79="",0,10*LOG10(SUM(BG79:BL79)/(COUNT(R79,X79,AB79,AF79,AJ79,AN79))))</f>
        <v/>
      </c>
      <c r="P79" s="5">
        <f>IF(AND(Y79="",AC79="",AG79="",AK79="",AO79=""),S79,AVERAGE(S79,Y79,AC79,AG79,AK79,AO79)+STDEV(S79,Y79,AC79,AG79,AK79,AO79))</f>
        <v/>
      </c>
      <c r="Q79" s="14" t="n">
        <v>300</v>
      </c>
      <c r="R79" s="11" t="n">
        <v>69</v>
      </c>
      <c r="S79" s="12" t="n">
        <v>73.8</v>
      </c>
      <c r="T79" s="13" t="n">
        <v>95.90000000000001</v>
      </c>
      <c r="U79" s="79" t="n">
        <v>69</v>
      </c>
      <c r="V79" s="79" t="n">
        <v>73.7</v>
      </c>
      <c r="W79" s="10" t="n">
        <v>300</v>
      </c>
      <c r="X79" s="11" t="n">
        <v>72.7</v>
      </c>
      <c r="Y79" s="12" t="n">
        <v>75.40000000000001</v>
      </c>
      <c r="Z79" s="13" t="n">
        <v>108.1</v>
      </c>
      <c r="AA79" s="10" t="n">
        <v>300</v>
      </c>
      <c r="AB79" s="11" t="n">
        <v>76.59999999999999</v>
      </c>
      <c r="AC79" s="12" t="n">
        <v>78.09999999999999</v>
      </c>
      <c r="AD79" s="13" t="n">
        <v>114</v>
      </c>
      <c r="AE79" s="14" t="n">
        <v>300</v>
      </c>
      <c r="AF79" s="11" t="n">
        <v>69.3</v>
      </c>
      <c r="AG79" s="12" t="n">
        <v>74.09999999999999</v>
      </c>
      <c r="AH79" s="13" t="n">
        <v>98.40000000000001</v>
      </c>
      <c r="AI79" s="10" t="n">
        <v>300</v>
      </c>
      <c r="AJ79" s="11" t="n">
        <v>73</v>
      </c>
      <c r="AK79" s="12" t="n">
        <v>75.7</v>
      </c>
      <c r="AL79" s="13" t="n">
        <v>99</v>
      </c>
      <c r="AM79" s="10" t="n">
        <v>300</v>
      </c>
      <c r="AN79" s="11" t="n">
        <v>68.7</v>
      </c>
      <c r="AO79" s="12" t="n">
        <v>73.7</v>
      </c>
      <c r="AP79" s="13" t="n">
        <v>94.7</v>
      </c>
      <c r="AQ79" s="6">
        <f>IF(AND((O79)&lt;85,N79&lt;137),"NO","SI")</f>
        <v/>
      </c>
      <c r="AR79" s="7">
        <f>IF((480*(10^(7.95-(O79/10))))&lt;480,480*(10^(7.95-(O79/10))),480)</f>
        <v/>
      </c>
      <c r="AS79" s="8">
        <f>IF((480*(10^(8.45-(O79/10))))&lt;480,480*(10^(8.45-(O79/10))),480)</f>
        <v/>
      </c>
      <c r="AT79" s="9">
        <f>IF((480*(10^(8.65-(O79/10))))&lt;480,480*(10^(8.65-(O79/10))),480)</f>
        <v/>
      </c>
      <c r="AU79" s="111">
        <f>IF(O79&lt;80,"0",IF((P79-O79)&lt;=2,('DPI art.191'!$G$3-(('DPI art.191'!$F$3-'DPI art.191'!$G$3)/4)*(P79-O79-2)),('DPI art.191'!$G$3-(('DPI art.191'!$G$3-'DPI art.191'!$H$3)/8)*(P79-O79-2))))</f>
        <v/>
      </c>
      <c r="AV79" s="24">
        <f>O79-AU79</f>
        <v/>
      </c>
      <c r="AW79" s="24">
        <f>IF(N79&lt;135,N79,N79-'DPI art.191'!$I$3)</f>
        <v/>
      </c>
      <c r="AX79" s="111">
        <f>IF(I79&lt;80,"0",IF((J79-I79)&lt;=2,('DPI art.191'!$G$7-(('DPI art.191'!$F$7-'DPI art.191'!$G$7)/4)*(I79-J79-2)),('DPI art.191'!$G$7-(('DPI art.191'!$G$7-'DPI art.191'!$H$7)/8)*(J79-I79-2))))</f>
        <v/>
      </c>
      <c r="AY79" s="24">
        <f>I79-AX79</f>
        <v/>
      </c>
      <c r="AZ79" s="24">
        <f>IF(H79&lt;135,H79,H79-'DPI art.191'!$I$7)</f>
        <v/>
      </c>
      <c r="BA79" s="111">
        <f>IF(O79&lt;80,"0",IF((P79-O79)&lt;=2,('DPI art.191'!$G$5-(('DPI art.191'!$F$5-'DPI art.191'!$G$5)/4)*(P79-O79-2)),('DPI art.191'!$G$5-(('DPI art.191'!$G$5-'DPI art.191'!$H$5)/8)*(P79-O79-2))))</f>
        <v/>
      </c>
      <c r="BB79" s="24">
        <f>R79-BA79</f>
        <v/>
      </c>
      <c r="BC79" s="24">
        <f>IF(N79&lt;135,N79,N79-'DPI art.191'!$I$5)</f>
        <v/>
      </c>
      <c r="BD79" s="111">
        <f>IF(O79&lt;80,"0",IF((P79-O79)&lt;=2,('DPI art.191'!$G$7-(('DPI art.191'!$F$7-'DPI art.191'!$G$7)/4)*(O79-P79-2)),('DPI art.191'!$G$7-(('DPI art.191'!$G$7-'DPI art.191'!$H$7)/8)*(P79-O79-2))))</f>
        <v/>
      </c>
      <c r="BE79" s="24">
        <f>O79-BD79</f>
        <v/>
      </c>
      <c r="BF79" s="24">
        <f>IF(N79&lt;135,N79,N79-'DPI art.191'!$I$7)</f>
        <v/>
      </c>
      <c r="BG79" s="108">
        <f>10^(0.1*R79)</f>
        <v/>
      </c>
      <c r="BH79" s="108">
        <f>10^(0.1*X79)</f>
        <v/>
      </c>
      <c r="BI79" s="108">
        <f>10^(0.1*AB79)</f>
        <v/>
      </c>
      <c r="BJ79" s="108">
        <f>10^(0.1*AF79)</f>
        <v/>
      </c>
      <c r="BK79" s="108">
        <f>10^(0.1*AJ79)</f>
        <v/>
      </c>
      <c r="BL79" s="108">
        <f>10^(0.1*AN79)</f>
        <v/>
      </c>
      <c r="BM79" s="106">
        <f>IF(R79&gt;0,(O79-R79),"")</f>
        <v/>
      </c>
      <c r="BN79" s="106">
        <f>IF(X79&gt;0,(O79-X79),"")</f>
        <v/>
      </c>
      <c r="BO79" s="106">
        <f>IF(AB79&gt;0,(O79-AB79),"")</f>
        <v/>
      </c>
      <c r="BP79" s="106">
        <f>IF(AF79&gt;0,(O79-AF79),"")</f>
        <v/>
      </c>
      <c r="BQ79" s="106">
        <f>IF(AJ79&gt;0,(O79-AJ79),"")</f>
        <v/>
      </c>
      <c r="BR79" s="106">
        <f>IF(AN79&gt;0,(O79-AN79),"")</f>
        <v/>
      </c>
      <c r="BS79" s="106">
        <f>COUNT(BM79:BR79)</f>
        <v/>
      </c>
      <c r="BT79" s="464">
        <f>IF(BS79=0,0,IF(BS79=1,0,1/(BS79*(BS79-1))))</f>
        <v/>
      </c>
      <c r="BU79" s="136">
        <f>IF(R79&gt;0,(BM79^2),"")</f>
        <v/>
      </c>
      <c r="BV79" s="136">
        <f>IF(X79&gt;0,(BN79^2),"")</f>
        <v/>
      </c>
      <c r="BW79" s="136">
        <f>IF(AB79&gt;0,(BO79^2),"")</f>
        <v/>
      </c>
      <c r="BX79" s="136">
        <f>IF(AF79&gt;0,(BP79^2),"")</f>
        <v/>
      </c>
      <c r="BY79" s="136">
        <f>IF(AJ79&gt;0,(BQ79^2),"")</f>
        <v/>
      </c>
      <c r="BZ79" s="136">
        <f>IF(AN79&gt;0,(BR79^2),"")</f>
        <v/>
      </c>
    </row>
    <row r="80" ht="18.75" customHeight="1" s="444">
      <c r="A80" s="340" t="inlineStr">
        <is>
          <t>/</t>
        </is>
      </c>
      <c r="B80" s="65" t="inlineStr">
        <is>
          <t>F18</t>
        </is>
      </c>
      <c r="C80" s="78" t="inlineStr">
        <is>
          <t>Autocarro</t>
        </is>
      </c>
      <c r="D80" s="83" t="n"/>
      <c r="E80" s="83" t="n"/>
      <c r="F80" s="192" t="inlineStr">
        <is>
          <t>Trasferimenti con autocarro</t>
        </is>
      </c>
      <c r="G80" s="71" t="n">
        <v>46003</v>
      </c>
      <c r="H80" s="77" t="inlineStr">
        <is>
          <t>Compito</t>
        </is>
      </c>
      <c r="I80" s="77">
        <f>IF((V80-R80)&gt;3,"SI","")</f>
        <v/>
      </c>
      <c r="J80" s="77" t="inlineStr">
        <is>
          <t>SI</t>
        </is>
      </c>
      <c r="K80" s="77" t="n"/>
      <c r="L80" s="77" t="n"/>
      <c r="M80" s="137">
        <f>IF(R80&gt;0,(SQRT(BT80*(SUM(BU80:BZ80)))),"")</f>
        <v/>
      </c>
      <c r="N80" s="4">
        <f>IF(T80&gt;0,(MAX(T80,Z80,AD80,AH80,AL80,AP80))+SQRT(1.2^2+1^2),"")</f>
        <v/>
      </c>
      <c r="O80" s="3">
        <f>IF(R80="",0,10*LOG10(SUM(BG80:BL80)/(COUNT(R80,X80,AB80,AF80,AJ80,AN80))))</f>
        <v/>
      </c>
      <c r="P80" s="5">
        <f>IF(AND(Y80="",AC80="",AG80="",AK80="",AO80=""),S80,AVERAGE(S80,Y80,AC80,AG80,AK80,AO80)+STDEV(S80,Y80,AC80,AG80,AK80,AO80))</f>
        <v/>
      </c>
      <c r="Q80" s="14" t="n">
        <v>300</v>
      </c>
      <c r="R80" s="11" t="n">
        <v>71</v>
      </c>
      <c r="S80" s="12" t="n">
        <v>94.5</v>
      </c>
      <c r="T80" s="13" t="n">
        <v>108.3</v>
      </c>
      <c r="U80" s="79" t="n"/>
      <c r="V80" s="79" t="n"/>
      <c r="W80" s="10" t="n">
        <v>300</v>
      </c>
      <c r="X80" s="11" t="n">
        <v>71.09999999999999</v>
      </c>
      <c r="Y80" s="12" t="n">
        <v>94.59999999999999</v>
      </c>
      <c r="Z80" s="13" t="n">
        <v>108.4</v>
      </c>
      <c r="AA80" s="10" t="n">
        <v>300</v>
      </c>
      <c r="AB80" s="11" t="n">
        <v>70.90000000000001</v>
      </c>
      <c r="AC80" s="12" t="n">
        <v>94.40000000000001</v>
      </c>
      <c r="AD80" s="13" t="n">
        <v>108.2</v>
      </c>
      <c r="AE80" s="14" t="n"/>
      <c r="AF80" s="11" t="n"/>
      <c r="AG80" s="12" t="n"/>
      <c r="AH80" s="13" t="n"/>
      <c r="AI80" s="10" t="n"/>
      <c r="AJ80" s="11" t="n"/>
      <c r="AK80" s="12" t="n"/>
      <c r="AL80" s="13" t="n"/>
      <c r="AM80" s="10" t="n"/>
      <c r="AN80" s="11" t="n"/>
      <c r="AO80" s="12" t="n"/>
      <c r="AP80" s="13" t="n"/>
      <c r="AQ80" s="6">
        <f>IF(AND((O80)&lt;85,N80&lt;137),"NO","SI")</f>
        <v/>
      </c>
      <c r="AR80" s="7">
        <f>IF((480*(10^(7.95-(O80/10))))&lt;480,480*(10^(7.95-(O80/10))),480)</f>
        <v/>
      </c>
      <c r="AS80" s="8">
        <f>IF((480*(10^(8.45-(O80/10))))&lt;480,480*(10^(8.45-(O80/10))),480)</f>
        <v/>
      </c>
      <c r="AT80" s="9">
        <f>IF((480*(10^(8.65-(O80/10))))&lt;480,480*(10^(8.65-(O80/10))),480)</f>
        <v/>
      </c>
      <c r="AU80" s="111">
        <f>IF(O80&lt;80,"0",IF((P80-O80)&lt;=2,('DPI art.191'!$G$3-(('DPI art.191'!$F$3-'DPI art.191'!$G$3)/4)*(P80-O80-2)),('DPI art.191'!$G$3-(('DPI art.191'!$G$3-'DPI art.191'!$H$3)/8)*(P80-O80-2))))</f>
        <v/>
      </c>
      <c r="AV80" s="24">
        <f>O80-AU80</f>
        <v/>
      </c>
      <c r="AW80" s="24">
        <f>IF(N80&lt;135,N80,N80-'DPI art.191'!$I$3)</f>
        <v/>
      </c>
      <c r="AX80" s="111">
        <f>IF(I80&lt;80,"0",IF((J80-I80)&lt;=2,('DPI art.191'!$G$7-(('DPI art.191'!$F$7-'DPI art.191'!$G$7)/4)*(I80-J80-2)),('DPI art.191'!$G$7-(('DPI art.191'!$G$7-'DPI art.191'!$H$7)/8)*(J80-I80-2))))</f>
        <v/>
      </c>
      <c r="AY80" s="24">
        <f>I80-AX80</f>
        <v/>
      </c>
      <c r="AZ80" s="24">
        <f>IF(H80&lt;135,H80,H80-'DPI art.191'!$I$7)</f>
        <v/>
      </c>
      <c r="BA80" s="111">
        <f>IF(O80&lt;80,"0",IF((P80-O80)&lt;=2,('DPI art.191'!$G$5-(('DPI art.191'!$F$5-'DPI art.191'!$G$5)/4)*(P80-O80-2)),('DPI art.191'!$G$5-(('DPI art.191'!$G$5-'DPI art.191'!$H$5)/8)*(P80-O80-2))))</f>
        <v/>
      </c>
      <c r="BB80" s="24">
        <f>R80-BA80</f>
        <v/>
      </c>
      <c r="BC80" s="24">
        <f>IF(N80&lt;135,N80,N80-'DPI art.191'!$I$5)</f>
        <v/>
      </c>
      <c r="BD80" s="111">
        <f>IF(O80&lt;80,"0",IF((P80-O80)&lt;=2,('DPI art.191'!$G$7-(('DPI art.191'!$F$7-'DPI art.191'!$G$7)/4)*(O80-P80-2)),('DPI art.191'!$G$7-(('DPI art.191'!$G$7-'DPI art.191'!$H$7)/8)*(P80-O80-2))))</f>
        <v/>
      </c>
      <c r="BE80" s="24">
        <f>O80-BD80</f>
        <v/>
      </c>
      <c r="BF80" s="24">
        <f>IF(N80&lt;135,N80,N80-'DPI art.191'!$I$7)</f>
        <v/>
      </c>
      <c r="BG80" s="108">
        <f>10^(0.1*R80)</f>
        <v/>
      </c>
      <c r="BH80" s="108">
        <f>10^(0.1*X80)</f>
        <v/>
      </c>
      <c r="BI80" s="108">
        <f>10^(0.1*AB80)</f>
        <v/>
      </c>
      <c r="BJ80" s="108">
        <f>10^(0.1*AF80)</f>
        <v/>
      </c>
      <c r="BK80" s="108">
        <f>10^(0.1*AJ80)</f>
        <v/>
      </c>
      <c r="BL80" s="108">
        <f>10^(0.1*AN80)</f>
        <v/>
      </c>
      <c r="BM80" s="106">
        <f>IF(R80&gt;0,(O80-R80),"")</f>
        <v/>
      </c>
      <c r="BN80" s="106">
        <f>IF(X80&gt;0,(O80-X80),"")</f>
        <v/>
      </c>
      <c r="BO80" s="106">
        <f>IF(AB80&gt;0,(O80-AB80),"")</f>
        <v/>
      </c>
      <c r="BP80" s="106">
        <f>IF(AF80&gt;0,(O80-AF80),"")</f>
        <v/>
      </c>
      <c r="BQ80" s="106">
        <f>IF(AJ80&gt;0,(O80-AJ80),"")</f>
        <v/>
      </c>
      <c r="BR80" s="106">
        <f>IF(AN80&gt;0,(O80-AN80),"")</f>
        <v/>
      </c>
      <c r="BS80" s="106">
        <f>COUNT(BM80:BR80)</f>
        <v/>
      </c>
      <c r="BT80" s="464">
        <f>IF(BS80=0,0,IF(BS80=1,0,1/(BS80*(BS80-1))))</f>
        <v/>
      </c>
      <c r="BU80" s="136">
        <f>IF(R80&gt;0,(BM80^2),"")</f>
        <v/>
      </c>
      <c r="BV80" s="136">
        <f>IF(X80&gt;0,(BN80^2),"")</f>
        <v/>
      </c>
      <c r="BW80" s="136">
        <f>IF(AB80&gt;0,(BO80^2),"")</f>
        <v/>
      </c>
      <c r="BX80" s="136">
        <f>IF(AF80&gt;0,(BP80^2),"")</f>
        <v/>
      </c>
      <c r="BY80" s="136">
        <f>IF(AJ80&gt;0,(BQ80^2),"")</f>
        <v/>
      </c>
      <c r="BZ80" s="136">
        <f>IF(AN80&gt;0,(BR80^2),"")</f>
        <v/>
      </c>
    </row>
    <row r="81" ht="18.75" customHeight="1" s="444">
      <c r="A81" s="340" t="inlineStr">
        <is>
          <t>016/1071</t>
        </is>
      </c>
      <c r="B81" s="65" t="inlineStr">
        <is>
          <t>W21</t>
        </is>
      </c>
      <c r="C81" s="78" t="inlineStr">
        <is>
          <t>Mola grande</t>
        </is>
      </c>
      <c r="D81" s="83" t="inlineStr">
        <is>
          <t>Bosch</t>
        </is>
      </c>
      <c r="E81" s="83" t="inlineStr">
        <is>
          <t>gws 22-230 J</t>
        </is>
      </c>
      <c r="F81" s="78" t="inlineStr">
        <is>
          <t>Molatura con mola grande sgrosso</t>
        </is>
      </c>
      <c r="G81" s="71" t="n">
        <v>46003</v>
      </c>
      <c r="H81" s="77" t="inlineStr">
        <is>
          <t>Compito</t>
        </is>
      </c>
      <c r="I81" s="77">
        <f>IF((V81-R81)&gt;3,"SI","")</f>
        <v/>
      </c>
      <c r="J81" s="77" t="inlineStr">
        <is>
          <t>SI</t>
        </is>
      </c>
      <c r="K81" s="77" t="n"/>
      <c r="L81" s="77" t="n"/>
      <c r="M81" s="137">
        <f>IF(R81&gt;0,(SQRT(BT81*(SUM(BU81:BZ81)))),"")</f>
        <v/>
      </c>
      <c r="N81" s="4">
        <f>IF(T81&gt;0,(MAX(T81,Z81,AD81,AH81,AL81,AP81))+SQRT(1.2^2+1^2),"")</f>
        <v/>
      </c>
      <c r="O81" s="3">
        <f>IF(R81="",0,10*LOG10(SUM(BG81:BL81)/(COUNT(R81,X81,AB81,AF81,AJ81,AN81))))</f>
        <v/>
      </c>
      <c r="P81" s="5">
        <f>IF(AND(Y81="",AC81="",AG81="",AK81="",AO81=""),S81,AVERAGE(S81,Y81,AC81,AG81,AK81,AO81)+STDEV(S81,Y81,AC81,AG81,AK81,AO81))</f>
        <v/>
      </c>
      <c r="Q81" s="14" t="n">
        <v>300</v>
      </c>
      <c r="R81" s="11" t="n">
        <v>103.7</v>
      </c>
      <c r="S81" s="12" t="n">
        <v>102.8</v>
      </c>
      <c r="T81" s="13" t="n">
        <v>119.5</v>
      </c>
      <c r="U81" s="79" t="n"/>
      <c r="V81" s="79" t="n"/>
      <c r="W81" s="10" t="n">
        <v>300</v>
      </c>
      <c r="X81" s="11" t="n">
        <v>106.3</v>
      </c>
      <c r="Y81" s="12" t="n">
        <v>106</v>
      </c>
      <c r="Z81" s="13" t="n">
        <v>123.6</v>
      </c>
      <c r="AA81" s="10" t="n">
        <v>300</v>
      </c>
      <c r="AB81" s="11" t="n">
        <v>104.6</v>
      </c>
      <c r="AC81" s="12" t="n">
        <v>104</v>
      </c>
      <c r="AD81" s="13" t="n">
        <v>121</v>
      </c>
      <c r="AE81" s="14" t="n">
        <v>300</v>
      </c>
      <c r="AF81" s="11" t="n">
        <v>102.5</v>
      </c>
      <c r="AG81" s="12" t="n">
        <v>101.9</v>
      </c>
      <c r="AH81" s="13" t="n">
        <v>120.2</v>
      </c>
      <c r="AI81" s="10" t="n">
        <v>300</v>
      </c>
      <c r="AJ81" s="11" t="n">
        <v>105.2</v>
      </c>
      <c r="AK81" s="12" t="n">
        <v>104.6</v>
      </c>
      <c r="AL81" s="13" t="n">
        <v>121.8</v>
      </c>
      <c r="AM81" s="10" t="n">
        <v>300</v>
      </c>
      <c r="AN81" s="11" t="n">
        <v>103.9</v>
      </c>
      <c r="AO81" s="12" t="n">
        <v>103.4</v>
      </c>
      <c r="AP81" s="13" t="n">
        <v>120.2</v>
      </c>
      <c r="AQ81" s="6">
        <f>IF(AND((O81)&lt;85,N81&lt;137),"NO","SI")</f>
        <v/>
      </c>
      <c r="AR81" s="7">
        <f>IF((480*(10^(7.95-(O81/10))))&lt;480,480*(10^(7.95-(O81/10))),480)</f>
        <v/>
      </c>
      <c r="AS81" s="8">
        <f>IF((480*(10^(8.45-(O81/10))))&lt;480,480*(10^(8.45-(O81/10))),480)</f>
        <v/>
      </c>
      <c r="AT81" s="9">
        <f>IF((480*(10^(8.65-(O81/10))))&lt;480,480*(10^(8.65-(O81/10))),480)</f>
        <v/>
      </c>
      <c r="AU81" s="111">
        <f>IF(O81&lt;80,"0",IF((P81-O81)&lt;=2,('DPI art.191'!$G$3-(('DPI art.191'!$F$3-'DPI art.191'!$G$3)/4)*(P81-O81-2)),('DPI art.191'!$G$3-(('DPI art.191'!$G$3-'DPI art.191'!$H$3)/8)*(P81-O81-2))))</f>
        <v/>
      </c>
      <c r="AV81" s="24">
        <f>O81-AU81</f>
        <v/>
      </c>
      <c r="AW81" s="24">
        <f>IF(N81&lt;135,N81,N81-'DPI art.191'!$I$3)</f>
        <v/>
      </c>
      <c r="AX81" s="111">
        <f>IF(I81&lt;80,"0",IF((J81-I81)&lt;=2,('DPI art.191'!$G$7-(('DPI art.191'!$F$7-'DPI art.191'!$G$7)/4)*(I81-J81-2)),('DPI art.191'!$G$7-(('DPI art.191'!$G$7-'DPI art.191'!$H$7)/8)*(J81-I81-2))))</f>
        <v/>
      </c>
      <c r="AY81" s="24">
        <f>I81-AX81</f>
        <v/>
      </c>
      <c r="AZ81" s="24">
        <f>IF(H81&lt;135,H81,H81-'DPI art.191'!$I$7)</f>
        <v/>
      </c>
      <c r="BA81" s="111">
        <f>IF(O81&lt;80,"0",IF((P81-O81)&lt;=2,('DPI art.191'!$G$5-(('DPI art.191'!$F$5-'DPI art.191'!$G$5)/4)*(P81-O81-2)),('DPI art.191'!$G$5-(('DPI art.191'!$G$5-'DPI art.191'!$H$5)/8)*(P81-O81-2))))</f>
        <v/>
      </c>
      <c r="BB81" s="24">
        <f>R81-BA81</f>
        <v/>
      </c>
      <c r="BC81" s="24">
        <f>IF(N81&lt;135,N81,N81-'DPI art.191'!$I$5)</f>
        <v/>
      </c>
      <c r="BD81" s="111">
        <f>IF(O81&lt;80,"0",IF((P81-O81)&lt;=2,('DPI art.191'!$G$7-(('DPI art.191'!$F$7-'DPI art.191'!$G$7)/4)*(O81-P81-2)),('DPI art.191'!$G$7-(('DPI art.191'!$G$7-'DPI art.191'!$H$7)/8)*(P81-O81-2))))</f>
        <v/>
      </c>
      <c r="BE81" s="24">
        <f>O81-BD81</f>
        <v/>
      </c>
      <c r="BF81" s="24">
        <f>IF(N81&lt;135,N81,N81-'DPI art.191'!$I$7)</f>
        <v/>
      </c>
      <c r="BG81" s="108">
        <f>10^(0.1*R81)</f>
        <v/>
      </c>
      <c r="BH81" s="108">
        <f>10^(0.1*X81)</f>
        <v/>
      </c>
      <c r="BI81" s="108">
        <f>10^(0.1*AB81)</f>
        <v/>
      </c>
      <c r="BJ81" s="108">
        <f>10^(0.1*AF81)</f>
        <v/>
      </c>
      <c r="BK81" s="108">
        <f>10^(0.1*AJ81)</f>
        <v/>
      </c>
      <c r="BL81" s="108">
        <f>10^(0.1*AN81)</f>
        <v/>
      </c>
      <c r="BM81" s="106">
        <f>IF(R81&gt;0,(O81-R81),"")</f>
        <v/>
      </c>
      <c r="BN81" s="106">
        <f>IF(X81&gt;0,(O81-X81),"")</f>
        <v/>
      </c>
      <c r="BO81" s="106">
        <f>IF(AB81&gt;0,(O81-AB81),"")</f>
        <v/>
      </c>
      <c r="BP81" s="106">
        <f>IF(AF81&gt;0,(O81-AF81),"")</f>
        <v/>
      </c>
      <c r="BQ81" s="106">
        <f>IF(AJ81&gt;0,(O81-AJ81),"")</f>
        <v/>
      </c>
      <c r="BR81" s="106">
        <f>IF(AN81&gt;0,(O81-AN81),"")</f>
        <v/>
      </c>
      <c r="BS81" s="106">
        <f>COUNT(BM81:BR81)</f>
        <v/>
      </c>
      <c r="BT81" s="464">
        <f>IF(BS81=0,0,IF(BS81=1,0,1/(BS81*(BS81-1))))</f>
        <v/>
      </c>
      <c r="BU81" s="136">
        <f>IF(R81&gt;0,(BM81^2),"")</f>
        <v/>
      </c>
      <c r="BV81" s="136">
        <f>IF(X81&gt;0,(BN81^2),"")</f>
        <v/>
      </c>
      <c r="BW81" s="136">
        <f>IF(AB81&gt;0,(BO81^2),"")</f>
        <v/>
      </c>
      <c r="BX81" s="136">
        <f>IF(AF81&gt;0,(BP81^2),"")</f>
        <v/>
      </c>
      <c r="BY81" s="136">
        <f>IF(AJ81&gt;0,(BQ81^2),"")</f>
        <v/>
      </c>
      <c r="BZ81" s="136">
        <f>IF(AN81&gt;0,(BR81^2),"")</f>
        <v/>
      </c>
    </row>
    <row r="82" ht="18.75" customHeight="1" s="444">
      <c r="A82" s="340" t="inlineStr">
        <is>
          <t>016/1071</t>
        </is>
      </c>
      <c r="B82" s="65" t="inlineStr">
        <is>
          <t>W22</t>
        </is>
      </c>
      <c r="C82" s="78" t="inlineStr">
        <is>
          <t>Mola grande</t>
        </is>
      </c>
      <c r="D82" s="83" t="inlineStr">
        <is>
          <t>Bosch</t>
        </is>
      </c>
      <c r="E82" s="83" t="inlineStr">
        <is>
          <t>gws 22-230 J</t>
        </is>
      </c>
      <c r="F82" s="78" t="inlineStr">
        <is>
          <t>Taglio  con mola grande</t>
        </is>
      </c>
      <c r="G82" s="71" t="n">
        <v>46003</v>
      </c>
      <c r="H82" s="77" t="inlineStr">
        <is>
          <t>Compito</t>
        </is>
      </c>
      <c r="I82" s="77">
        <f>IF((V82-R82)&gt;3,"SI","")</f>
        <v/>
      </c>
      <c r="J82" s="77" t="inlineStr">
        <is>
          <t>SI</t>
        </is>
      </c>
      <c r="K82" s="77" t="n"/>
      <c r="L82" s="77" t="n"/>
      <c r="M82" s="137">
        <f>IF(R82&gt;0,(SQRT(BT82*(SUM(BU82:BZ82)))),"")</f>
        <v/>
      </c>
      <c r="N82" s="4">
        <f>IF(T82&gt;0,(MAX(T82,Z82,AD82,AH82,AL82,AP82))+SQRT(1.2^2+1^2),"")</f>
        <v/>
      </c>
      <c r="O82" s="3">
        <f>IF(R82="",0,10*LOG10(SUM(BG82:BL82)/(COUNT(R82,X82,AB82,AF82,AJ82,AN82))))</f>
        <v/>
      </c>
      <c r="P82" s="5">
        <f>IF(AND(Y82="",AC82="",AG82="",AK82="",AO82=""),S82,AVERAGE(S82,Y82,AC82,AG82,AK82,AO82)+STDEV(S82,Y82,AC82,AG82,AK82,AO82))</f>
        <v/>
      </c>
      <c r="Q82" s="14" t="n">
        <v>300</v>
      </c>
      <c r="R82" s="11" t="n">
        <v>99.8</v>
      </c>
      <c r="S82" s="12" t="n">
        <v>98.8</v>
      </c>
      <c r="T82" s="13" t="n">
        <v>118.3</v>
      </c>
      <c r="U82" s="79" t="n"/>
      <c r="V82" s="79" t="n"/>
      <c r="W82" s="10" t="n">
        <v>300</v>
      </c>
      <c r="X82" s="11" t="n">
        <v>99.5</v>
      </c>
      <c r="Y82" s="12" t="n">
        <v>98.5</v>
      </c>
      <c r="Z82" s="13" t="n">
        <v>114.6</v>
      </c>
      <c r="AA82" s="10" t="n">
        <v>300</v>
      </c>
      <c r="AB82" s="11" t="n">
        <v>99.8</v>
      </c>
      <c r="AC82" s="12" t="n">
        <v>98.8</v>
      </c>
      <c r="AD82" s="13" t="n">
        <v>117</v>
      </c>
      <c r="AE82" s="14" t="n">
        <v>300</v>
      </c>
      <c r="AF82" s="11" t="n">
        <v>100.9</v>
      </c>
      <c r="AG82" s="12" t="n">
        <v>100.3</v>
      </c>
      <c r="AH82" s="13" t="n">
        <v>118.5</v>
      </c>
      <c r="AI82" s="10" t="n">
        <v>300</v>
      </c>
      <c r="AJ82" s="11" t="n">
        <v>99.7</v>
      </c>
      <c r="AK82" s="12" t="n">
        <v>98.8</v>
      </c>
      <c r="AL82" s="13" t="n">
        <v>117.8</v>
      </c>
      <c r="AM82" s="10" t="n">
        <v>300</v>
      </c>
      <c r="AN82" s="11" t="n">
        <v>102.8</v>
      </c>
      <c r="AO82" s="12" t="n">
        <v>101.9</v>
      </c>
      <c r="AP82" s="13" t="n">
        <v>119.2</v>
      </c>
      <c r="AQ82" s="6">
        <f>IF(AND((O82)&lt;85,N82&lt;137),"NO","SI")</f>
        <v/>
      </c>
      <c r="AR82" s="7">
        <f>IF((480*(10^(7.95-(O82/10))))&lt;480,480*(10^(7.95-(O82/10))),480)</f>
        <v/>
      </c>
      <c r="AS82" s="8">
        <f>IF((480*(10^(8.45-(O82/10))))&lt;480,480*(10^(8.45-(O82/10))),480)</f>
        <v/>
      </c>
      <c r="AT82" s="9">
        <f>IF((480*(10^(8.65-(O82/10))))&lt;480,480*(10^(8.65-(O82/10))),480)</f>
        <v/>
      </c>
      <c r="AU82" s="111">
        <f>IF(O82&lt;80,"0",IF((P82-O82)&lt;=2,('DPI art.191'!$G$3-(('DPI art.191'!$F$3-'DPI art.191'!$G$3)/4)*(P82-O82-2)),('DPI art.191'!$G$3-(('DPI art.191'!$G$3-'DPI art.191'!$H$3)/8)*(P82-O82-2))))</f>
        <v/>
      </c>
      <c r="AV82" s="24">
        <f>O82-AU82</f>
        <v/>
      </c>
      <c r="AW82" s="24">
        <f>IF(N82&lt;135,N82,N82-'DPI art.191'!$I$3)</f>
        <v/>
      </c>
      <c r="AX82" s="111">
        <f>IF(I82&lt;80,"0",IF((J82-I82)&lt;=2,('DPI art.191'!$G$7-(('DPI art.191'!$F$7-'DPI art.191'!$G$7)/4)*(I82-J82-2)),('DPI art.191'!$G$7-(('DPI art.191'!$G$7-'DPI art.191'!$H$7)/8)*(J82-I82-2))))</f>
        <v/>
      </c>
      <c r="AY82" s="24">
        <f>I82-AX82</f>
        <v/>
      </c>
      <c r="AZ82" s="24">
        <f>IF(H82&lt;135,H82,H82-'DPI art.191'!$I$7)</f>
        <v/>
      </c>
      <c r="BA82" s="111">
        <f>IF(O82&lt;80,"0",IF((P82-O82)&lt;=2,('DPI art.191'!$G$5-(('DPI art.191'!$F$5-'DPI art.191'!$G$5)/4)*(P82-O82-2)),('DPI art.191'!$G$5-(('DPI art.191'!$G$5-'DPI art.191'!$H$5)/8)*(P82-O82-2))))</f>
        <v/>
      </c>
      <c r="BB82" s="24">
        <f>R82-BA82</f>
        <v/>
      </c>
      <c r="BC82" s="24">
        <f>IF(N82&lt;135,N82,N82-'DPI art.191'!$I$5)</f>
        <v/>
      </c>
      <c r="BD82" s="111">
        <f>IF(O82&lt;80,"0",IF((P82-O82)&lt;=2,('DPI art.191'!$G$7-(('DPI art.191'!$F$7-'DPI art.191'!$G$7)/4)*(O82-P82-2)),('DPI art.191'!$G$7-(('DPI art.191'!$G$7-'DPI art.191'!$H$7)/8)*(P82-O82-2))))</f>
        <v/>
      </c>
      <c r="BE82" s="24">
        <f>O82-BD82</f>
        <v/>
      </c>
      <c r="BF82" s="24">
        <f>IF(N82&lt;135,N82,N82-'DPI art.191'!$I$7)</f>
        <v/>
      </c>
      <c r="BG82" s="108">
        <f>10^(0.1*R82)</f>
        <v/>
      </c>
      <c r="BH82" s="108">
        <f>10^(0.1*X82)</f>
        <v/>
      </c>
      <c r="BI82" s="108">
        <f>10^(0.1*AB82)</f>
        <v/>
      </c>
      <c r="BJ82" s="108">
        <f>10^(0.1*AF82)</f>
        <v/>
      </c>
      <c r="BK82" s="108">
        <f>10^(0.1*AJ82)</f>
        <v/>
      </c>
      <c r="BL82" s="108">
        <f>10^(0.1*AN82)</f>
        <v/>
      </c>
      <c r="BM82" s="106">
        <f>IF(R82&gt;0,(O82-R82),"")</f>
        <v/>
      </c>
      <c r="BN82" s="106">
        <f>IF(X82&gt;0,(O82-X82),"")</f>
        <v/>
      </c>
      <c r="BO82" s="106">
        <f>IF(AB82&gt;0,(O82-AB82),"")</f>
        <v/>
      </c>
      <c r="BP82" s="106">
        <f>IF(AF82&gt;0,(O82-AF82),"")</f>
        <v/>
      </c>
      <c r="BQ82" s="106">
        <f>IF(AJ82&gt;0,(O82-AJ82),"")</f>
        <v/>
      </c>
      <c r="BR82" s="106">
        <f>IF(AN82&gt;0,(O82-AN82),"")</f>
        <v/>
      </c>
      <c r="BS82" s="106">
        <f>COUNT(BM82:BR82)</f>
        <v/>
      </c>
      <c r="BT82" s="464">
        <f>IF(BS82=0,0,IF(BS82=1,0,1/(BS82*(BS82-1))))</f>
        <v/>
      </c>
      <c r="BU82" s="136">
        <f>IF(R82&gt;0,(BM82^2),"")</f>
        <v/>
      </c>
      <c r="BV82" s="136">
        <f>IF(X82&gt;0,(BN82^2),"")</f>
        <v/>
      </c>
      <c r="BW82" s="136">
        <f>IF(AB82&gt;0,(BO82^2),"")</f>
        <v/>
      </c>
      <c r="BX82" s="136">
        <f>IF(AF82&gt;0,(BP82^2),"")</f>
        <v/>
      </c>
      <c r="BY82" s="136">
        <f>IF(AJ82&gt;0,(BQ82^2),"")</f>
        <v/>
      </c>
      <c r="BZ82" s="136">
        <f>IF(AN82&gt;0,(BR82^2),"")</f>
        <v/>
      </c>
    </row>
    <row r="83" ht="18.75" customHeight="1" s="444">
      <c r="A83" s="340" t="inlineStr">
        <is>
          <t>016/1071</t>
        </is>
      </c>
      <c r="B83" s="65" t="inlineStr">
        <is>
          <t>W23</t>
        </is>
      </c>
      <c r="C83" s="78" t="inlineStr">
        <is>
          <t>Mola grande</t>
        </is>
      </c>
      <c r="D83" s="83" t="inlineStr">
        <is>
          <t>Bosch</t>
        </is>
      </c>
      <c r="E83" s="83" t="inlineStr">
        <is>
          <t>gws 22-230 J</t>
        </is>
      </c>
      <c r="F83" s="78" t="inlineStr">
        <is>
          <t>Lucidatura grossa con mola grande</t>
        </is>
      </c>
      <c r="G83" s="71" t="n">
        <v>46003</v>
      </c>
      <c r="H83" s="77" t="inlineStr">
        <is>
          <t>Compito</t>
        </is>
      </c>
      <c r="I83" s="77">
        <f>IF((V83-R83)&gt;3,"SI","")</f>
        <v/>
      </c>
      <c r="J83" s="77" t="inlineStr">
        <is>
          <t>SI</t>
        </is>
      </c>
      <c r="K83" s="77" t="n"/>
      <c r="L83" s="77" t="n"/>
      <c r="M83" s="137">
        <f>IF(R83&gt;0,(SQRT(BT83*(SUM(BU83:BZ83)))),"")</f>
        <v/>
      </c>
      <c r="N83" s="4">
        <f>IF(T83&gt;0,(MAX(T83,Z83,AD83,AH83,AL83,AP83))+SQRT(1.2^2+1^2),"")</f>
        <v/>
      </c>
      <c r="O83" s="3">
        <f>IF(R83="",0,10*LOG10(SUM(BG83:BL83)/(COUNT(R83,X83,AB83,AF83,AJ83,AN83))))</f>
        <v/>
      </c>
      <c r="P83" s="5">
        <f>IF(AND(Y83="",AC83="",AG83="",AK83="",AO83=""),S83,AVERAGE(S83,Y83,AC83,AG83,AK83,AO83)+STDEV(S83,Y83,AC83,AG83,AK83,AO83))</f>
        <v/>
      </c>
      <c r="Q83" s="14" t="n">
        <v>300</v>
      </c>
      <c r="R83" s="11" t="n">
        <v>99.3</v>
      </c>
      <c r="S83" s="12" t="n">
        <v>98.2</v>
      </c>
      <c r="T83" s="13" t="n">
        <v>115.7</v>
      </c>
      <c r="U83" s="79" t="n"/>
      <c r="V83" s="79" t="n"/>
      <c r="W83" s="10" t="n">
        <v>300</v>
      </c>
      <c r="X83" s="11" t="n">
        <v>98.09999999999999</v>
      </c>
      <c r="Y83" s="12" t="n">
        <v>97.59999999999999</v>
      </c>
      <c r="Z83" s="13" t="n">
        <v>114.5</v>
      </c>
      <c r="AA83" s="10" t="n">
        <v>300</v>
      </c>
      <c r="AB83" s="11" t="n">
        <v>97.59999999999999</v>
      </c>
      <c r="AC83" s="12" t="n">
        <v>96.59999999999999</v>
      </c>
      <c r="AD83" s="13" t="n">
        <v>114.4</v>
      </c>
      <c r="AE83" s="14" t="n">
        <v>300</v>
      </c>
      <c r="AF83" s="11" t="n">
        <v>97.8</v>
      </c>
      <c r="AG83" s="12" t="n">
        <v>96.8</v>
      </c>
      <c r="AH83" s="13" t="n">
        <v>116.1</v>
      </c>
      <c r="AI83" s="10" t="n">
        <v>300</v>
      </c>
      <c r="AJ83" s="11" t="n">
        <v>102.2</v>
      </c>
      <c r="AK83" s="12" t="n">
        <v>100.9</v>
      </c>
      <c r="AL83" s="13" t="n">
        <v>120.6</v>
      </c>
      <c r="AM83" s="10" t="n">
        <v>300</v>
      </c>
      <c r="AN83" s="11" t="n">
        <v>98.90000000000001</v>
      </c>
      <c r="AO83" s="12" t="n">
        <v>98</v>
      </c>
      <c r="AP83" s="13" t="n">
        <v>118.1</v>
      </c>
      <c r="AQ83" s="6">
        <f>IF(AND((O83)&lt;85,N83&lt;137),"NO","SI")</f>
        <v/>
      </c>
      <c r="AR83" s="7">
        <f>IF((480*(10^(7.95-(O83/10))))&lt;480,480*(10^(7.95-(O83/10))),480)</f>
        <v/>
      </c>
      <c r="AS83" s="8">
        <f>IF((480*(10^(8.45-(O83/10))))&lt;480,480*(10^(8.45-(O83/10))),480)</f>
        <v/>
      </c>
      <c r="AT83" s="9">
        <f>IF((480*(10^(8.65-(O83/10))))&lt;480,480*(10^(8.65-(O83/10))),480)</f>
        <v/>
      </c>
      <c r="AU83" s="111">
        <f>IF(O83&lt;80,"0",IF((P83-O83)&lt;=2,('DPI art.191'!$G$3-(('DPI art.191'!$F$3-'DPI art.191'!$G$3)/4)*(P83-O83-2)),('DPI art.191'!$G$3-(('DPI art.191'!$G$3-'DPI art.191'!$H$3)/8)*(P83-O83-2))))</f>
        <v/>
      </c>
      <c r="AV83" s="24">
        <f>O83-AU83</f>
        <v/>
      </c>
      <c r="AW83" s="24">
        <f>IF(N83&lt;135,N83,N83-'DPI art.191'!$I$3)</f>
        <v/>
      </c>
      <c r="AX83" s="111">
        <f>IF(I83&lt;80,"0",IF((J83-I83)&lt;=2,('DPI art.191'!$G$7-(('DPI art.191'!$F$7-'DPI art.191'!$G$7)/4)*(I83-J83-2)),('DPI art.191'!$G$7-(('DPI art.191'!$G$7-'DPI art.191'!$H$7)/8)*(J83-I83-2))))</f>
        <v/>
      </c>
      <c r="AY83" s="24">
        <f>I83-AX83</f>
        <v/>
      </c>
      <c r="AZ83" s="24">
        <f>IF(H83&lt;135,H83,H83-'DPI art.191'!$I$7)</f>
        <v/>
      </c>
      <c r="BA83" s="111">
        <f>IF(O83&lt;80,"0",IF((P83-O83)&lt;=2,('DPI art.191'!$G$5-(('DPI art.191'!$F$5-'DPI art.191'!$G$5)/4)*(P83-O83-2)),('DPI art.191'!$G$5-(('DPI art.191'!$G$5-'DPI art.191'!$H$5)/8)*(P83-O83-2))))</f>
        <v/>
      </c>
      <c r="BB83" s="24">
        <f>R83-BA83</f>
        <v/>
      </c>
      <c r="BC83" s="24">
        <f>IF(N83&lt;135,N83,N83-'DPI art.191'!$I$5)</f>
        <v/>
      </c>
      <c r="BD83" s="111">
        <f>IF(O83&lt;80,"0",IF((P83-O83)&lt;=2,('DPI art.191'!$G$7-(('DPI art.191'!$F$7-'DPI art.191'!$G$7)/4)*(O83-P83-2)),('DPI art.191'!$G$7-(('DPI art.191'!$G$7-'DPI art.191'!$H$7)/8)*(P83-O83-2))))</f>
        <v/>
      </c>
      <c r="BE83" s="24">
        <f>O83-BD83</f>
        <v/>
      </c>
      <c r="BF83" s="24">
        <f>IF(N83&lt;135,N83,N83-'DPI art.191'!$I$7)</f>
        <v/>
      </c>
      <c r="BG83" s="108">
        <f>10^(0.1*R83)</f>
        <v/>
      </c>
      <c r="BH83" s="108">
        <f>10^(0.1*X83)</f>
        <v/>
      </c>
      <c r="BI83" s="108">
        <f>10^(0.1*AB83)</f>
        <v/>
      </c>
      <c r="BJ83" s="108">
        <f>10^(0.1*AF83)</f>
        <v/>
      </c>
      <c r="BK83" s="108">
        <f>10^(0.1*AJ83)</f>
        <v/>
      </c>
      <c r="BL83" s="108">
        <f>10^(0.1*AN83)</f>
        <v/>
      </c>
      <c r="BM83" s="106">
        <f>IF(R83&gt;0,(O83-R83),"")</f>
        <v/>
      </c>
      <c r="BN83" s="106">
        <f>IF(X83&gt;0,(O83-X83),"")</f>
        <v/>
      </c>
      <c r="BO83" s="106">
        <f>IF(AB83&gt;0,(O83-AB83),"")</f>
        <v/>
      </c>
      <c r="BP83" s="106">
        <f>IF(AF83&gt;0,(O83-AF83),"")</f>
        <v/>
      </c>
      <c r="BQ83" s="106">
        <f>IF(AJ83&gt;0,(O83-AJ83),"")</f>
        <v/>
      </c>
      <c r="BR83" s="106">
        <f>IF(AN83&gt;0,(O83-AN83),"")</f>
        <v/>
      </c>
      <c r="BS83" s="106">
        <f>COUNT(BM83:BR83)</f>
        <v/>
      </c>
      <c r="BT83" s="464">
        <f>IF(BS83=0,0,IF(BS83=1,0,1/(BS83*(BS83-1))))</f>
        <v/>
      </c>
      <c r="BU83" s="136">
        <f>IF(R83&gt;0,(BM83^2),"")</f>
        <v/>
      </c>
      <c r="BV83" s="136">
        <f>IF(X83&gt;0,(BN83^2),"")</f>
        <v/>
      </c>
      <c r="BW83" s="136">
        <f>IF(AB83&gt;0,(BO83^2),"")</f>
        <v/>
      </c>
      <c r="BX83" s="136">
        <f>IF(AF83&gt;0,(BP83^2),"")</f>
        <v/>
      </c>
      <c r="BY83" s="136">
        <f>IF(AJ83&gt;0,(BQ83^2),"")</f>
        <v/>
      </c>
      <c r="BZ83" s="136">
        <f>IF(AN83&gt;0,(BR83^2),"")</f>
        <v/>
      </c>
    </row>
    <row r="84" ht="18.75" customHeight="1" s="444">
      <c r="A84" s="340" t="inlineStr">
        <is>
          <t>016/1071</t>
        </is>
      </c>
      <c r="B84" s="65" t="inlineStr">
        <is>
          <t>W24</t>
        </is>
      </c>
      <c r="C84" s="78" t="inlineStr">
        <is>
          <t>Mola grande</t>
        </is>
      </c>
      <c r="D84" s="83" t="inlineStr">
        <is>
          <t>Bosch</t>
        </is>
      </c>
      <c r="E84" s="83" t="inlineStr">
        <is>
          <t>gws 22-230 J</t>
        </is>
      </c>
      <c r="F84" s="78" t="inlineStr">
        <is>
          <t>Lucidatura sottile con mola grande</t>
        </is>
      </c>
      <c r="G84" s="71" t="n">
        <v>46003</v>
      </c>
      <c r="H84" s="77" t="inlineStr">
        <is>
          <t>Compito</t>
        </is>
      </c>
      <c r="I84" s="77">
        <f>IF((V84-R84)&gt;3,"SI","")</f>
        <v/>
      </c>
      <c r="J84" s="77" t="inlineStr">
        <is>
          <t>SI</t>
        </is>
      </c>
      <c r="K84" s="77" t="n"/>
      <c r="L84" s="77" t="n"/>
      <c r="M84" s="137">
        <f>IF(R84&gt;0,(SQRT(BT84*(SUM(BU84:BZ84)))),"")</f>
        <v/>
      </c>
      <c r="N84" s="4">
        <f>IF(T84&gt;0,(MAX(T84,Z84,AD84,AH84,AL84,AP84))+SQRT(1.2^2+1^2),"")</f>
        <v/>
      </c>
      <c r="O84" s="3">
        <f>IF(R84="",0,10*LOG10(SUM(BG84:BL84)/(COUNT(R84,X84,AB84,AF84,AJ84,AN84))))</f>
        <v/>
      </c>
      <c r="P84" s="5">
        <f>IF(AND(Y84="",AC84="",AG84="",AK84="",AO84=""),S84,AVERAGE(S84,Y84,AC84,AG84,AK84,AO84)+STDEV(S84,Y84,AC84,AG84,AK84,AO84))</f>
        <v/>
      </c>
      <c r="Q84" s="14" t="n">
        <v>300</v>
      </c>
      <c r="R84" s="11" t="n">
        <v>93.5</v>
      </c>
      <c r="S84" s="12" t="n">
        <v>92.59999999999999</v>
      </c>
      <c r="T84" s="13" t="n">
        <v>112.3</v>
      </c>
      <c r="U84" s="79" t="n"/>
      <c r="V84" s="79" t="n"/>
      <c r="W84" s="10" t="n">
        <v>300</v>
      </c>
      <c r="X84" s="11" t="n">
        <v>93.2</v>
      </c>
      <c r="Y84" s="12" t="n">
        <v>92.5</v>
      </c>
      <c r="Z84" s="13" t="n">
        <v>112.8</v>
      </c>
      <c r="AA84" s="10" t="n">
        <v>300</v>
      </c>
      <c r="AB84" s="11" t="n">
        <v>95.3</v>
      </c>
      <c r="AC84" s="12" t="n">
        <v>94.40000000000001</v>
      </c>
      <c r="AD84" s="13" t="n">
        <v>113.2</v>
      </c>
      <c r="AE84" s="14" t="n">
        <v>300</v>
      </c>
      <c r="AF84" s="11" t="n">
        <v>93.40000000000001</v>
      </c>
      <c r="AG84" s="12" t="n">
        <v>92.8</v>
      </c>
      <c r="AH84" s="13" t="n">
        <v>118.8</v>
      </c>
      <c r="AI84" s="10" t="n">
        <v>300</v>
      </c>
      <c r="AJ84" s="11" t="n">
        <v>91.7</v>
      </c>
      <c r="AK84" s="12" t="n">
        <v>91</v>
      </c>
      <c r="AL84" s="13" t="n">
        <v>109.5</v>
      </c>
      <c r="AM84" s="10" t="n">
        <v>300</v>
      </c>
      <c r="AN84" s="11" t="n">
        <v>95.90000000000001</v>
      </c>
      <c r="AO84" s="12" t="n">
        <v>94.7</v>
      </c>
      <c r="AP84" s="13" t="n">
        <v>111.1</v>
      </c>
      <c r="AQ84" s="6">
        <f>IF(AND((O84)&lt;85,N84&lt;137),"NO","SI")</f>
        <v/>
      </c>
      <c r="AR84" s="7">
        <f>IF((480*(10^(7.95-(O84/10))))&lt;480,480*(10^(7.95-(O84/10))),480)</f>
        <v/>
      </c>
      <c r="AS84" s="8">
        <f>IF((480*(10^(8.45-(O84/10))))&lt;480,480*(10^(8.45-(O84/10))),480)</f>
        <v/>
      </c>
      <c r="AT84" s="9">
        <f>IF((480*(10^(8.65-(O84/10))))&lt;480,480*(10^(8.65-(O84/10))),480)</f>
        <v/>
      </c>
      <c r="AU84" s="111">
        <f>IF(O84&lt;80,"0",IF((P84-O84)&lt;=2,('DPI art.191'!$G$3-(('DPI art.191'!$F$3-'DPI art.191'!$G$3)/4)*(P84-O84-2)),('DPI art.191'!$G$3-(('DPI art.191'!$G$3-'DPI art.191'!$H$3)/8)*(P84-O84-2))))</f>
        <v/>
      </c>
      <c r="AV84" s="24">
        <f>O84-AU84</f>
        <v/>
      </c>
      <c r="AW84" s="24">
        <f>IF(N84&lt;135,N84,N84-'DPI art.191'!$I$3)</f>
        <v/>
      </c>
      <c r="AX84" s="111">
        <f>IF(I84&lt;80,"0",IF((J84-I84)&lt;=2,('DPI art.191'!$G$7-(('DPI art.191'!$F$7-'DPI art.191'!$G$7)/4)*(I84-J84-2)),('DPI art.191'!$G$7-(('DPI art.191'!$G$7-'DPI art.191'!$H$7)/8)*(J84-I84-2))))</f>
        <v/>
      </c>
      <c r="AY84" s="24">
        <f>I84-AX84</f>
        <v/>
      </c>
      <c r="AZ84" s="24">
        <f>IF(H84&lt;135,H84,H84-'DPI art.191'!$I$7)</f>
        <v/>
      </c>
      <c r="BA84" s="111">
        <f>IF(O84&lt;80,"0",IF((P84-O84)&lt;=2,('DPI art.191'!$G$5-(('DPI art.191'!$F$5-'DPI art.191'!$G$5)/4)*(P84-O84-2)),('DPI art.191'!$G$5-(('DPI art.191'!$G$5-'DPI art.191'!$H$5)/8)*(P84-O84-2))))</f>
        <v/>
      </c>
      <c r="BB84" s="24">
        <f>R84-BA84</f>
        <v/>
      </c>
      <c r="BC84" s="24">
        <f>IF(N84&lt;135,N84,N84-'DPI art.191'!$I$5)</f>
        <v/>
      </c>
      <c r="BD84" s="111">
        <f>IF(O84&lt;80,"0",IF((P84-O84)&lt;=2,('DPI art.191'!$G$7-(('DPI art.191'!$F$7-'DPI art.191'!$G$7)/4)*(O84-P84-2)),('DPI art.191'!$G$7-(('DPI art.191'!$G$7-'DPI art.191'!$H$7)/8)*(P84-O84-2))))</f>
        <v/>
      </c>
      <c r="BE84" s="24">
        <f>O84-BD84</f>
        <v/>
      </c>
      <c r="BF84" s="24">
        <f>IF(N84&lt;135,N84,N84-'DPI art.191'!$I$7)</f>
        <v/>
      </c>
      <c r="BG84" s="108">
        <f>10^(0.1*R84)</f>
        <v/>
      </c>
      <c r="BH84" s="108">
        <f>10^(0.1*X84)</f>
        <v/>
      </c>
      <c r="BI84" s="108">
        <f>10^(0.1*AB84)</f>
        <v/>
      </c>
      <c r="BJ84" s="108">
        <f>10^(0.1*AF84)</f>
        <v/>
      </c>
      <c r="BK84" s="108">
        <f>10^(0.1*AJ84)</f>
        <v/>
      </c>
      <c r="BL84" s="108">
        <f>10^(0.1*AN84)</f>
        <v/>
      </c>
      <c r="BM84" s="106">
        <f>IF(R84&gt;0,(O84-R84),"")</f>
        <v/>
      </c>
      <c r="BN84" s="106">
        <f>IF(X84&gt;0,(O84-X84),"")</f>
        <v/>
      </c>
      <c r="BO84" s="106">
        <f>IF(AB84&gt;0,(O84-AB84),"")</f>
        <v/>
      </c>
      <c r="BP84" s="106">
        <f>IF(AF84&gt;0,(O84-AF84),"")</f>
        <v/>
      </c>
      <c r="BQ84" s="106">
        <f>IF(AJ84&gt;0,(O84-AJ84),"")</f>
        <v/>
      </c>
      <c r="BR84" s="106">
        <f>IF(AN84&gt;0,(O84-AN84),"")</f>
        <v/>
      </c>
      <c r="BS84" s="106">
        <f>COUNT(BM84:BR84)</f>
        <v/>
      </c>
      <c r="BT84" s="464">
        <f>IF(BS84=0,0,IF(BS84=1,0,1/(BS84*(BS84-1))))</f>
        <v/>
      </c>
      <c r="BU84" s="136">
        <f>IF(R84&gt;0,(BM84^2),"")</f>
        <v/>
      </c>
      <c r="BV84" s="136">
        <f>IF(X84&gt;0,(BN84^2),"")</f>
        <v/>
      </c>
      <c r="BW84" s="136">
        <f>IF(AB84&gt;0,(BO84^2),"")</f>
        <v/>
      </c>
      <c r="BX84" s="136">
        <f>IF(AF84&gt;0,(BP84^2),"")</f>
        <v/>
      </c>
      <c r="BY84" s="136">
        <f>IF(AJ84&gt;0,(BQ84^2),"")</f>
        <v/>
      </c>
      <c r="BZ84" s="136">
        <f>IF(AN84&gt;0,(BR84^2),"")</f>
        <v/>
      </c>
    </row>
    <row r="85" ht="18.75" customHeight="1" s="444">
      <c r="A85" s="340" t="inlineStr">
        <is>
          <t>017/1430</t>
        </is>
      </c>
      <c r="B85" s="65" t="inlineStr">
        <is>
          <t>W25</t>
        </is>
      </c>
      <c r="C85" s="78" t="inlineStr">
        <is>
          <t>Mola piccola</t>
        </is>
      </c>
      <c r="D85" s="83" t="inlineStr">
        <is>
          <t>FEIN</t>
        </is>
      </c>
      <c r="E85" s="83" t="inlineStr">
        <is>
          <t>CG17-150</t>
        </is>
      </c>
      <c r="F85" s="78" t="inlineStr">
        <is>
          <t>Taglio con mola piccola</t>
        </is>
      </c>
      <c r="G85" s="71" t="n">
        <v>46003</v>
      </c>
      <c r="H85" s="77" t="inlineStr">
        <is>
          <t>Compito</t>
        </is>
      </c>
      <c r="I85" s="77">
        <f>IF((V85-R85)&gt;3,"SI","")</f>
        <v/>
      </c>
      <c r="J85" s="77" t="inlineStr">
        <is>
          <t>SI</t>
        </is>
      </c>
      <c r="K85" s="77" t="n"/>
      <c r="L85" s="77" t="n"/>
      <c r="M85" s="137">
        <f>IF(R85&gt;0,(SQRT(BT85*(SUM(BU85:BZ85)))),"")</f>
        <v/>
      </c>
      <c r="N85" s="4">
        <f>IF(T85&gt;0,(MAX(T85,Z85,AD85,AH85,AL85,AP85))+SQRT(1.2^2+1^2),"")</f>
        <v/>
      </c>
      <c r="O85" s="3">
        <f>IF(R85="",0,10*LOG10(SUM(BG85:BL85)/(COUNT(R85,X85,AB85,AF85,AJ85,AN85))))</f>
        <v/>
      </c>
      <c r="P85" s="5">
        <f>IF(AND(Y85="",AC85="",AG85="",AK85="",AO85=""),S85,AVERAGE(S85,Y85,AC85,AG85,AK85,AO85)+STDEV(S85,Y85,AC85,AG85,AK85,AO85))</f>
        <v/>
      </c>
      <c r="Q85" s="14" t="n">
        <v>300</v>
      </c>
      <c r="R85" s="11" t="n">
        <v>109.7</v>
      </c>
      <c r="S85" s="12" t="n">
        <v>108.2</v>
      </c>
      <c r="T85" s="13" t="n">
        <v>126.1</v>
      </c>
      <c r="U85" s="79" t="n"/>
      <c r="V85" s="79" t="n"/>
      <c r="W85" s="10" t="n">
        <v>300</v>
      </c>
      <c r="X85" s="11" t="n">
        <v>100.1</v>
      </c>
      <c r="Y85" s="12" t="n">
        <v>99</v>
      </c>
      <c r="Z85" s="13" t="n">
        <v>116.9</v>
      </c>
      <c r="AA85" s="10" t="n">
        <v>300</v>
      </c>
      <c r="AB85" s="11" t="n">
        <v>98.40000000000001</v>
      </c>
      <c r="AC85" s="12" t="n">
        <v>97.2</v>
      </c>
      <c r="AD85" s="13" t="n">
        <v>114.5</v>
      </c>
      <c r="AE85" s="14" t="n">
        <v>300</v>
      </c>
      <c r="AF85" s="11" t="n">
        <v>100.4</v>
      </c>
      <c r="AG85" s="12" t="n">
        <v>99.09999999999999</v>
      </c>
      <c r="AH85" s="13" t="n">
        <v>117.9</v>
      </c>
      <c r="AI85" s="10" t="n">
        <v>300</v>
      </c>
      <c r="AJ85" s="11" t="n">
        <v>100.2</v>
      </c>
      <c r="AK85" s="12" t="n">
        <v>98.90000000000001</v>
      </c>
      <c r="AL85" s="13" t="n">
        <v>116.4</v>
      </c>
      <c r="AM85" s="10" t="n">
        <v>300</v>
      </c>
      <c r="AN85" s="11" t="n">
        <v>99.5</v>
      </c>
      <c r="AO85" s="12" t="n">
        <v>98.3</v>
      </c>
      <c r="AP85" s="13" t="n">
        <v>116.6</v>
      </c>
      <c r="AQ85" s="6">
        <f>IF(AND((O85)&lt;85,N85&lt;137),"NO","SI")</f>
        <v/>
      </c>
      <c r="AR85" s="7">
        <f>IF((480*(10^(7.95-(O85/10))))&lt;480,480*(10^(7.95-(O85/10))),480)</f>
        <v/>
      </c>
      <c r="AS85" s="8">
        <f>IF((480*(10^(8.45-(O85/10))))&lt;480,480*(10^(8.45-(O85/10))),480)</f>
        <v/>
      </c>
      <c r="AT85" s="9">
        <f>IF((480*(10^(8.65-(O85/10))))&lt;480,480*(10^(8.65-(O85/10))),480)</f>
        <v/>
      </c>
      <c r="AU85" s="111">
        <f>IF(O85&lt;80,"0",IF((P85-O85)&lt;=2,('DPI art.191'!$G$3-(('DPI art.191'!$F$3-'DPI art.191'!$G$3)/4)*(P85-O85-2)),('DPI art.191'!$G$3-(('DPI art.191'!$G$3-'DPI art.191'!$H$3)/8)*(P85-O85-2))))</f>
        <v/>
      </c>
      <c r="AV85" s="24">
        <f>O85-AU85</f>
        <v/>
      </c>
      <c r="AW85" s="24">
        <f>IF(N85&lt;135,N85,N85-'DPI art.191'!$I$3)</f>
        <v/>
      </c>
      <c r="AX85" s="111">
        <f>IF(I85&lt;80,"0",IF((J85-I85)&lt;=2,('DPI art.191'!$G$7-(('DPI art.191'!$F$7-'DPI art.191'!$G$7)/4)*(I85-J85-2)),('DPI art.191'!$G$7-(('DPI art.191'!$G$7-'DPI art.191'!$H$7)/8)*(J85-I85-2))))</f>
        <v/>
      </c>
      <c r="AY85" s="24">
        <f>I85-AX85</f>
        <v/>
      </c>
      <c r="AZ85" s="24">
        <f>IF(H85&lt;135,H85,H85-'DPI art.191'!$I$7)</f>
        <v/>
      </c>
      <c r="BA85" s="111">
        <f>IF(O85&lt;80,"0",IF((P85-O85)&lt;=2,('DPI art.191'!$G$5-(('DPI art.191'!$F$5-'DPI art.191'!$G$5)/4)*(P85-O85-2)),('DPI art.191'!$G$5-(('DPI art.191'!$G$5-'DPI art.191'!$H$5)/8)*(P85-O85-2))))</f>
        <v/>
      </c>
      <c r="BB85" s="24">
        <f>R85-BA85</f>
        <v/>
      </c>
      <c r="BC85" s="24">
        <f>IF(N85&lt;135,N85,N85-'DPI art.191'!$I$5)</f>
        <v/>
      </c>
      <c r="BD85" s="111">
        <f>IF(O85&lt;80,"0",IF((P85-O85)&lt;=2,('DPI art.191'!$G$7-(('DPI art.191'!$F$7-'DPI art.191'!$G$7)/4)*(O85-P85-2)),('DPI art.191'!$G$7-(('DPI art.191'!$G$7-'DPI art.191'!$H$7)/8)*(P85-O85-2))))</f>
        <v/>
      </c>
      <c r="BE85" s="24">
        <f>O85-BD85</f>
        <v/>
      </c>
      <c r="BF85" s="24">
        <f>IF(N85&lt;135,N85,N85-'DPI art.191'!$I$7)</f>
        <v/>
      </c>
      <c r="BG85" s="108">
        <f>10^(0.1*R85)</f>
        <v/>
      </c>
      <c r="BH85" s="108">
        <f>10^(0.1*X85)</f>
        <v/>
      </c>
      <c r="BI85" s="108">
        <f>10^(0.1*AB85)</f>
        <v/>
      </c>
      <c r="BJ85" s="108">
        <f>10^(0.1*AF85)</f>
        <v/>
      </c>
      <c r="BK85" s="108">
        <f>10^(0.1*AJ85)</f>
        <v/>
      </c>
      <c r="BL85" s="108">
        <f>10^(0.1*AN85)</f>
        <v/>
      </c>
      <c r="BM85" s="106">
        <f>IF(R85&gt;0,(O85-R85),"")</f>
        <v/>
      </c>
      <c r="BN85" s="106">
        <f>IF(X85&gt;0,(O85-X85),"")</f>
        <v/>
      </c>
      <c r="BO85" s="106">
        <f>IF(AB85&gt;0,(O85-AB85),"")</f>
        <v/>
      </c>
      <c r="BP85" s="106">
        <f>IF(AF85&gt;0,(O85-AF85),"")</f>
        <v/>
      </c>
      <c r="BQ85" s="106">
        <f>IF(AJ85&gt;0,(O85-AJ85),"")</f>
        <v/>
      </c>
      <c r="BR85" s="106">
        <f>IF(AN85&gt;0,(O85-AN85),"")</f>
        <v/>
      </c>
      <c r="BS85" s="106">
        <f>COUNT(BM85:BR85)</f>
        <v/>
      </c>
      <c r="BT85" s="464">
        <f>IF(BS85=0,0,IF(BS85=1,0,1/(BS85*(BS85-1))))</f>
        <v/>
      </c>
      <c r="BU85" s="136">
        <f>IF(R85&gt;0,(BM85^2),"")</f>
        <v/>
      </c>
      <c r="BV85" s="136">
        <f>IF(X85&gt;0,(BN85^2),"")</f>
        <v/>
      </c>
      <c r="BW85" s="136">
        <f>IF(AB85&gt;0,(BO85^2),"")</f>
        <v/>
      </c>
      <c r="BX85" s="136">
        <f>IF(AF85&gt;0,(BP85^2),"")</f>
        <v/>
      </c>
      <c r="BY85" s="136">
        <f>IF(AJ85&gt;0,(BQ85^2),"")</f>
        <v/>
      </c>
      <c r="BZ85" s="136">
        <f>IF(AN85&gt;0,(BR85^2),"")</f>
        <v/>
      </c>
    </row>
    <row r="86" ht="18.75" customHeight="1" s="444">
      <c r="A86" s="340" t="inlineStr">
        <is>
          <t>017/1430</t>
        </is>
      </c>
      <c r="B86" s="65" t="inlineStr">
        <is>
          <t>W26</t>
        </is>
      </c>
      <c r="C86" s="78" t="inlineStr">
        <is>
          <t>Mola piccola</t>
        </is>
      </c>
      <c r="D86" s="83" t="inlineStr">
        <is>
          <t>FEIN</t>
        </is>
      </c>
      <c r="E86" s="83" t="inlineStr">
        <is>
          <t>CG17-150</t>
        </is>
      </c>
      <c r="F86" s="78" t="inlineStr">
        <is>
          <t>Molatura con mola piccola sgrosso</t>
        </is>
      </c>
      <c r="G86" s="71" t="n">
        <v>46003</v>
      </c>
      <c r="H86" s="77" t="inlineStr">
        <is>
          <t>Compito</t>
        </is>
      </c>
      <c r="I86" s="77">
        <f>IF((V86-R86)&gt;3,"SI","")</f>
        <v/>
      </c>
      <c r="J86" s="77" t="inlineStr">
        <is>
          <t>SI</t>
        </is>
      </c>
      <c r="K86" s="77" t="n"/>
      <c r="L86" s="77" t="n"/>
      <c r="M86" s="137">
        <f>IF(R86&gt;0,(SQRT(BT86*(SUM(BU86:BZ86)))),"")</f>
        <v/>
      </c>
      <c r="N86" s="4">
        <f>IF(T86&gt;0,(MAX(T86,Z86,AD86,AH86,AL86,AP86))+SQRT(1.2^2+1^2),"")</f>
        <v/>
      </c>
      <c r="O86" s="3">
        <f>IF(R86="",0,10*LOG10(SUM(BG86:BL86)/(COUNT(R86,X86,AB86,AF86,AJ86,AN86))))</f>
        <v/>
      </c>
      <c r="P86" s="5">
        <f>IF(AND(Y86="",AC86="",AG86="",AK86="",AO86=""),S86,AVERAGE(S86,Y86,AC86,AG86,AK86,AO86)+STDEV(S86,Y86,AC86,AG86,AK86,AO86))</f>
        <v/>
      </c>
      <c r="Q86" s="14" t="n">
        <v>300</v>
      </c>
      <c r="R86" s="11" t="n">
        <v>104.8</v>
      </c>
      <c r="S86" s="12" t="n">
        <v>103.3</v>
      </c>
      <c r="T86" s="13" t="n">
        <v>122.9</v>
      </c>
      <c r="U86" s="79" t="n"/>
      <c r="V86" s="79" t="n"/>
      <c r="W86" s="10" t="n">
        <v>300</v>
      </c>
      <c r="X86" s="11" t="n">
        <v>104.5</v>
      </c>
      <c r="Y86" s="12" t="n">
        <v>103</v>
      </c>
      <c r="Z86" s="13" t="n">
        <v>120</v>
      </c>
      <c r="AA86" s="10" t="n">
        <v>300</v>
      </c>
      <c r="AB86" s="11" t="n">
        <v>104.9</v>
      </c>
      <c r="AC86" s="12" t="n">
        <v>103.5</v>
      </c>
      <c r="AD86" s="13" t="n">
        <v>122.7</v>
      </c>
      <c r="AE86" s="14" t="n">
        <v>300</v>
      </c>
      <c r="AF86" s="11" t="n">
        <v>105.2</v>
      </c>
      <c r="AG86" s="12" t="n">
        <v>103.8</v>
      </c>
      <c r="AH86" s="13" t="n">
        <v>122.2</v>
      </c>
      <c r="AI86" s="10" t="n">
        <v>300</v>
      </c>
      <c r="AJ86" s="11" t="n">
        <v>105.8</v>
      </c>
      <c r="AK86" s="12" t="n">
        <v>104.3</v>
      </c>
      <c r="AL86" s="13" t="n">
        <v>123.4</v>
      </c>
      <c r="AM86" s="10" t="n">
        <v>300</v>
      </c>
      <c r="AN86" s="11" t="n">
        <v>105.4</v>
      </c>
      <c r="AO86" s="12" t="n">
        <v>104</v>
      </c>
      <c r="AP86" s="13" t="n">
        <v>122.6</v>
      </c>
      <c r="AQ86" s="6">
        <f>IF(AND((O86)&lt;85,N86&lt;137),"NO","SI")</f>
        <v/>
      </c>
      <c r="AR86" s="7">
        <f>IF((480*(10^(7.95-(O86/10))))&lt;480,480*(10^(7.95-(O86/10))),480)</f>
        <v/>
      </c>
      <c r="AS86" s="8">
        <f>IF((480*(10^(8.45-(O86/10))))&lt;480,480*(10^(8.45-(O86/10))),480)</f>
        <v/>
      </c>
      <c r="AT86" s="9">
        <f>IF((480*(10^(8.65-(O86/10))))&lt;480,480*(10^(8.65-(O86/10))),480)</f>
        <v/>
      </c>
      <c r="AU86" s="111">
        <f>IF(O86&lt;80,"0",IF((P86-O86)&lt;=2,('DPI art.191'!$G$3-(('DPI art.191'!$F$3-'DPI art.191'!$G$3)/4)*(P86-O86-2)),('DPI art.191'!$G$3-(('DPI art.191'!$G$3-'DPI art.191'!$H$3)/8)*(P86-O86-2))))</f>
        <v/>
      </c>
      <c r="AV86" s="24">
        <f>O86-AU86</f>
        <v/>
      </c>
      <c r="AW86" s="24">
        <f>IF(N86&lt;135,N86,N86-'DPI art.191'!$I$3)</f>
        <v/>
      </c>
      <c r="AX86" s="111">
        <f>IF(I86&lt;80,"0",IF((J86-I86)&lt;=2,('DPI art.191'!$G$7-(('DPI art.191'!$F$7-'DPI art.191'!$G$7)/4)*(I86-J86-2)),('DPI art.191'!$G$7-(('DPI art.191'!$G$7-'DPI art.191'!$H$7)/8)*(J86-I86-2))))</f>
        <v/>
      </c>
      <c r="AY86" s="24">
        <f>I86-AX86</f>
        <v/>
      </c>
      <c r="AZ86" s="24">
        <f>IF(H86&lt;135,H86,H86-'DPI art.191'!$I$7)</f>
        <v/>
      </c>
      <c r="BA86" s="111">
        <f>IF(O86&lt;80,"0",IF((P86-O86)&lt;=2,('DPI art.191'!$G$5-(('DPI art.191'!$F$5-'DPI art.191'!$G$5)/4)*(P86-O86-2)),('DPI art.191'!$G$5-(('DPI art.191'!$G$5-'DPI art.191'!$H$5)/8)*(P86-O86-2))))</f>
        <v/>
      </c>
      <c r="BB86" s="24">
        <f>R86-BA86</f>
        <v/>
      </c>
      <c r="BC86" s="24">
        <f>IF(N86&lt;135,N86,N86-'DPI art.191'!$I$5)</f>
        <v/>
      </c>
      <c r="BD86" s="111">
        <f>IF(O86&lt;80,"0",IF((P86-O86)&lt;=2,('DPI art.191'!$G$7-(('DPI art.191'!$F$7-'DPI art.191'!$G$7)/4)*(O86-P86-2)),('DPI art.191'!$G$7-(('DPI art.191'!$G$7-'DPI art.191'!$H$7)/8)*(P86-O86-2))))</f>
        <v/>
      </c>
      <c r="BE86" s="24">
        <f>O86-BD86</f>
        <v/>
      </c>
      <c r="BF86" s="24">
        <f>IF(N86&lt;135,N86,N86-'DPI art.191'!$I$7)</f>
        <v/>
      </c>
      <c r="BG86" s="108">
        <f>10^(0.1*R86)</f>
        <v/>
      </c>
      <c r="BH86" s="108">
        <f>10^(0.1*X86)</f>
        <v/>
      </c>
      <c r="BI86" s="108">
        <f>10^(0.1*AB86)</f>
        <v/>
      </c>
      <c r="BJ86" s="108">
        <f>10^(0.1*AF86)</f>
        <v/>
      </c>
      <c r="BK86" s="108">
        <f>10^(0.1*AJ86)</f>
        <v/>
      </c>
      <c r="BL86" s="108">
        <f>10^(0.1*AN86)</f>
        <v/>
      </c>
      <c r="BM86" s="106">
        <f>IF(R86&gt;0,(O86-R86),"")</f>
        <v/>
      </c>
      <c r="BN86" s="106">
        <f>IF(X86&gt;0,(O86-X86),"")</f>
        <v/>
      </c>
      <c r="BO86" s="106">
        <f>IF(AB86&gt;0,(O86-AB86),"")</f>
        <v/>
      </c>
      <c r="BP86" s="106">
        <f>IF(AF86&gt;0,(O86-AF86),"")</f>
        <v/>
      </c>
      <c r="BQ86" s="106">
        <f>IF(AJ86&gt;0,(O86-AJ86),"")</f>
        <v/>
      </c>
      <c r="BR86" s="106">
        <f>IF(AN86&gt;0,(O86-AN86),"")</f>
        <v/>
      </c>
      <c r="BS86" s="106">
        <f>COUNT(BM86:BR86)</f>
        <v/>
      </c>
      <c r="BT86" s="464">
        <f>IF(BS86=0,0,IF(BS86=1,0,1/(BS86*(BS86-1))))</f>
        <v/>
      </c>
      <c r="BU86" s="136">
        <f>IF(R86&gt;0,(BM86^2),"")</f>
        <v/>
      </c>
      <c r="BV86" s="136">
        <f>IF(X86&gt;0,(BN86^2),"")</f>
        <v/>
      </c>
      <c r="BW86" s="136">
        <f>IF(AB86&gt;0,(BO86^2),"")</f>
        <v/>
      </c>
      <c r="BX86" s="136">
        <f>IF(AF86&gt;0,(BP86^2),"")</f>
        <v/>
      </c>
      <c r="BY86" s="136">
        <f>IF(AJ86&gt;0,(BQ86^2),"")</f>
        <v/>
      </c>
      <c r="BZ86" s="136">
        <f>IF(AN86&gt;0,(BR86^2),"")</f>
        <v/>
      </c>
    </row>
    <row r="87" ht="18.75" customHeight="1" s="444">
      <c r="A87" s="340" t="inlineStr">
        <is>
          <t>017/1430</t>
        </is>
      </c>
      <c r="B87" s="65" t="inlineStr">
        <is>
          <t>W27</t>
        </is>
      </c>
      <c r="C87" s="78" t="inlineStr">
        <is>
          <t>Mola piccola</t>
        </is>
      </c>
      <c r="D87" s="83" t="inlineStr">
        <is>
          <t>FEIN</t>
        </is>
      </c>
      <c r="E87" s="83" t="inlineStr">
        <is>
          <t>CG17-150</t>
        </is>
      </c>
      <c r="F87" s="78" t="inlineStr">
        <is>
          <t>Molatura con mola piccola lamellare</t>
        </is>
      </c>
      <c r="G87" s="71" t="n">
        <v>46003</v>
      </c>
      <c r="H87" s="77" t="inlineStr">
        <is>
          <t>Compito</t>
        </is>
      </c>
      <c r="I87" s="77">
        <f>IF((V87-R87)&gt;3,"SI","")</f>
        <v/>
      </c>
      <c r="J87" s="77" t="inlineStr">
        <is>
          <t>SI</t>
        </is>
      </c>
      <c r="K87" s="77" t="n"/>
      <c r="L87" s="77" t="n"/>
      <c r="M87" s="137">
        <f>IF(R87&gt;0,(SQRT(BT87*(SUM(BU87:BZ87)))),"")</f>
        <v/>
      </c>
      <c r="N87" s="4">
        <f>IF(T87&gt;0,(MAX(T87,Z87,AD87,AH87,AL87,AP87))+SQRT(1.2^2+1^2),"")</f>
        <v/>
      </c>
      <c r="O87" s="3">
        <f>IF(R87="",0,10*LOG10(SUM(BG87:BL87)/(COUNT(R87,X87,AB87,AF87,AJ87,AN87))))</f>
        <v/>
      </c>
      <c r="P87" s="5">
        <f>IF(AND(Y87="",AC87="",AG87="",AK87="",AO87=""),S87,AVERAGE(S87,Y87,AC87,AG87,AK87,AO87)+STDEV(S87,Y87,AC87,AG87,AK87,AO87))</f>
        <v/>
      </c>
      <c r="Q87" s="14" t="n">
        <v>300</v>
      </c>
      <c r="R87" s="11" t="n">
        <v>101.3</v>
      </c>
      <c r="S87" s="12" t="n">
        <v>100</v>
      </c>
      <c r="T87" s="13" t="n">
        <v>115.7</v>
      </c>
      <c r="U87" s="79" t="n"/>
      <c r="V87" s="79" t="n"/>
      <c r="W87" s="10" t="n">
        <v>300</v>
      </c>
      <c r="X87" s="11" t="n">
        <v>101.4</v>
      </c>
      <c r="Y87" s="12" t="n">
        <v>100</v>
      </c>
      <c r="Z87" s="13" t="n">
        <v>115.4</v>
      </c>
      <c r="AA87" s="10" t="n">
        <v>300</v>
      </c>
      <c r="AB87" s="11" t="n">
        <v>100.5</v>
      </c>
      <c r="AC87" s="12" t="n">
        <v>99.2</v>
      </c>
      <c r="AD87" s="13" t="n">
        <v>115.3</v>
      </c>
      <c r="AE87" s="14" t="n">
        <v>300</v>
      </c>
      <c r="AF87" s="11" t="n">
        <v>104.7</v>
      </c>
      <c r="AG87" s="12" t="n">
        <v>103.1</v>
      </c>
      <c r="AH87" s="13" t="n">
        <v>119.5</v>
      </c>
      <c r="AI87" s="10" t="n">
        <v>300</v>
      </c>
      <c r="AJ87" s="11" t="n">
        <v>104.8</v>
      </c>
      <c r="AK87" s="12" t="n">
        <v>103.2</v>
      </c>
      <c r="AL87" s="13" t="n">
        <v>119.4</v>
      </c>
      <c r="AM87" s="10" t="n">
        <v>300</v>
      </c>
      <c r="AN87" s="11" t="n">
        <v>103.9</v>
      </c>
      <c r="AO87" s="12" t="n">
        <v>102.3</v>
      </c>
      <c r="AP87" s="13" t="n">
        <v>119.6</v>
      </c>
      <c r="AQ87" s="6">
        <f>IF(AND((O87)&lt;85,N87&lt;137),"NO","SI")</f>
        <v/>
      </c>
      <c r="AR87" s="7">
        <f>IF((480*(10^(7.95-(O87/10))))&lt;480,480*(10^(7.95-(O87/10))),480)</f>
        <v/>
      </c>
      <c r="AS87" s="8">
        <f>IF((480*(10^(8.45-(O87/10))))&lt;480,480*(10^(8.45-(O87/10))),480)</f>
        <v/>
      </c>
      <c r="AT87" s="9">
        <f>IF((480*(10^(8.65-(O87/10))))&lt;480,480*(10^(8.65-(O87/10))),480)</f>
        <v/>
      </c>
      <c r="AU87" s="111">
        <f>IF(O87&lt;80,"0",IF((P87-O87)&lt;=2,('DPI art.191'!$G$3-(('DPI art.191'!$F$3-'DPI art.191'!$G$3)/4)*(P87-O87-2)),('DPI art.191'!$G$3-(('DPI art.191'!$G$3-'DPI art.191'!$H$3)/8)*(P87-O87-2))))</f>
        <v/>
      </c>
      <c r="AV87" s="24">
        <f>O87-AU87</f>
        <v/>
      </c>
      <c r="AW87" s="24">
        <f>IF(N87&lt;135,N87,N87-'DPI art.191'!$I$3)</f>
        <v/>
      </c>
      <c r="AX87" s="111">
        <f>IF(I87&lt;80,"0",IF((J87-I87)&lt;=2,('DPI art.191'!$G$7-(('DPI art.191'!$F$7-'DPI art.191'!$G$7)/4)*(I87-J87-2)),('DPI art.191'!$G$7-(('DPI art.191'!$G$7-'DPI art.191'!$H$7)/8)*(J87-I87-2))))</f>
        <v/>
      </c>
      <c r="AY87" s="24">
        <f>I87-AX87</f>
        <v/>
      </c>
      <c r="AZ87" s="24">
        <f>IF(H87&lt;135,H87,H87-'DPI art.191'!$I$7)</f>
        <v/>
      </c>
      <c r="BA87" s="111">
        <f>IF(O87&lt;80,"0",IF((P87-O87)&lt;=2,('DPI art.191'!$G$5-(('DPI art.191'!$F$5-'DPI art.191'!$G$5)/4)*(P87-O87-2)),('DPI art.191'!$G$5-(('DPI art.191'!$G$5-'DPI art.191'!$H$5)/8)*(P87-O87-2))))</f>
        <v/>
      </c>
      <c r="BB87" s="24">
        <f>R87-BA87</f>
        <v/>
      </c>
      <c r="BC87" s="24">
        <f>IF(N87&lt;135,N87,N87-'DPI art.191'!$I$5)</f>
        <v/>
      </c>
      <c r="BD87" s="111">
        <f>IF(O87&lt;80,"0",IF((P87-O87)&lt;=2,('DPI art.191'!$G$7-(('DPI art.191'!$F$7-'DPI art.191'!$G$7)/4)*(O87-P87-2)),('DPI art.191'!$G$7-(('DPI art.191'!$G$7-'DPI art.191'!$H$7)/8)*(P87-O87-2))))</f>
        <v/>
      </c>
      <c r="BE87" s="24">
        <f>O87-BD87</f>
        <v/>
      </c>
      <c r="BF87" s="24">
        <f>IF(N87&lt;135,N87,N87-'DPI art.191'!$I$7)</f>
        <v/>
      </c>
      <c r="BG87" s="108">
        <f>10^(0.1*R87)</f>
        <v/>
      </c>
      <c r="BH87" s="108">
        <f>10^(0.1*X87)</f>
        <v/>
      </c>
      <c r="BI87" s="108">
        <f>10^(0.1*AB87)</f>
        <v/>
      </c>
      <c r="BJ87" s="108">
        <f>10^(0.1*AF87)</f>
        <v/>
      </c>
      <c r="BK87" s="108">
        <f>10^(0.1*AJ87)</f>
        <v/>
      </c>
      <c r="BL87" s="108">
        <f>10^(0.1*AN87)</f>
        <v/>
      </c>
      <c r="BM87" s="106">
        <f>IF(R87&gt;0,(O87-R87),"")</f>
        <v/>
      </c>
      <c r="BN87" s="106">
        <f>IF(X87&gt;0,(O87-X87),"")</f>
        <v/>
      </c>
      <c r="BO87" s="106">
        <f>IF(AB87&gt;0,(O87-AB87),"")</f>
        <v/>
      </c>
      <c r="BP87" s="106">
        <f>IF(AF87&gt;0,(O87-AF87),"")</f>
        <v/>
      </c>
      <c r="BQ87" s="106">
        <f>IF(AJ87&gt;0,(O87-AJ87),"")</f>
        <v/>
      </c>
      <c r="BR87" s="106">
        <f>IF(AN87&gt;0,(O87-AN87),"")</f>
        <v/>
      </c>
      <c r="BS87" s="106">
        <f>COUNT(BM87:BR87)</f>
        <v/>
      </c>
      <c r="BT87" s="464">
        <f>IF(BS87=0,0,IF(BS87=1,0,1/(BS87*(BS87-1))))</f>
        <v/>
      </c>
      <c r="BU87" s="136">
        <f>IF(R87&gt;0,(BM87^2),"")</f>
        <v/>
      </c>
      <c r="BV87" s="136">
        <f>IF(X87&gt;0,(BN87^2),"")</f>
        <v/>
      </c>
      <c r="BW87" s="136">
        <f>IF(AB87&gt;0,(BO87^2),"")</f>
        <v/>
      </c>
      <c r="BX87" s="136">
        <f>IF(AF87&gt;0,(BP87^2),"")</f>
        <v/>
      </c>
      <c r="BY87" s="136">
        <f>IF(AJ87&gt;0,(BQ87^2),"")</f>
        <v/>
      </c>
      <c r="BZ87" s="136">
        <f>IF(AN87&gt;0,(BR87^2),"")</f>
        <v/>
      </c>
    </row>
    <row r="88" ht="18.75" customHeight="1" s="444">
      <c r="A88" s="340" t="inlineStr">
        <is>
          <t>017/0914</t>
        </is>
      </c>
      <c r="B88" s="65" t="inlineStr">
        <is>
          <t>W28</t>
        </is>
      </c>
      <c r="C88" s="78" t="inlineStr">
        <is>
          <t>Mola piccola</t>
        </is>
      </c>
      <c r="D88" s="83" t="inlineStr">
        <is>
          <t>BOSCH</t>
        </is>
      </c>
      <c r="E88" s="83" t="inlineStr">
        <is>
          <t>gws 17-150 ci</t>
        </is>
      </c>
      <c r="F88" s="78" t="inlineStr">
        <is>
          <t>Taglio con mola piccola</t>
        </is>
      </c>
      <c r="G88" s="71" t="n">
        <v>46003</v>
      </c>
      <c r="H88" s="77" t="inlineStr">
        <is>
          <t>Compito</t>
        </is>
      </c>
      <c r="I88" s="77">
        <f>IF((V88-R88)&gt;3,"SI","")</f>
        <v/>
      </c>
      <c r="J88" s="77" t="inlineStr">
        <is>
          <t>SI</t>
        </is>
      </c>
      <c r="K88" s="77" t="n"/>
      <c r="L88" s="77" t="n"/>
      <c r="M88" s="137">
        <f>IF(R88&gt;0,(SQRT(BT88*(SUM(BU88:BZ88)))),"")</f>
        <v/>
      </c>
      <c r="N88" s="4">
        <f>IF(T88&gt;0,(MAX(T88,Z88,AD88,AH88,AL88,AP88))+SQRT(1.2^2+1^2),"")</f>
        <v/>
      </c>
      <c r="O88" s="3">
        <f>IF(R88="",0,10*LOG10(SUM(BG88:BL88)/(COUNT(R88,X88,AB88,AF88,AJ88,AN88))))</f>
        <v/>
      </c>
      <c r="P88" s="5">
        <f>IF(AND(Y88="",AC88="",AG88="",AK88="",AO88=""),S88,AVERAGE(S88,Y88,AC88,AG88,AK88,AO88)+STDEV(S88,Y88,AC88,AG88,AK88,AO88))</f>
        <v/>
      </c>
      <c r="Q88" s="14" t="n">
        <v>300</v>
      </c>
      <c r="R88" s="11" t="n">
        <v>103.8</v>
      </c>
      <c r="S88" s="12" t="n">
        <v>102.3</v>
      </c>
      <c r="T88" s="13" t="n">
        <v>119.7</v>
      </c>
      <c r="U88" s="79" t="n"/>
      <c r="V88" s="79" t="n"/>
      <c r="W88" s="10" t="n">
        <v>300</v>
      </c>
      <c r="X88" s="11" t="n">
        <v>104.8</v>
      </c>
      <c r="Y88" s="12" t="n">
        <v>103.2</v>
      </c>
      <c r="Z88" s="13" t="n">
        <v>122.5</v>
      </c>
      <c r="AA88" s="10" t="n">
        <v>300</v>
      </c>
      <c r="AB88" s="11" t="n">
        <v>107.8</v>
      </c>
      <c r="AC88" s="12" t="n">
        <v>106.1</v>
      </c>
      <c r="AD88" s="13" t="n">
        <v>124.5</v>
      </c>
      <c r="AE88" s="14" t="n">
        <v>300</v>
      </c>
      <c r="AF88" s="11" t="n">
        <v>111.6</v>
      </c>
      <c r="AG88" s="12" t="n">
        <v>110.1</v>
      </c>
      <c r="AH88" s="13" t="n">
        <v>127.9</v>
      </c>
      <c r="AI88" s="10" t="n">
        <v>300</v>
      </c>
      <c r="AJ88" s="11" t="n">
        <v>111.1</v>
      </c>
      <c r="AK88" s="12" t="n">
        <v>109.5</v>
      </c>
      <c r="AL88" s="13" t="n">
        <v>126.7</v>
      </c>
      <c r="AM88" s="10" t="n">
        <v>300</v>
      </c>
      <c r="AN88" s="11" t="n">
        <v>109.5</v>
      </c>
      <c r="AO88" s="12" t="n">
        <v>107.9</v>
      </c>
      <c r="AP88" s="13" t="n">
        <v>126.5</v>
      </c>
      <c r="AQ88" s="6">
        <f>IF(AND((O88)&lt;85,N88&lt;137),"NO","SI")</f>
        <v/>
      </c>
      <c r="AR88" s="7">
        <f>IF((480*(10^(7.95-(O88/10))))&lt;480,480*(10^(7.95-(O88/10))),480)</f>
        <v/>
      </c>
      <c r="AS88" s="8">
        <f>IF((480*(10^(8.45-(O88/10))))&lt;480,480*(10^(8.45-(O88/10))),480)</f>
        <v/>
      </c>
      <c r="AT88" s="9">
        <f>IF((480*(10^(8.65-(O88/10))))&lt;480,480*(10^(8.65-(O88/10))),480)</f>
        <v/>
      </c>
      <c r="AU88" s="111">
        <f>IF(O88&lt;80,"0",IF((P88-O88)&lt;=2,('DPI art.191'!$G$3-(('DPI art.191'!$F$3-'DPI art.191'!$G$3)/4)*(P88-O88-2)),('DPI art.191'!$G$3-(('DPI art.191'!$G$3-'DPI art.191'!$H$3)/8)*(P88-O88-2))))</f>
        <v/>
      </c>
      <c r="AV88" s="24">
        <f>O88-AU88</f>
        <v/>
      </c>
      <c r="AW88" s="24">
        <f>IF(N88&lt;135,N88,N88-'DPI art.191'!$I$3)</f>
        <v/>
      </c>
      <c r="AX88" s="111">
        <f>IF(I88&lt;80,"0",IF((J88-I88)&lt;=2,('DPI art.191'!$G$7-(('DPI art.191'!$F$7-'DPI art.191'!$G$7)/4)*(I88-J88-2)),('DPI art.191'!$G$7-(('DPI art.191'!$G$7-'DPI art.191'!$H$7)/8)*(J88-I88-2))))</f>
        <v/>
      </c>
      <c r="AY88" s="24">
        <f>I88-AX88</f>
        <v/>
      </c>
      <c r="AZ88" s="24">
        <f>IF(H88&lt;135,H88,H88-'DPI art.191'!$I$7)</f>
        <v/>
      </c>
      <c r="BA88" s="111">
        <f>IF(O88&lt;80,"0",IF((P88-O88)&lt;=2,('DPI art.191'!$G$5-(('DPI art.191'!$F$5-'DPI art.191'!$G$5)/4)*(P88-O88-2)),('DPI art.191'!$G$5-(('DPI art.191'!$G$5-'DPI art.191'!$H$5)/8)*(P88-O88-2))))</f>
        <v/>
      </c>
      <c r="BB88" s="24">
        <f>R88-BA88</f>
        <v/>
      </c>
      <c r="BC88" s="24">
        <f>IF(N88&lt;135,N88,N88-'DPI art.191'!$I$5)</f>
        <v/>
      </c>
      <c r="BD88" s="111">
        <f>IF(O88&lt;80,"0",IF((P88-O88)&lt;=2,('DPI art.191'!$G$7-(('DPI art.191'!$F$7-'DPI art.191'!$G$7)/4)*(O88-P88-2)),('DPI art.191'!$G$7-(('DPI art.191'!$G$7-'DPI art.191'!$H$7)/8)*(P88-O88-2))))</f>
        <v/>
      </c>
      <c r="BE88" s="24">
        <f>O88-BD88</f>
        <v/>
      </c>
      <c r="BF88" s="24">
        <f>IF(N88&lt;135,N88,N88-'DPI art.191'!$I$7)</f>
        <v/>
      </c>
      <c r="BG88" s="108">
        <f>10^(0.1*R88)</f>
        <v/>
      </c>
      <c r="BH88" s="108">
        <f>10^(0.1*X88)</f>
        <v/>
      </c>
      <c r="BI88" s="108">
        <f>10^(0.1*AB88)</f>
        <v/>
      </c>
      <c r="BJ88" s="108">
        <f>10^(0.1*AF88)</f>
        <v/>
      </c>
      <c r="BK88" s="108">
        <f>10^(0.1*AJ88)</f>
        <v/>
      </c>
      <c r="BL88" s="108">
        <f>10^(0.1*AN88)</f>
        <v/>
      </c>
      <c r="BM88" s="106">
        <f>IF(R88&gt;0,(O88-R88),"")</f>
        <v/>
      </c>
      <c r="BN88" s="106">
        <f>IF(X88&gt;0,(O88-X88),"")</f>
        <v/>
      </c>
      <c r="BO88" s="106">
        <f>IF(AB88&gt;0,(O88-AB88),"")</f>
        <v/>
      </c>
      <c r="BP88" s="106">
        <f>IF(AF88&gt;0,(O88-AF88),"")</f>
        <v/>
      </c>
      <c r="BQ88" s="106">
        <f>IF(AJ88&gt;0,(O88-AJ88),"")</f>
        <v/>
      </c>
      <c r="BR88" s="106">
        <f>IF(AN88&gt;0,(O88-AN88),"")</f>
        <v/>
      </c>
      <c r="BS88" s="106">
        <f>COUNT(BM88:BR88)</f>
        <v/>
      </c>
      <c r="BT88" s="464">
        <f>IF(BS88=0,0,IF(BS88=1,0,1/(BS88*(BS88-1))))</f>
        <v/>
      </c>
      <c r="BU88" s="136">
        <f>IF(R88&gt;0,(BM88^2),"")</f>
        <v/>
      </c>
      <c r="BV88" s="136">
        <f>IF(X88&gt;0,(BN88^2),"")</f>
        <v/>
      </c>
      <c r="BW88" s="136">
        <f>IF(AB88&gt;0,(BO88^2),"")</f>
        <v/>
      </c>
      <c r="BX88" s="136">
        <f>IF(AF88&gt;0,(BP88^2),"")</f>
        <v/>
      </c>
      <c r="BY88" s="136">
        <f>IF(AJ88&gt;0,(BQ88^2),"")</f>
        <v/>
      </c>
      <c r="BZ88" s="136">
        <f>IF(AN88&gt;0,(BR88^2),"")</f>
        <v/>
      </c>
    </row>
    <row r="89" ht="18.75" customHeight="1" s="444">
      <c r="A89" s="340" t="inlineStr">
        <is>
          <t>017/0914</t>
        </is>
      </c>
      <c r="B89" s="65" t="inlineStr">
        <is>
          <t>W29</t>
        </is>
      </c>
      <c r="C89" s="78" t="inlineStr">
        <is>
          <t>Mola piccola</t>
        </is>
      </c>
      <c r="D89" s="83" t="inlineStr">
        <is>
          <t>BOSCH</t>
        </is>
      </c>
      <c r="E89" s="83" t="inlineStr">
        <is>
          <t>gws 17-150 ci</t>
        </is>
      </c>
      <c r="F89" s="78" t="inlineStr">
        <is>
          <t>Molatura con mola piccola sgrosso</t>
        </is>
      </c>
      <c r="G89" s="71" t="n">
        <v>46003</v>
      </c>
      <c r="H89" s="77" t="inlineStr">
        <is>
          <t>Compito</t>
        </is>
      </c>
      <c r="I89" s="77">
        <f>IF((V89-R89)&gt;3,"SI","")</f>
        <v/>
      </c>
      <c r="J89" s="77" t="inlineStr">
        <is>
          <t>SI</t>
        </is>
      </c>
      <c r="K89" s="77" t="n"/>
      <c r="L89" s="77" t="n"/>
      <c r="M89" s="137">
        <f>IF(R89&gt;0,(SQRT(BT89*(SUM(BU89:BZ89)))),"")</f>
        <v/>
      </c>
      <c r="N89" s="4">
        <f>IF(T89&gt;0,(MAX(T89,Z89,AD89,AH89,AL89,AP89))+SQRT(1.2^2+1^2),"")</f>
        <v/>
      </c>
      <c r="O89" s="3">
        <f>IF(R89="",0,10*LOG10(SUM(BG89:BL89)/(COUNT(R89,X89,AB89,AF89,AJ89,AN89))))</f>
        <v/>
      </c>
      <c r="P89" s="5">
        <f>IF(AND(Y89="",AC89="",AG89="",AK89="",AO89=""),S89,AVERAGE(S89,Y89,AC89,AG89,AK89,AO89)+STDEV(S89,Y89,AC89,AG89,AK89,AO89))</f>
        <v/>
      </c>
      <c r="Q89" s="14" t="n">
        <v>300</v>
      </c>
      <c r="R89" s="11" t="n">
        <v>111.1</v>
      </c>
      <c r="S89" s="12" t="n">
        <v>109.5</v>
      </c>
      <c r="T89" s="13" t="n">
        <v>125.5</v>
      </c>
      <c r="U89" s="79" t="n"/>
      <c r="V89" s="79" t="n"/>
      <c r="W89" s="10" t="n">
        <v>300</v>
      </c>
      <c r="X89" s="11" t="n">
        <v>111.4</v>
      </c>
      <c r="Y89" s="12" t="n">
        <v>109.8</v>
      </c>
      <c r="Z89" s="13" t="n">
        <v>126.1</v>
      </c>
      <c r="AA89" s="10" t="n">
        <v>300</v>
      </c>
      <c r="AB89" s="11" t="n">
        <v>111.3</v>
      </c>
      <c r="AC89" s="12" t="n">
        <v>109.7</v>
      </c>
      <c r="AD89" s="13" t="n">
        <v>127.1</v>
      </c>
      <c r="AE89" s="14" t="n">
        <v>300</v>
      </c>
      <c r="AF89" s="11" t="n">
        <v>103.2</v>
      </c>
      <c r="AG89" s="12" t="n">
        <v>101.7</v>
      </c>
      <c r="AH89" s="13" t="n">
        <v>119.3</v>
      </c>
      <c r="AI89" s="10" t="n">
        <v>300</v>
      </c>
      <c r="AJ89" s="11" t="n">
        <v>103.7</v>
      </c>
      <c r="AK89" s="12" t="n">
        <v>102.3</v>
      </c>
      <c r="AL89" s="13" t="n">
        <v>117.7</v>
      </c>
      <c r="AM89" s="10" t="n">
        <v>300</v>
      </c>
      <c r="AN89" s="11" t="n">
        <v>103.3</v>
      </c>
      <c r="AO89" s="12" t="n">
        <v>101.8</v>
      </c>
      <c r="AP89" s="13" t="n">
        <v>117.9</v>
      </c>
      <c r="AQ89" s="6">
        <f>IF(AND((O89)&lt;85,N89&lt;137),"NO","SI")</f>
        <v/>
      </c>
      <c r="AR89" s="7">
        <f>IF((480*(10^(7.95-(O89/10))))&lt;480,480*(10^(7.95-(O89/10))),480)</f>
        <v/>
      </c>
      <c r="AS89" s="8">
        <f>IF((480*(10^(8.45-(O89/10))))&lt;480,480*(10^(8.45-(O89/10))),480)</f>
        <v/>
      </c>
      <c r="AT89" s="9">
        <f>IF((480*(10^(8.65-(O89/10))))&lt;480,480*(10^(8.65-(O89/10))),480)</f>
        <v/>
      </c>
      <c r="AU89" s="111">
        <f>IF(O89&lt;80,"0",IF((P89-O89)&lt;=2,('DPI art.191'!$G$3-(('DPI art.191'!$F$3-'DPI art.191'!$G$3)/4)*(P89-O89-2)),('DPI art.191'!$G$3-(('DPI art.191'!$G$3-'DPI art.191'!$H$3)/8)*(P89-O89-2))))</f>
        <v/>
      </c>
      <c r="AV89" s="24">
        <f>O89-AU89</f>
        <v/>
      </c>
      <c r="AW89" s="24">
        <f>IF(N89&lt;135,N89,N89-'DPI art.191'!$I$3)</f>
        <v/>
      </c>
      <c r="AX89" s="111">
        <f>IF(I89&lt;80,"0",IF((J89-I89)&lt;=2,('DPI art.191'!$G$7-(('DPI art.191'!$F$7-'DPI art.191'!$G$7)/4)*(I89-J89-2)),('DPI art.191'!$G$7-(('DPI art.191'!$G$7-'DPI art.191'!$H$7)/8)*(J89-I89-2))))</f>
        <v/>
      </c>
      <c r="AY89" s="24">
        <f>I89-AX89</f>
        <v/>
      </c>
      <c r="AZ89" s="24">
        <f>IF(H89&lt;135,H89,H89-'DPI art.191'!$I$7)</f>
        <v/>
      </c>
      <c r="BA89" s="111">
        <f>IF(O89&lt;80,"0",IF((P89-O89)&lt;=2,('DPI art.191'!$G$5-(('DPI art.191'!$F$5-'DPI art.191'!$G$5)/4)*(P89-O89-2)),('DPI art.191'!$G$5-(('DPI art.191'!$G$5-'DPI art.191'!$H$5)/8)*(P89-O89-2))))</f>
        <v/>
      </c>
      <c r="BB89" s="24">
        <f>R89-BA89</f>
        <v/>
      </c>
      <c r="BC89" s="24">
        <f>IF(N89&lt;135,N89,N89-'DPI art.191'!$I$5)</f>
        <v/>
      </c>
      <c r="BD89" s="111">
        <f>IF(O89&lt;80,"0",IF((P89-O89)&lt;=2,('DPI art.191'!$G$7-(('DPI art.191'!$F$7-'DPI art.191'!$G$7)/4)*(O89-P89-2)),('DPI art.191'!$G$7-(('DPI art.191'!$G$7-'DPI art.191'!$H$7)/8)*(P89-O89-2))))</f>
        <v/>
      </c>
      <c r="BE89" s="24">
        <f>O89-BD89</f>
        <v/>
      </c>
      <c r="BF89" s="24">
        <f>IF(N89&lt;135,N89,N89-'DPI art.191'!$I$7)</f>
        <v/>
      </c>
      <c r="BG89" s="108">
        <f>10^(0.1*R89)</f>
        <v/>
      </c>
      <c r="BH89" s="108">
        <f>10^(0.1*X89)</f>
        <v/>
      </c>
      <c r="BI89" s="108">
        <f>10^(0.1*AB89)</f>
        <v/>
      </c>
      <c r="BJ89" s="108">
        <f>10^(0.1*AF89)</f>
        <v/>
      </c>
      <c r="BK89" s="108">
        <f>10^(0.1*AJ89)</f>
        <v/>
      </c>
      <c r="BL89" s="108">
        <f>10^(0.1*AN89)</f>
        <v/>
      </c>
      <c r="BM89" s="106">
        <f>IF(R89&gt;0,(O89-R89),"")</f>
        <v/>
      </c>
      <c r="BN89" s="106">
        <f>IF(X89&gt;0,(O89-X89),"")</f>
        <v/>
      </c>
      <c r="BO89" s="106">
        <f>IF(AB89&gt;0,(O89-AB89),"")</f>
        <v/>
      </c>
      <c r="BP89" s="106">
        <f>IF(AF89&gt;0,(O89-AF89),"")</f>
        <v/>
      </c>
      <c r="BQ89" s="106">
        <f>IF(AJ89&gt;0,(O89-AJ89),"")</f>
        <v/>
      </c>
      <c r="BR89" s="106">
        <f>IF(AN89&gt;0,(O89-AN89),"")</f>
        <v/>
      </c>
      <c r="BS89" s="106">
        <f>COUNT(BM89:BR89)</f>
        <v/>
      </c>
      <c r="BT89" s="464">
        <f>IF(BS89=0,0,IF(BS89=1,0,1/(BS89*(BS89-1))))</f>
        <v/>
      </c>
      <c r="BU89" s="136">
        <f>IF(R89&gt;0,(BM89^2),"")</f>
        <v/>
      </c>
      <c r="BV89" s="136">
        <f>IF(X89&gt;0,(BN89^2),"")</f>
        <v/>
      </c>
      <c r="BW89" s="136">
        <f>IF(AB89&gt;0,(BO89^2),"")</f>
        <v/>
      </c>
      <c r="BX89" s="136">
        <f>IF(AF89&gt;0,(BP89^2),"")</f>
        <v/>
      </c>
      <c r="BY89" s="136">
        <f>IF(AJ89&gt;0,(BQ89^2),"")</f>
        <v/>
      </c>
      <c r="BZ89" s="136">
        <f>IF(AN89&gt;0,(BR89^2),"")</f>
        <v/>
      </c>
    </row>
    <row r="90" ht="18.75" customHeight="1" s="444">
      <c r="A90" s="340" t="inlineStr">
        <is>
          <t>017/0914</t>
        </is>
      </c>
      <c r="B90" s="65" t="inlineStr">
        <is>
          <t>W30</t>
        </is>
      </c>
      <c r="C90" s="78" t="inlineStr">
        <is>
          <t>Mola piccola</t>
        </is>
      </c>
      <c r="D90" s="83" t="inlineStr">
        <is>
          <t>BOSCH</t>
        </is>
      </c>
      <c r="E90" s="83" t="inlineStr">
        <is>
          <t>gws 17-150 ci</t>
        </is>
      </c>
      <c r="F90" s="78" t="inlineStr">
        <is>
          <t>Molatura con mola piccola lamellare</t>
        </is>
      </c>
      <c r="G90" s="71" t="n">
        <v>46003</v>
      </c>
      <c r="H90" s="77" t="inlineStr">
        <is>
          <t>Compito</t>
        </is>
      </c>
      <c r="I90" s="77">
        <f>IF((V90-R90)&gt;3,"SI","")</f>
        <v/>
      </c>
      <c r="J90" s="77" t="inlineStr">
        <is>
          <t>SI</t>
        </is>
      </c>
      <c r="K90" s="77" t="n"/>
      <c r="L90" s="77" t="n"/>
      <c r="M90" s="137">
        <f>IF(R90&gt;0,(SQRT(BT90*(SUM(BU90:BZ90)))),"")</f>
        <v/>
      </c>
      <c r="N90" s="4">
        <f>IF(T90&gt;0,(MAX(T90,Z90,AD90,AH90,AL90,AP90))+SQRT(1.2^2+1^2),"")</f>
        <v/>
      </c>
      <c r="O90" s="3">
        <f>IF(R90="",0,10*LOG10(SUM(BG90:BL90)/(COUNT(R90,X90,AB90,AF90,AJ90,AN90))))</f>
        <v/>
      </c>
      <c r="P90" s="5">
        <f>IF(AND(Y90="",AC90="",AG90="",AK90="",AO90=""),S90,AVERAGE(S90,Y90,AC90,AG90,AK90,AO90)+STDEV(S90,Y90,AC90,AG90,AK90,AO90))</f>
        <v/>
      </c>
      <c r="Q90" s="14" t="n">
        <v>300</v>
      </c>
      <c r="R90" s="11" t="n">
        <v>103.8</v>
      </c>
      <c r="S90" s="12" t="n">
        <v>102.3</v>
      </c>
      <c r="T90" s="13" t="n">
        <v>118.6</v>
      </c>
      <c r="U90" s="79" t="n"/>
      <c r="V90" s="79" t="n"/>
      <c r="W90" s="10" t="n">
        <v>300</v>
      </c>
      <c r="X90" s="11" t="n">
        <v>104</v>
      </c>
      <c r="Y90" s="12" t="n">
        <v>102.5</v>
      </c>
      <c r="Z90" s="13" t="n">
        <v>119.3</v>
      </c>
      <c r="AA90" s="10" t="n">
        <v>300</v>
      </c>
      <c r="AB90" s="11" t="n">
        <v>104.3</v>
      </c>
      <c r="AC90" s="12" t="n">
        <v>102.8</v>
      </c>
      <c r="AD90" s="13" t="n">
        <v>118.7</v>
      </c>
      <c r="AE90" s="14" t="n">
        <v>300</v>
      </c>
      <c r="AF90" s="11" t="n">
        <v>108.8</v>
      </c>
      <c r="AG90" s="12" t="n">
        <v>107.2</v>
      </c>
      <c r="AH90" s="13" t="n">
        <v>124.9</v>
      </c>
      <c r="AI90" s="10" t="n">
        <v>300</v>
      </c>
      <c r="AJ90" s="11" t="n">
        <v>109</v>
      </c>
      <c r="AK90" s="12" t="n">
        <v>107.4</v>
      </c>
      <c r="AL90" s="13" t="n">
        <v>124.9</v>
      </c>
      <c r="AM90" s="10" t="n">
        <v>300</v>
      </c>
      <c r="AN90" s="11" t="n">
        <v>109.5</v>
      </c>
      <c r="AO90" s="12" t="n">
        <v>107.9</v>
      </c>
      <c r="AP90" s="13" t="n">
        <v>125.3</v>
      </c>
      <c r="AQ90" s="6">
        <f>IF(AND((O90)&lt;85,N90&lt;137),"NO","SI")</f>
        <v/>
      </c>
      <c r="AR90" s="7">
        <f>IF((480*(10^(7.95-(O90/10))))&lt;480,480*(10^(7.95-(O90/10))),480)</f>
        <v/>
      </c>
      <c r="AS90" s="8">
        <f>IF((480*(10^(8.45-(O90/10))))&lt;480,480*(10^(8.45-(O90/10))),480)</f>
        <v/>
      </c>
      <c r="AT90" s="9">
        <f>IF((480*(10^(8.65-(O90/10))))&lt;480,480*(10^(8.65-(O90/10))),480)</f>
        <v/>
      </c>
      <c r="AU90" s="111">
        <f>IF(O90&lt;80,"0",IF((P90-O90)&lt;=2,('DPI art.191'!$G$3-(('DPI art.191'!$F$3-'DPI art.191'!$G$3)/4)*(P90-O90-2)),('DPI art.191'!$G$3-(('DPI art.191'!$G$3-'DPI art.191'!$H$3)/8)*(P90-O90-2))))</f>
        <v/>
      </c>
      <c r="AV90" s="24">
        <f>O90-AU90</f>
        <v/>
      </c>
      <c r="AW90" s="24">
        <f>IF(N90&lt;135,N90,N90-'DPI art.191'!$I$3)</f>
        <v/>
      </c>
      <c r="AX90" s="111">
        <f>IF(I90&lt;80,"0",IF((J90-I90)&lt;=2,('DPI art.191'!$G$7-(('DPI art.191'!$F$7-'DPI art.191'!$G$7)/4)*(I90-J90-2)),('DPI art.191'!$G$7-(('DPI art.191'!$G$7-'DPI art.191'!$H$7)/8)*(J90-I90-2))))</f>
        <v/>
      </c>
      <c r="AY90" s="24">
        <f>I90-AX90</f>
        <v/>
      </c>
      <c r="AZ90" s="24">
        <f>IF(H90&lt;135,H90,H90-'DPI art.191'!$I$7)</f>
        <v/>
      </c>
      <c r="BA90" s="111">
        <f>IF(O90&lt;80,"0",IF((P90-O90)&lt;=2,('DPI art.191'!$G$5-(('DPI art.191'!$F$5-'DPI art.191'!$G$5)/4)*(P90-O90-2)),('DPI art.191'!$G$5-(('DPI art.191'!$G$5-'DPI art.191'!$H$5)/8)*(P90-O90-2))))</f>
        <v/>
      </c>
      <c r="BB90" s="24">
        <f>R90-BA90</f>
        <v/>
      </c>
      <c r="BC90" s="24">
        <f>IF(N90&lt;135,N90,N90-'DPI art.191'!$I$5)</f>
        <v/>
      </c>
      <c r="BD90" s="111">
        <f>IF(O90&lt;80,"0",IF((P90-O90)&lt;=2,('DPI art.191'!$G$7-(('DPI art.191'!$F$7-'DPI art.191'!$G$7)/4)*(O90-P90-2)),('DPI art.191'!$G$7-(('DPI art.191'!$G$7-'DPI art.191'!$H$7)/8)*(P90-O90-2))))</f>
        <v/>
      </c>
      <c r="BE90" s="24">
        <f>O90-BD90</f>
        <v/>
      </c>
      <c r="BF90" s="24">
        <f>IF(N90&lt;135,N90,N90-'DPI art.191'!$I$7)</f>
        <v/>
      </c>
      <c r="BG90" s="108">
        <f>10^(0.1*R90)</f>
        <v/>
      </c>
      <c r="BH90" s="108">
        <f>10^(0.1*X90)</f>
        <v/>
      </c>
      <c r="BI90" s="108">
        <f>10^(0.1*AB90)</f>
        <v/>
      </c>
      <c r="BJ90" s="108">
        <f>10^(0.1*AF90)</f>
        <v/>
      </c>
      <c r="BK90" s="108">
        <f>10^(0.1*AJ90)</f>
        <v/>
      </c>
      <c r="BL90" s="108">
        <f>10^(0.1*AN90)</f>
        <v/>
      </c>
      <c r="BM90" s="106">
        <f>IF(R90&gt;0,(O90-R90),"")</f>
        <v/>
      </c>
      <c r="BN90" s="106">
        <f>IF(X90&gt;0,(O90-X90),"")</f>
        <v/>
      </c>
      <c r="BO90" s="106">
        <f>IF(AB90&gt;0,(O90-AB90),"")</f>
        <v/>
      </c>
      <c r="BP90" s="106">
        <f>IF(AF90&gt;0,(O90-AF90),"")</f>
        <v/>
      </c>
      <c r="BQ90" s="106">
        <f>IF(AJ90&gt;0,(O90-AJ90),"")</f>
        <v/>
      </c>
      <c r="BR90" s="106">
        <f>IF(AN90&gt;0,(O90-AN90),"")</f>
        <v/>
      </c>
      <c r="BS90" s="106">
        <f>COUNT(BM90:BR90)</f>
        <v/>
      </c>
      <c r="BT90" s="464">
        <f>IF(BS90=0,0,IF(BS90=1,0,1/(BS90*(BS90-1))))</f>
        <v/>
      </c>
      <c r="BU90" s="136">
        <f>IF(R90&gt;0,(BM90^2),"")</f>
        <v/>
      </c>
      <c r="BV90" s="136">
        <f>IF(X90&gt;0,(BN90^2),"")</f>
        <v/>
      </c>
      <c r="BW90" s="136">
        <f>IF(AB90&gt;0,(BO90^2),"")</f>
        <v/>
      </c>
      <c r="BX90" s="136">
        <f>IF(AF90&gt;0,(BP90^2),"")</f>
        <v/>
      </c>
      <c r="BY90" s="136">
        <f>IF(AJ90&gt;0,(BQ90^2),"")</f>
        <v/>
      </c>
      <c r="BZ90" s="136">
        <f>IF(AN90&gt;0,(BR90^2),"")</f>
        <v/>
      </c>
    </row>
    <row r="91" ht="18.75" customHeight="1" s="444">
      <c r="A91" s="340" t="inlineStr">
        <is>
          <t>017/0914</t>
        </is>
      </c>
      <c r="B91" s="65" t="inlineStr">
        <is>
          <t>W31</t>
        </is>
      </c>
      <c r="C91" s="78" t="inlineStr">
        <is>
          <t>Mola piccola</t>
        </is>
      </c>
      <c r="D91" s="83" t="inlineStr">
        <is>
          <t>BOSCH</t>
        </is>
      </c>
      <c r="E91" s="83" t="inlineStr">
        <is>
          <t>gws 17-150 ci</t>
        </is>
      </c>
      <c r="F91" s="78" t="inlineStr">
        <is>
          <t>Taglio con mola piccola</t>
        </is>
      </c>
      <c r="G91" s="71" t="n">
        <v>46003</v>
      </c>
      <c r="H91" s="77" t="inlineStr">
        <is>
          <t>Compito</t>
        </is>
      </c>
      <c r="I91" s="77">
        <f>IF((V91-R91)&gt;3,"SI","")</f>
        <v/>
      </c>
      <c r="J91" s="77" t="inlineStr">
        <is>
          <t>SI</t>
        </is>
      </c>
      <c r="K91" s="77" t="n"/>
      <c r="L91" s="77" t="n"/>
      <c r="M91" s="137">
        <f>IF(R91&gt;0,(SQRT(BT91*(SUM(BU91:BZ91)))),"")</f>
        <v/>
      </c>
      <c r="N91" s="4">
        <f>IF(T91&gt;0,(MAX(T91,Z91,AD91,AH91,AL91,AP91))+SQRT(1.2^2+1^2),"")</f>
        <v/>
      </c>
      <c r="O91" s="3">
        <f>IF(R91="",0,10*LOG10(SUM(BG91:BL91)/(COUNT(R91,X91,AB91,AF91,AJ91,AN91))))</f>
        <v/>
      </c>
      <c r="P91" s="5">
        <f>IF(AND(Y91="",AC91="",AG91="",AK91="",AO91=""),S91,AVERAGE(S91,Y91,AC91,AG91,AK91,AO91)+STDEV(S91,Y91,AC91,AG91,AK91,AO91))</f>
        <v/>
      </c>
      <c r="Q91" s="14" t="n">
        <v>300</v>
      </c>
      <c r="R91" s="11" t="n">
        <v>109.1</v>
      </c>
      <c r="S91" s="12" t="n">
        <v>107.4</v>
      </c>
      <c r="T91" s="13" t="n">
        <v>126.4</v>
      </c>
      <c r="U91" s="79" t="n"/>
      <c r="V91" s="79" t="n"/>
      <c r="W91" s="10" t="n">
        <v>300</v>
      </c>
      <c r="X91" s="11" t="n">
        <v>108.6</v>
      </c>
      <c r="Y91" s="12" t="n">
        <v>107</v>
      </c>
      <c r="Z91" s="13" t="n">
        <v>124.9</v>
      </c>
      <c r="AA91" s="10" t="n">
        <v>300</v>
      </c>
      <c r="AB91" s="11" t="n">
        <v>109.2</v>
      </c>
      <c r="AC91" s="12" t="n">
        <v>107.5</v>
      </c>
      <c r="AD91" s="13" t="n">
        <v>124</v>
      </c>
      <c r="AE91" s="14" t="n">
        <v>300</v>
      </c>
      <c r="AF91" s="11" t="n">
        <v>109.1</v>
      </c>
      <c r="AG91" s="12" t="n">
        <v>107.4</v>
      </c>
      <c r="AH91" s="13" t="n">
        <v>124.2</v>
      </c>
      <c r="AI91" s="10" t="n">
        <v>300</v>
      </c>
      <c r="AJ91" s="11" t="n">
        <v>108.2</v>
      </c>
      <c r="AK91" s="12" t="n">
        <v>106.5</v>
      </c>
      <c r="AL91" s="13" t="n">
        <v>123.6</v>
      </c>
      <c r="AM91" s="10" t="n">
        <v>300</v>
      </c>
      <c r="AN91" s="11" t="n">
        <v>106.5</v>
      </c>
      <c r="AO91" s="12" t="n">
        <v>104.9</v>
      </c>
      <c r="AP91" s="13" t="n">
        <v>122.6</v>
      </c>
      <c r="AQ91" s="6">
        <f>IF(AND((O91)&lt;85,N91&lt;137),"NO","SI")</f>
        <v/>
      </c>
      <c r="AR91" s="7">
        <f>IF((480*(10^(7.95-(O91/10))))&lt;480,480*(10^(7.95-(O91/10))),480)</f>
        <v/>
      </c>
      <c r="AS91" s="8">
        <f>IF((480*(10^(8.45-(O91/10))))&lt;480,480*(10^(8.45-(O91/10))),480)</f>
        <v/>
      </c>
      <c r="AT91" s="9">
        <f>IF((480*(10^(8.65-(O91/10))))&lt;480,480*(10^(8.65-(O91/10))),480)</f>
        <v/>
      </c>
      <c r="AU91" s="111">
        <f>IF(O91&lt;80,"0",IF((P91-O91)&lt;=2,('DPI art.191'!$G$3-(('DPI art.191'!$F$3-'DPI art.191'!$G$3)/4)*(P91-O91-2)),('DPI art.191'!$G$3-(('DPI art.191'!$G$3-'DPI art.191'!$H$3)/8)*(P91-O91-2))))</f>
        <v/>
      </c>
      <c r="AV91" s="24">
        <f>O91-AU91</f>
        <v/>
      </c>
      <c r="AW91" s="24">
        <f>IF(N91&lt;135,N91,N91-'DPI art.191'!$I$3)</f>
        <v/>
      </c>
      <c r="AX91" s="111">
        <f>IF(I91&lt;80,"0",IF((J91-I91)&lt;=2,('DPI art.191'!$G$7-(('DPI art.191'!$F$7-'DPI art.191'!$G$7)/4)*(I91-J91-2)),('DPI art.191'!$G$7-(('DPI art.191'!$G$7-'DPI art.191'!$H$7)/8)*(J91-I91-2))))</f>
        <v/>
      </c>
      <c r="AY91" s="24">
        <f>I91-AX91</f>
        <v/>
      </c>
      <c r="AZ91" s="24">
        <f>IF(H91&lt;135,H91,H91-'DPI art.191'!$I$7)</f>
        <v/>
      </c>
      <c r="BA91" s="111">
        <f>IF(O91&lt;80,"0",IF((P91-O91)&lt;=2,('DPI art.191'!$G$5-(('DPI art.191'!$F$5-'DPI art.191'!$G$5)/4)*(P91-O91-2)),('DPI art.191'!$G$5-(('DPI art.191'!$G$5-'DPI art.191'!$H$5)/8)*(P91-O91-2))))</f>
        <v/>
      </c>
      <c r="BB91" s="24">
        <f>R91-BA91</f>
        <v/>
      </c>
      <c r="BC91" s="24">
        <f>IF(N91&lt;135,N91,N91-'DPI art.191'!$I$5)</f>
        <v/>
      </c>
      <c r="BD91" s="111">
        <f>IF(O91&lt;80,"0",IF((P91-O91)&lt;=2,('DPI art.191'!$G$7-(('DPI art.191'!$F$7-'DPI art.191'!$G$7)/4)*(O91-P91-2)),('DPI art.191'!$G$7-(('DPI art.191'!$G$7-'DPI art.191'!$H$7)/8)*(P91-O91-2))))</f>
        <v/>
      </c>
      <c r="BE91" s="24">
        <f>O91-BD91</f>
        <v/>
      </c>
      <c r="BF91" s="24">
        <f>IF(N91&lt;135,N91,N91-'DPI art.191'!$I$7)</f>
        <v/>
      </c>
      <c r="BG91" s="108">
        <f>10^(0.1*R91)</f>
        <v/>
      </c>
      <c r="BH91" s="108">
        <f>10^(0.1*X91)</f>
        <v/>
      </c>
      <c r="BI91" s="108">
        <f>10^(0.1*AB91)</f>
        <v/>
      </c>
      <c r="BJ91" s="108">
        <f>10^(0.1*AF91)</f>
        <v/>
      </c>
      <c r="BK91" s="108">
        <f>10^(0.1*AJ91)</f>
        <v/>
      </c>
      <c r="BL91" s="108">
        <f>10^(0.1*AN91)</f>
        <v/>
      </c>
      <c r="BM91" s="106">
        <f>IF(R91&gt;0,(O91-R91),"")</f>
        <v/>
      </c>
      <c r="BN91" s="106">
        <f>IF(X91&gt;0,(O91-X91),"")</f>
        <v/>
      </c>
      <c r="BO91" s="106">
        <f>IF(AB91&gt;0,(O91-AB91),"")</f>
        <v/>
      </c>
      <c r="BP91" s="106">
        <f>IF(AF91&gt;0,(O91-AF91),"")</f>
        <v/>
      </c>
      <c r="BQ91" s="106">
        <f>IF(AJ91&gt;0,(O91-AJ91),"")</f>
        <v/>
      </c>
      <c r="BR91" s="106">
        <f>IF(AN91&gt;0,(O91-AN91),"")</f>
        <v/>
      </c>
      <c r="BS91" s="106">
        <f>COUNT(BM91:BR91)</f>
        <v/>
      </c>
      <c r="BT91" s="464">
        <f>IF(BS91=0,0,IF(BS91=1,0,1/(BS91*(BS91-1))))</f>
        <v/>
      </c>
      <c r="BU91" s="136">
        <f>IF(R91&gt;0,(BM91^2),"")</f>
        <v/>
      </c>
      <c r="BV91" s="136">
        <f>IF(X91&gt;0,(BN91^2),"")</f>
        <v/>
      </c>
      <c r="BW91" s="136">
        <f>IF(AB91&gt;0,(BO91^2),"")</f>
        <v/>
      </c>
      <c r="BX91" s="136">
        <f>IF(AF91&gt;0,(BP91^2),"")</f>
        <v/>
      </c>
      <c r="BY91" s="136">
        <f>IF(AJ91&gt;0,(BQ91^2),"")</f>
        <v/>
      </c>
      <c r="BZ91" s="136">
        <f>IF(AN91&gt;0,(BR91^2),"")</f>
        <v/>
      </c>
    </row>
    <row r="92" ht="18.75" customHeight="1" s="444">
      <c r="A92" s="340" t="inlineStr">
        <is>
          <t>017/0914</t>
        </is>
      </c>
      <c r="B92" s="65" t="inlineStr">
        <is>
          <t>W32</t>
        </is>
      </c>
      <c r="C92" s="78" t="inlineStr">
        <is>
          <t>Mola piccola</t>
        </is>
      </c>
      <c r="D92" s="83" t="inlineStr">
        <is>
          <t>BOSCH</t>
        </is>
      </c>
      <c r="E92" s="83" t="inlineStr">
        <is>
          <t>gws 17-150 ci</t>
        </is>
      </c>
      <c r="F92" s="78" t="inlineStr">
        <is>
          <t>Molatura con mola piccola sgrosso</t>
        </is>
      </c>
      <c r="G92" s="71" t="n">
        <v>46003</v>
      </c>
      <c r="H92" s="77" t="inlineStr">
        <is>
          <t>Compito</t>
        </is>
      </c>
      <c r="I92" s="77">
        <f>IF((V92-R92)&gt;3,"SI","")</f>
        <v/>
      </c>
      <c r="J92" s="77" t="inlineStr">
        <is>
          <t>SI</t>
        </is>
      </c>
      <c r="K92" s="77" t="n"/>
      <c r="L92" s="77" t="n"/>
      <c r="M92" s="137">
        <f>IF(R92&gt;0,(SQRT(BT92*(SUM(BU92:BZ92)))),"")</f>
        <v/>
      </c>
      <c r="N92" s="4">
        <f>IF(T92&gt;0,(MAX(T92,Z92,AD92,AH92,AL92,AP92))+SQRT(1.2^2+1^2),"")</f>
        <v/>
      </c>
      <c r="O92" s="3">
        <f>IF(R92="",0,10*LOG10(SUM(BG92:BL92)/(COUNT(R92,X92,AB92,AF92,AJ92,AN92))))</f>
        <v/>
      </c>
      <c r="P92" s="5">
        <f>IF(AND(Y92="",AC92="",AG92="",AK92="",AO92=""),S92,AVERAGE(S92,Y92,AC92,AG92,AK92,AO92)+STDEV(S92,Y92,AC92,AG92,AK92,AO92))</f>
        <v/>
      </c>
      <c r="Q92" s="14" t="n">
        <v>300</v>
      </c>
      <c r="R92" s="11" t="n">
        <v>105.4</v>
      </c>
      <c r="S92" s="12" t="n">
        <v>103.9</v>
      </c>
      <c r="T92" s="13" t="n">
        <v>121.1</v>
      </c>
      <c r="U92" s="79" t="n"/>
      <c r="V92" s="79" t="n"/>
      <c r="W92" s="10" t="n">
        <v>300</v>
      </c>
      <c r="X92" s="11" t="n">
        <v>104.3</v>
      </c>
      <c r="Y92" s="12" t="n">
        <v>102.8</v>
      </c>
      <c r="Z92" s="13" t="n">
        <v>120.1</v>
      </c>
      <c r="AA92" s="10" t="n">
        <v>300</v>
      </c>
      <c r="AB92" s="11" t="n">
        <v>109.4</v>
      </c>
      <c r="AC92" s="12" t="n">
        <v>107.8</v>
      </c>
      <c r="AD92" s="13" t="n">
        <v>123</v>
      </c>
      <c r="AE92" s="14" t="n">
        <v>300</v>
      </c>
      <c r="AF92" s="11" t="n">
        <v>106.9</v>
      </c>
      <c r="AG92" s="12" t="n">
        <v>105.3</v>
      </c>
      <c r="AH92" s="13" t="n">
        <v>122.5</v>
      </c>
      <c r="AI92" s="10" t="n">
        <v>300</v>
      </c>
      <c r="AJ92" s="11" t="n">
        <v>106.6</v>
      </c>
      <c r="AK92" s="12" t="n">
        <v>105.1</v>
      </c>
      <c r="AL92" s="13" t="n">
        <v>120.2</v>
      </c>
      <c r="AM92" s="10" t="n">
        <v>300</v>
      </c>
      <c r="AN92" s="11" t="n">
        <v>106.7</v>
      </c>
      <c r="AO92" s="12" t="n">
        <v>105.2</v>
      </c>
      <c r="AP92" s="13" t="n">
        <v>120.8</v>
      </c>
      <c r="AQ92" s="6">
        <f>IF(AND((O92)&lt;85,N92&lt;137),"NO","SI")</f>
        <v/>
      </c>
      <c r="AR92" s="7">
        <f>IF((480*(10^(7.95-(O92/10))))&lt;480,480*(10^(7.95-(O92/10))),480)</f>
        <v/>
      </c>
      <c r="AS92" s="8">
        <f>IF((480*(10^(8.45-(O92/10))))&lt;480,480*(10^(8.45-(O92/10))),480)</f>
        <v/>
      </c>
      <c r="AT92" s="9">
        <f>IF((480*(10^(8.65-(O92/10))))&lt;480,480*(10^(8.65-(O92/10))),480)</f>
        <v/>
      </c>
      <c r="AU92" s="111">
        <f>IF(O92&lt;80,"0",IF((P92-O92)&lt;=2,('DPI art.191'!$G$3-(('DPI art.191'!$F$3-'DPI art.191'!$G$3)/4)*(P92-O92-2)),('DPI art.191'!$G$3-(('DPI art.191'!$G$3-'DPI art.191'!$H$3)/8)*(P92-O92-2))))</f>
        <v/>
      </c>
      <c r="AV92" s="24">
        <f>O92-AU92</f>
        <v/>
      </c>
      <c r="AW92" s="24">
        <f>IF(N92&lt;135,N92,N92-'DPI art.191'!$I$3)</f>
        <v/>
      </c>
      <c r="AX92" s="111">
        <f>IF(I92&lt;80,"0",IF((J92-I92)&lt;=2,('DPI art.191'!$G$7-(('DPI art.191'!$F$7-'DPI art.191'!$G$7)/4)*(I92-J92-2)),('DPI art.191'!$G$7-(('DPI art.191'!$G$7-'DPI art.191'!$H$7)/8)*(J92-I92-2))))</f>
        <v/>
      </c>
      <c r="AY92" s="24">
        <f>I92-AX92</f>
        <v/>
      </c>
      <c r="AZ92" s="24">
        <f>IF(H92&lt;135,H92,H92-'DPI art.191'!$I$7)</f>
        <v/>
      </c>
      <c r="BA92" s="111">
        <f>IF(O92&lt;80,"0",IF((P92-O92)&lt;=2,('DPI art.191'!$G$5-(('DPI art.191'!$F$5-'DPI art.191'!$G$5)/4)*(P92-O92-2)),('DPI art.191'!$G$5-(('DPI art.191'!$G$5-'DPI art.191'!$H$5)/8)*(P92-O92-2))))</f>
        <v/>
      </c>
      <c r="BB92" s="24">
        <f>R92-BA92</f>
        <v/>
      </c>
      <c r="BC92" s="24">
        <f>IF(N92&lt;135,N92,N92-'DPI art.191'!$I$5)</f>
        <v/>
      </c>
      <c r="BD92" s="111">
        <f>IF(O92&lt;80,"0",IF((P92-O92)&lt;=2,('DPI art.191'!$G$7-(('DPI art.191'!$F$7-'DPI art.191'!$G$7)/4)*(O92-P92-2)),('DPI art.191'!$G$7-(('DPI art.191'!$G$7-'DPI art.191'!$H$7)/8)*(P92-O92-2))))</f>
        <v/>
      </c>
      <c r="BE92" s="24">
        <f>O92-BD92</f>
        <v/>
      </c>
      <c r="BF92" s="24">
        <f>IF(N92&lt;135,N92,N92-'DPI art.191'!$I$7)</f>
        <v/>
      </c>
      <c r="BG92" s="108">
        <f>10^(0.1*R92)</f>
        <v/>
      </c>
      <c r="BH92" s="108">
        <f>10^(0.1*X92)</f>
        <v/>
      </c>
      <c r="BI92" s="108">
        <f>10^(0.1*AB92)</f>
        <v/>
      </c>
      <c r="BJ92" s="108">
        <f>10^(0.1*AF92)</f>
        <v/>
      </c>
      <c r="BK92" s="108">
        <f>10^(0.1*AJ92)</f>
        <v/>
      </c>
      <c r="BL92" s="108">
        <f>10^(0.1*AN92)</f>
        <v/>
      </c>
      <c r="BM92" s="106">
        <f>IF(R92&gt;0,(O92-R92),"")</f>
        <v/>
      </c>
      <c r="BN92" s="106">
        <f>IF(X92&gt;0,(O92-X92),"")</f>
        <v/>
      </c>
      <c r="BO92" s="106">
        <f>IF(AB92&gt;0,(O92-AB92),"")</f>
        <v/>
      </c>
      <c r="BP92" s="106">
        <f>IF(AF92&gt;0,(O92-AF92),"")</f>
        <v/>
      </c>
      <c r="BQ92" s="106">
        <f>IF(AJ92&gt;0,(O92-AJ92),"")</f>
        <v/>
      </c>
      <c r="BR92" s="106">
        <f>IF(AN92&gt;0,(O92-AN92),"")</f>
        <v/>
      </c>
      <c r="BS92" s="106">
        <f>COUNT(BM92:BR92)</f>
        <v/>
      </c>
      <c r="BT92" s="464">
        <f>IF(BS92=0,0,IF(BS92=1,0,1/(BS92*(BS92-1))))</f>
        <v/>
      </c>
      <c r="BU92" s="136">
        <f>IF(R92&gt;0,(BM92^2),"")</f>
        <v/>
      </c>
      <c r="BV92" s="136">
        <f>IF(X92&gt;0,(BN92^2),"")</f>
        <v/>
      </c>
      <c r="BW92" s="136">
        <f>IF(AB92&gt;0,(BO92^2),"")</f>
        <v/>
      </c>
      <c r="BX92" s="136">
        <f>IF(AF92&gt;0,(BP92^2),"")</f>
        <v/>
      </c>
      <c r="BY92" s="136">
        <f>IF(AJ92&gt;0,(BQ92^2),"")</f>
        <v/>
      </c>
      <c r="BZ92" s="136">
        <f>IF(AN92&gt;0,(BR92^2),"")</f>
        <v/>
      </c>
    </row>
    <row r="93" ht="18.75" customHeight="1" s="444">
      <c r="A93" s="340" t="inlineStr">
        <is>
          <t>017/0914</t>
        </is>
      </c>
      <c r="B93" s="65" t="inlineStr">
        <is>
          <t>W33</t>
        </is>
      </c>
      <c r="C93" s="78" t="inlineStr">
        <is>
          <t>Mola piccola</t>
        </is>
      </c>
      <c r="D93" s="83" t="inlineStr">
        <is>
          <t>BOSCH</t>
        </is>
      </c>
      <c r="E93" s="83" t="inlineStr">
        <is>
          <t>gws 17-150 ci</t>
        </is>
      </c>
      <c r="F93" s="78" t="inlineStr">
        <is>
          <t>Molatura con mola piccola lamellare</t>
        </is>
      </c>
      <c r="G93" s="71" t="n">
        <v>46003</v>
      </c>
      <c r="H93" s="77" t="inlineStr">
        <is>
          <t>Compito</t>
        </is>
      </c>
      <c r="I93" s="77">
        <f>IF((V93-R93)&gt;3,"SI","")</f>
        <v/>
      </c>
      <c r="J93" s="77" t="inlineStr">
        <is>
          <t>SI</t>
        </is>
      </c>
      <c r="K93" s="77" t="n"/>
      <c r="L93" s="77" t="n"/>
      <c r="M93" s="137">
        <f>IF(R93&gt;0,(SQRT(BT93*(SUM(BU93:BZ93)))),"")</f>
        <v/>
      </c>
      <c r="N93" s="4">
        <f>IF(T93&gt;0,(MAX(T93,Z93,AD93,AH93,AL93,AP93))+SQRT(1.2^2+1^2),"")</f>
        <v/>
      </c>
      <c r="O93" s="3">
        <f>IF(R93="",0,10*LOG10(SUM(BG93:BL93)/(COUNT(R93,X93,AB93,AF93,AJ93,AN93))))</f>
        <v/>
      </c>
      <c r="P93" s="5">
        <f>IF(AND(Y93="",AC93="",AG93="",AK93="",AO93=""),S93,AVERAGE(S93,Y93,AC93,AG93,AK93,AO93)+STDEV(S93,Y93,AC93,AG93,AK93,AO93))</f>
        <v/>
      </c>
      <c r="Q93" s="14" t="n">
        <v>300</v>
      </c>
      <c r="R93" s="11" t="n">
        <v>108.8</v>
      </c>
      <c r="S93" s="12" t="n">
        <v>107.2</v>
      </c>
      <c r="T93" s="13" t="n">
        <v>124.9</v>
      </c>
      <c r="U93" s="79" t="n"/>
      <c r="V93" s="79" t="n"/>
      <c r="W93" s="10" t="n">
        <v>300</v>
      </c>
      <c r="X93" s="11" t="n">
        <v>107.8</v>
      </c>
      <c r="Y93" s="12" t="n">
        <v>106.2</v>
      </c>
      <c r="Z93" s="13" t="n">
        <v>123.7</v>
      </c>
      <c r="AA93" s="10" t="n">
        <v>300</v>
      </c>
      <c r="AB93" s="11" t="n">
        <v>109.2</v>
      </c>
      <c r="AC93" s="12" t="n">
        <v>107.7</v>
      </c>
      <c r="AD93" s="13" t="n">
        <v>124.4</v>
      </c>
      <c r="AE93" s="14" t="n">
        <v>300</v>
      </c>
      <c r="AF93" s="11" t="n">
        <v>108.8</v>
      </c>
      <c r="AG93" s="12" t="n">
        <v>107.2</v>
      </c>
      <c r="AH93" s="13" t="n">
        <v>124.9</v>
      </c>
      <c r="AI93" s="10" t="n">
        <v>300</v>
      </c>
      <c r="AJ93" s="11" t="n">
        <v>110.2</v>
      </c>
      <c r="AK93" s="12" t="n">
        <v>108.6</v>
      </c>
      <c r="AL93" s="13" t="n">
        <v>125.2</v>
      </c>
      <c r="AM93" s="10" t="n">
        <v>300</v>
      </c>
      <c r="AN93" s="11" t="n">
        <v>109.8</v>
      </c>
      <c r="AO93" s="12" t="n">
        <v>108.2</v>
      </c>
      <c r="AP93" s="13" t="n">
        <v>125.3</v>
      </c>
      <c r="AQ93" s="6">
        <f>IF(AND((O93)&lt;85,N93&lt;137),"NO","SI")</f>
        <v/>
      </c>
      <c r="AR93" s="7">
        <f>IF((480*(10^(7.95-(O93/10))))&lt;480,480*(10^(7.95-(O93/10))),480)</f>
        <v/>
      </c>
      <c r="AS93" s="8">
        <f>IF((480*(10^(8.45-(O93/10))))&lt;480,480*(10^(8.45-(O93/10))),480)</f>
        <v/>
      </c>
      <c r="AT93" s="9">
        <f>IF((480*(10^(8.65-(O93/10))))&lt;480,480*(10^(8.65-(O93/10))),480)</f>
        <v/>
      </c>
      <c r="AU93" s="111">
        <f>IF(O93&lt;80,"0",IF((P93-O93)&lt;=2,('DPI art.191'!$G$3-(('DPI art.191'!$F$3-'DPI art.191'!$G$3)/4)*(P93-O93-2)),('DPI art.191'!$G$3-(('DPI art.191'!$G$3-'DPI art.191'!$H$3)/8)*(P93-O93-2))))</f>
        <v/>
      </c>
      <c r="AV93" s="24">
        <f>O93-AU93</f>
        <v/>
      </c>
      <c r="AW93" s="24">
        <f>IF(N93&lt;135,N93,N93-'DPI art.191'!$I$3)</f>
        <v/>
      </c>
      <c r="AX93" s="111">
        <f>IF(I93&lt;80,"0",IF((J93-I93)&lt;=2,('DPI art.191'!$G$7-(('DPI art.191'!$F$7-'DPI art.191'!$G$7)/4)*(I93-J93-2)),('DPI art.191'!$G$7-(('DPI art.191'!$G$7-'DPI art.191'!$H$7)/8)*(J93-I93-2))))</f>
        <v/>
      </c>
      <c r="AY93" s="24">
        <f>I93-AX93</f>
        <v/>
      </c>
      <c r="AZ93" s="24">
        <f>IF(H93&lt;135,H93,H93-'DPI art.191'!$I$7)</f>
        <v/>
      </c>
      <c r="BA93" s="111">
        <f>IF(O93&lt;80,"0",IF((P93-O93)&lt;=2,('DPI art.191'!$G$5-(('DPI art.191'!$F$5-'DPI art.191'!$G$5)/4)*(P93-O93-2)),('DPI art.191'!$G$5-(('DPI art.191'!$G$5-'DPI art.191'!$H$5)/8)*(P93-O93-2))))</f>
        <v/>
      </c>
      <c r="BB93" s="24">
        <f>R93-BA93</f>
        <v/>
      </c>
      <c r="BC93" s="24">
        <f>IF(N93&lt;135,N93,N93-'DPI art.191'!$I$5)</f>
        <v/>
      </c>
      <c r="BD93" s="111">
        <f>IF(O93&lt;80,"0",IF((P93-O93)&lt;=2,('DPI art.191'!$G$7-(('DPI art.191'!$F$7-'DPI art.191'!$G$7)/4)*(O93-P93-2)),('DPI art.191'!$G$7-(('DPI art.191'!$G$7-'DPI art.191'!$H$7)/8)*(P93-O93-2))))</f>
        <v/>
      </c>
      <c r="BE93" s="24">
        <f>O93-BD93</f>
        <v/>
      </c>
      <c r="BF93" s="24">
        <f>IF(N93&lt;135,N93,N93-'DPI art.191'!$I$7)</f>
        <v/>
      </c>
      <c r="BG93" s="108">
        <f>10^(0.1*R93)</f>
        <v/>
      </c>
      <c r="BH93" s="108">
        <f>10^(0.1*X93)</f>
        <v/>
      </c>
      <c r="BI93" s="108">
        <f>10^(0.1*AB93)</f>
        <v/>
      </c>
      <c r="BJ93" s="108">
        <f>10^(0.1*AF93)</f>
        <v/>
      </c>
      <c r="BK93" s="108">
        <f>10^(0.1*AJ93)</f>
        <v/>
      </c>
      <c r="BL93" s="108">
        <f>10^(0.1*AN93)</f>
        <v/>
      </c>
      <c r="BM93" s="106">
        <f>IF(R93&gt;0,(O93-R93),"")</f>
        <v/>
      </c>
      <c r="BN93" s="106">
        <f>IF(X93&gt;0,(O93-X93),"")</f>
        <v/>
      </c>
      <c r="BO93" s="106">
        <f>IF(AB93&gt;0,(O93-AB93),"")</f>
        <v/>
      </c>
      <c r="BP93" s="106">
        <f>IF(AF93&gt;0,(O93-AF93),"")</f>
        <v/>
      </c>
      <c r="BQ93" s="106">
        <f>IF(AJ93&gt;0,(O93-AJ93),"")</f>
        <v/>
      </c>
      <c r="BR93" s="106">
        <f>IF(AN93&gt;0,(O93-AN93),"")</f>
        <v/>
      </c>
      <c r="BS93" s="106">
        <f>COUNT(BM93:BR93)</f>
        <v/>
      </c>
      <c r="BT93" s="464">
        <f>IF(BS93=0,0,IF(BS93=1,0,1/(BS93*(BS93-1))))</f>
        <v/>
      </c>
      <c r="BU93" s="136">
        <f>IF(R93&gt;0,(BM93^2),"")</f>
        <v/>
      </c>
      <c r="BV93" s="136">
        <f>IF(X93&gt;0,(BN93^2),"")</f>
        <v/>
      </c>
      <c r="BW93" s="136">
        <f>IF(AB93&gt;0,(BO93^2),"")</f>
        <v/>
      </c>
      <c r="BX93" s="136">
        <f>IF(AF93&gt;0,(BP93^2),"")</f>
        <v/>
      </c>
      <c r="BY93" s="136">
        <f>IF(AJ93&gt;0,(BQ93^2),"")</f>
        <v/>
      </c>
      <c r="BZ93" s="136">
        <f>IF(AN93&gt;0,(BR93^2),"")</f>
        <v/>
      </c>
    </row>
    <row r="94" ht="18.75" customHeight="1" s="444">
      <c r="A94" s="340" t="inlineStr">
        <is>
          <t>017/0914</t>
        </is>
      </c>
      <c r="B94" s="65" t="inlineStr">
        <is>
          <t>W34</t>
        </is>
      </c>
      <c r="C94" s="78" t="inlineStr">
        <is>
          <t>Avvitatore</t>
        </is>
      </c>
      <c r="D94" s="83" t="inlineStr">
        <is>
          <t>FEIN</t>
        </is>
      </c>
      <c r="E94" s="83" t="inlineStr">
        <is>
          <t>ASCM18QX</t>
        </is>
      </c>
      <c r="F94" s="78" t="inlineStr">
        <is>
          <t>Avvitatore</t>
        </is>
      </c>
      <c r="G94" s="71" t="n">
        <v>46003</v>
      </c>
      <c r="H94" s="77" t="inlineStr">
        <is>
          <t>Compito</t>
        </is>
      </c>
      <c r="I94" s="77">
        <f>IF((V94-R94)&gt;3,"SI","")</f>
        <v/>
      </c>
      <c r="J94" s="77" t="inlineStr">
        <is>
          <t>SI</t>
        </is>
      </c>
      <c r="K94" s="77" t="n"/>
      <c r="L94" s="77" t="n"/>
      <c r="M94" s="137">
        <f>IF(R94&gt;0,(SQRT(BT94*(SUM(BU94:BZ94)))),"")</f>
        <v/>
      </c>
      <c r="N94" s="4">
        <f>IF(T94&gt;0,(MAX(T94,Z94,AD94,AH94,AL94,AP94))+SQRT(1.2^2+1^2),"")</f>
        <v/>
      </c>
      <c r="O94" s="3">
        <f>IF(R94="",0,10*LOG10(SUM(BG94:BL94)/(COUNT(R94,X94,AB94,AF94,AJ94,AN94))))</f>
        <v/>
      </c>
      <c r="P94" s="5">
        <f>IF(AND(Y94="",AC94="",AG94="",AK94="",AO94=""),S94,AVERAGE(S94,Y94,AC94,AG94,AK94,AO94)+STDEV(S94,Y94,AC94,AG94,AK94,AO94))</f>
        <v/>
      </c>
      <c r="Q94" s="14" t="n">
        <v>300</v>
      </c>
      <c r="R94" s="11" t="n">
        <v>86.2</v>
      </c>
      <c r="S94" s="12" t="n">
        <v>84.59999999999999</v>
      </c>
      <c r="T94" s="13" t="n">
        <v>100.7</v>
      </c>
      <c r="U94" s="79" t="n"/>
      <c r="V94" s="79" t="n"/>
      <c r="W94" s="10" t="n">
        <v>300</v>
      </c>
      <c r="X94" s="11" t="n">
        <v>86.40000000000001</v>
      </c>
      <c r="Y94" s="12" t="n">
        <v>84.7</v>
      </c>
      <c r="Z94" s="13" t="n">
        <v>113</v>
      </c>
      <c r="AA94" s="10" t="n">
        <v>300</v>
      </c>
      <c r="AB94" s="11" t="n">
        <v>85.7</v>
      </c>
      <c r="AC94" s="12" t="n">
        <v>84</v>
      </c>
      <c r="AD94" s="13" t="n">
        <v>98.09999999999999</v>
      </c>
      <c r="AE94" s="14" t="n">
        <v>300</v>
      </c>
      <c r="AF94" s="11" t="n">
        <v>85.40000000000001</v>
      </c>
      <c r="AG94" s="12" t="n">
        <v>83.7</v>
      </c>
      <c r="AH94" s="13" t="n">
        <v>98.7</v>
      </c>
      <c r="AI94" s="10" t="n">
        <v>300</v>
      </c>
      <c r="AJ94" s="11" t="n">
        <v>84.7</v>
      </c>
      <c r="AK94" s="12" t="n">
        <v>83</v>
      </c>
      <c r="AL94" s="13" t="n">
        <v>99.40000000000001</v>
      </c>
      <c r="AM94" s="10" t="n">
        <v>300</v>
      </c>
      <c r="AN94" s="11" t="n">
        <v>84.40000000000001</v>
      </c>
      <c r="AO94" s="12" t="n">
        <v>82.8</v>
      </c>
      <c r="AP94" s="13" t="n">
        <v>106.1</v>
      </c>
      <c r="AQ94" s="6">
        <f>IF(AND((O94)&lt;85,N94&lt;137),"NO","SI")</f>
        <v/>
      </c>
      <c r="AR94" s="7">
        <f>IF((480*(10^(7.95-(O94/10))))&lt;480,480*(10^(7.95-(O94/10))),480)</f>
        <v/>
      </c>
      <c r="AS94" s="8">
        <f>IF((480*(10^(8.45-(O94/10))))&lt;480,480*(10^(8.45-(O94/10))),480)</f>
        <v/>
      </c>
      <c r="AT94" s="9">
        <f>IF((480*(10^(8.65-(O94/10))))&lt;480,480*(10^(8.65-(O94/10))),480)</f>
        <v/>
      </c>
      <c r="AU94" s="111">
        <f>IF(O94&lt;80,"0",IF((P94-O94)&lt;=2,('DPI art.191'!$G$3-(('DPI art.191'!$F$3-'DPI art.191'!$G$3)/4)*(P94-O94-2)),('DPI art.191'!$G$3-(('DPI art.191'!$G$3-'DPI art.191'!$H$3)/8)*(P94-O94-2))))</f>
        <v/>
      </c>
      <c r="AV94" s="24">
        <f>O94-AU94</f>
        <v/>
      </c>
      <c r="AW94" s="24">
        <f>IF(N94&lt;135,N94,N94-'DPI art.191'!$I$3)</f>
        <v/>
      </c>
      <c r="AX94" s="111">
        <f>IF(I94&lt;80,"0",IF((J94-I94)&lt;=2,('DPI art.191'!$G$7-(('DPI art.191'!$F$7-'DPI art.191'!$G$7)/4)*(I94-J94-2)),('DPI art.191'!$G$7-(('DPI art.191'!$G$7-'DPI art.191'!$H$7)/8)*(J94-I94-2))))</f>
        <v/>
      </c>
      <c r="AY94" s="24">
        <f>I94-AX94</f>
        <v/>
      </c>
      <c r="AZ94" s="24">
        <f>IF(H94&lt;135,H94,H94-'DPI art.191'!$I$7)</f>
        <v/>
      </c>
      <c r="BA94" s="111">
        <f>IF(O94&lt;80,"0",IF((P94-O94)&lt;=2,('DPI art.191'!$G$5-(('DPI art.191'!$F$5-'DPI art.191'!$G$5)/4)*(P94-O94-2)),('DPI art.191'!$G$5-(('DPI art.191'!$G$5-'DPI art.191'!$H$5)/8)*(P94-O94-2))))</f>
        <v/>
      </c>
      <c r="BB94" s="24">
        <f>R94-BA94</f>
        <v/>
      </c>
      <c r="BC94" s="24">
        <f>IF(N94&lt;135,N94,N94-'DPI art.191'!$I$5)</f>
        <v/>
      </c>
      <c r="BD94" s="111">
        <f>IF(O94&lt;80,"0",IF((P94-O94)&lt;=2,('DPI art.191'!$G$7-(('DPI art.191'!$F$7-'DPI art.191'!$G$7)/4)*(O94-P94-2)),('DPI art.191'!$G$7-(('DPI art.191'!$G$7-'DPI art.191'!$H$7)/8)*(P94-O94-2))))</f>
        <v/>
      </c>
      <c r="BE94" s="24">
        <f>O94-BD94</f>
        <v/>
      </c>
      <c r="BF94" s="24">
        <f>IF(N94&lt;135,N94,N94-'DPI art.191'!$I$7)</f>
        <v/>
      </c>
      <c r="BG94" s="108">
        <f>10^(0.1*R94)</f>
        <v/>
      </c>
      <c r="BH94" s="108">
        <f>10^(0.1*X94)</f>
        <v/>
      </c>
      <c r="BI94" s="108">
        <f>10^(0.1*AB94)</f>
        <v/>
      </c>
      <c r="BJ94" s="108">
        <f>10^(0.1*AF94)</f>
        <v/>
      </c>
      <c r="BK94" s="108">
        <f>10^(0.1*AJ94)</f>
        <v/>
      </c>
      <c r="BL94" s="108">
        <f>10^(0.1*AN94)</f>
        <v/>
      </c>
      <c r="BM94" s="106">
        <f>IF(R94&gt;0,(O94-R94),"")</f>
        <v/>
      </c>
      <c r="BN94" s="106">
        <f>IF(X94&gt;0,(O94-X94),"")</f>
        <v/>
      </c>
      <c r="BO94" s="106">
        <f>IF(AB94&gt;0,(O94-AB94),"")</f>
        <v/>
      </c>
      <c r="BP94" s="106">
        <f>IF(AF94&gt;0,(O94-AF94),"")</f>
        <v/>
      </c>
      <c r="BQ94" s="106">
        <f>IF(AJ94&gt;0,(O94-AJ94),"")</f>
        <v/>
      </c>
      <c r="BR94" s="106">
        <f>IF(AN94&gt;0,(O94-AN94),"")</f>
        <v/>
      </c>
      <c r="BS94" s="106">
        <f>COUNT(BM94:BR94)</f>
        <v/>
      </c>
      <c r="BT94" s="464">
        <f>IF(BS94=0,0,IF(BS94=1,0,1/(BS94*(BS94-1))))</f>
        <v/>
      </c>
      <c r="BU94" s="136">
        <f>IF(R94&gt;0,(BM94^2),"")</f>
        <v/>
      </c>
      <c r="BV94" s="136">
        <f>IF(X94&gt;0,(BN94^2),"")</f>
        <v/>
      </c>
      <c r="BW94" s="136">
        <f>IF(AB94&gt;0,(BO94^2),"")</f>
        <v/>
      </c>
      <c r="BX94" s="136">
        <f>IF(AF94&gt;0,(BP94^2),"")</f>
        <v/>
      </c>
      <c r="BY94" s="136">
        <f>IF(AJ94&gt;0,(BQ94^2),"")</f>
        <v/>
      </c>
      <c r="BZ94" s="136">
        <f>IF(AN94&gt;0,(BR94^2),"")</f>
        <v/>
      </c>
    </row>
    <row r="95" ht="18.75" customHeight="1" s="444">
      <c r="A95" s="340" t="inlineStr">
        <is>
          <t>533/031</t>
        </is>
      </c>
      <c r="B95" s="65" t="inlineStr">
        <is>
          <t>W35</t>
        </is>
      </c>
      <c r="C95" s="78" t="inlineStr">
        <is>
          <t>Mola assiale</t>
        </is>
      </c>
      <c r="D95" s="83" t="inlineStr">
        <is>
          <t>Bosch</t>
        </is>
      </c>
      <c r="E95" s="83" t="inlineStr">
        <is>
          <t>GGS28LC</t>
        </is>
      </c>
      <c r="F95" s="192" t="inlineStr">
        <is>
          <t>Molatura con mola assiale sgrosso</t>
        </is>
      </c>
      <c r="G95" s="71" t="n">
        <v>46003</v>
      </c>
      <c r="H95" s="77" t="inlineStr">
        <is>
          <t>Compito</t>
        </is>
      </c>
      <c r="I95" s="77">
        <f>IF((V95-R95)&gt;3,"SI","")</f>
        <v/>
      </c>
      <c r="J95" s="77" t="inlineStr">
        <is>
          <t>SI</t>
        </is>
      </c>
      <c r="K95" s="77" t="n"/>
      <c r="L95" s="77" t="n"/>
      <c r="M95" s="137">
        <f>IF(R95&gt;0,(SQRT(BT95*(SUM(BU95:BZ95)))),"")</f>
        <v/>
      </c>
      <c r="N95" s="4">
        <f>IF(T95&gt;0,(MAX(T95,Z95,AD95,AH95,AL95,AP95))+SQRT(1.2^2+1^2),"")</f>
        <v/>
      </c>
      <c r="O95" s="3">
        <f>IF(R95="",0,10*LOG10(SUM(BG95:BL95)/(COUNT(R95,X95,AB95,AF95,AJ95,AN95))))</f>
        <v/>
      </c>
      <c r="P95" s="5">
        <f>IF(AND(Y95="",AC95="",AG95="",AK95="",AO95=""),S95,AVERAGE(S95,Y95,AC95,AG95,AK95,AO95)+STDEV(S95,Y95,AC95,AG95,AK95,AO95))</f>
        <v/>
      </c>
      <c r="Q95" s="14" t="n">
        <v>300</v>
      </c>
      <c r="R95" s="11" t="n">
        <v>95.5</v>
      </c>
      <c r="S95" s="12" t="n">
        <v>95.2</v>
      </c>
      <c r="T95" s="13" t="n">
        <v>117.1</v>
      </c>
      <c r="U95" s="79" t="n"/>
      <c r="V95" s="79" t="n"/>
      <c r="W95" s="10" t="n">
        <v>300</v>
      </c>
      <c r="X95" s="11" t="n">
        <v>98.40000000000001</v>
      </c>
      <c r="Y95" s="12" t="n">
        <v>97.40000000000001</v>
      </c>
      <c r="Z95" s="13" t="n">
        <v>113.6</v>
      </c>
      <c r="AA95" s="10" t="n">
        <v>300</v>
      </c>
      <c r="AB95" s="11" t="n">
        <v>96.90000000000001</v>
      </c>
      <c r="AC95" s="12" t="n">
        <v>96</v>
      </c>
      <c r="AD95" s="13" t="n">
        <v>113.7</v>
      </c>
      <c r="AE95" s="14" t="n">
        <v>300</v>
      </c>
      <c r="AF95" s="11" t="n">
        <v>98.7</v>
      </c>
      <c r="AG95" s="12" t="n">
        <v>97.7</v>
      </c>
      <c r="AH95" s="13" t="n">
        <v>113.1</v>
      </c>
      <c r="AI95" s="10" t="n">
        <v>300</v>
      </c>
      <c r="AJ95" s="11" t="n">
        <v>99</v>
      </c>
      <c r="AK95" s="12" t="n">
        <v>97.8</v>
      </c>
      <c r="AL95" s="13" t="n">
        <v>113.1</v>
      </c>
      <c r="AM95" s="10" t="n">
        <v>300</v>
      </c>
      <c r="AN95" s="11" t="n">
        <v>99.5</v>
      </c>
      <c r="AO95" s="12" t="n">
        <v>98.2</v>
      </c>
      <c r="AP95" s="13" t="n">
        <v>115</v>
      </c>
      <c r="AQ95" s="6">
        <f>IF(AND((O95)&lt;85,N95&lt;137),"NO","SI")</f>
        <v/>
      </c>
      <c r="AR95" s="7">
        <f>IF((480*(10^(7.95-(O95/10))))&lt;480,480*(10^(7.95-(O95/10))),480)</f>
        <v/>
      </c>
      <c r="AS95" s="8">
        <f>IF((480*(10^(8.45-(O95/10))))&lt;480,480*(10^(8.45-(O95/10))),480)</f>
        <v/>
      </c>
      <c r="AT95" s="9">
        <f>IF((480*(10^(8.65-(O95/10))))&lt;480,480*(10^(8.65-(O95/10))),480)</f>
        <v/>
      </c>
      <c r="AU95" s="111">
        <f>IF(O95&lt;80,"0",IF((P95-O95)&lt;=2,('DPI art.191'!$G$3-(('DPI art.191'!$F$3-'DPI art.191'!$G$3)/4)*(P95-O95-2)),('DPI art.191'!$G$3-(('DPI art.191'!$G$3-'DPI art.191'!$H$3)/8)*(P95-O95-2))))</f>
        <v/>
      </c>
      <c r="AV95" s="24">
        <f>O95-AU95</f>
        <v/>
      </c>
      <c r="AW95" s="24">
        <f>IF(N95&lt;135,N95,N95-'DPI art.191'!$I$3)</f>
        <v/>
      </c>
      <c r="AX95" s="111">
        <f>IF(I95&lt;80,"0",IF((J95-I95)&lt;=2,('DPI art.191'!$G$7-(('DPI art.191'!$F$7-'DPI art.191'!$G$7)/4)*(I95-J95-2)),('DPI art.191'!$G$7-(('DPI art.191'!$G$7-'DPI art.191'!$H$7)/8)*(J95-I95-2))))</f>
        <v/>
      </c>
      <c r="AY95" s="24">
        <f>I95-AX95</f>
        <v/>
      </c>
      <c r="AZ95" s="24">
        <f>IF(H95&lt;135,H95,H95-'DPI art.191'!$I$7)</f>
        <v/>
      </c>
      <c r="BA95" s="111">
        <f>IF(O95&lt;80,"0",IF((P95-O95)&lt;=2,('DPI art.191'!$G$5-(('DPI art.191'!$F$5-'DPI art.191'!$G$5)/4)*(P95-O95-2)),('DPI art.191'!$G$5-(('DPI art.191'!$G$5-'DPI art.191'!$H$5)/8)*(P95-O95-2))))</f>
        <v/>
      </c>
      <c r="BB95" s="24">
        <f>R95-BA95</f>
        <v/>
      </c>
      <c r="BC95" s="24">
        <f>IF(N95&lt;135,N95,N95-'DPI art.191'!$I$5)</f>
        <v/>
      </c>
      <c r="BD95" s="111">
        <f>IF(O95&lt;80,"0",IF((P95-O95)&lt;=2,('DPI art.191'!$G$7-(('DPI art.191'!$F$7-'DPI art.191'!$G$7)/4)*(O95-P95-2)),('DPI art.191'!$G$7-(('DPI art.191'!$G$7-'DPI art.191'!$H$7)/8)*(P95-O95-2))))</f>
        <v/>
      </c>
      <c r="BE95" s="24">
        <f>O95-BD95</f>
        <v/>
      </c>
      <c r="BF95" s="24">
        <f>IF(N95&lt;135,N95,N95-'DPI art.191'!$I$7)</f>
        <v/>
      </c>
      <c r="BG95" s="108">
        <f>10^(0.1*R95)</f>
        <v/>
      </c>
      <c r="BH95" s="108">
        <f>10^(0.1*X95)</f>
        <v/>
      </c>
      <c r="BI95" s="108">
        <f>10^(0.1*AB95)</f>
        <v/>
      </c>
      <c r="BJ95" s="108">
        <f>10^(0.1*AF95)</f>
        <v/>
      </c>
      <c r="BK95" s="108">
        <f>10^(0.1*AJ95)</f>
        <v/>
      </c>
      <c r="BL95" s="108">
        <f>10^(0.1*AN95)</f>
        <v/>
      </c>
      <c r="BM95" s="106">
        <f>IF(R95&gt;0,(O95-R95),"")</f>
        <v/>
      </c>
      <c r="BN95" s="106">
        <f>IF(X95&gt;0,(O95-X95),"")</f>
        <v/>
      </c>
      <c r="BO95" s="106">
        <f>IF(AB95&gt;0,(O95-AB95),"")</f>
        <v/>
      </c>
      <c r="BP95" s="106">
        <f>IF(AF95&gt;0,(O95-AF95),"")</f>
        <v/>
      </c>
      <c r="BQ95" s="106">
        <f>IF(AJ95&gt;0,(O95-AJ95),"")</f>
        <v/>
      </c>
      <c r="BR95" s="106">
        <f>IF(AN95&gt;0,(O95-AN95),"")</f>
        <v/>
      </c>
      <c r="BS95" s="106">
        <f>COUNT(BM95:BR95)</f>
        <v/>
      </c>
      <c r="BT95" s="464">
        <f>IF(BS95=0,0,IF(BS95=1,0,1/(BS95*(BS95-1))))</f>
        <v/>
      </c>
      <c r="BU95" s="136">
        <f>IF(R95&gt;0,(BM95^2),"")</f>
        <v/>
      </c>
      <c r="BV95" s="136">
        <f>IF(X95&gt;0,(BN95^2),"")</f>
        <v/>
      </c>
      <c r="BW95" s="136">
        <f>IF(AB95&gt;0,(BO95^2),"")</f>
        <v/>
      </c>
      <c r="BX95" s="136">
        <f>IF(AF95&gt;0,(BP95^2),"")</f>
        <v/>
      </c>
      <c r="BY95" s="136">
        <f>IF(AJ95&gt;0,(BQ95^2),"")</f>
        <v/>
      </c>
      <c r="BZ95" s="136">
        <f>IF(AN95&gt;0,(BR95^2),"")</f>
        <v/>
      </c>
    </row>
    <row r="96" ht="18.75" customHeight="1" s="444">
      <c r="A96" s="340" t="inlineStr">
        <is>
          <t>533/031</t>
        </is>
      </c>
      <c r="B96" s="65" t="inlineStr">
        <is>
          <t>W36</t>
        </is>
      </c>
      <c r="C96" s="78" t="inlineStr">
        <is>
          <t>Mola assiale</t>
        </is>
      </c>
      <c r="D96" s="83" t="inlineStr">
        <is>
          <t>Bosch</t>
        </is>
      </c>
      <c r="E96" s="83" t="inlineStr">
        <is>
          <t>GGS28LC</t>
        </is>
      </c>
      <c r="F96" s="192" t="inlineStr">
        <is>
          <t>Taglio  con mola assiale</t>
        </is>
      </c>
      <c r="G96" s="71" t="n">
        <v>46003</v>
      </c>
      <c r="H96" s="77" t="inlineStr">
        <is>
          <t>Compito</t>
        </is>
      </c>
      <c r="I96" s="77">
        <f>IF((V96-R96)&gt;3,"SI","")</f>
        <v/>
      </c>
      <c r="J96" s="77" t="inlineStr">
        <is>
          <t>SI</t>
        </is>
      </c>
      <c r="K96" s="77" t="n"/>
      <c r="L96" s="77" t="n"/>
      <c r="M96" s="137">
        <f>IF(R96&gt;0,(SQRT(BT96*(SUM(BU96:BZ96)))),"")</f>
        <v/>
      </c>
      <c r="N96" s="4">
        <f>IF(T96&gt;0,(MAX(T96,Z96,AD96,AH96,AL96,AP96))+SQRT(1.2^2+1^2),"")</f>
        <v/>
      </c>
      <c r="O96" s="3">
        <f>IF(R96="",0,10*LOG10(SUM(BG96:BL96)/(COUNT(R96,X96,AB96,AF96,AJ96,AN96))))</f>
        <v/>
      </c>
      <c r="P96" s="5">
        <f>IF(AND(Y96="",AC96="",AG96="",AK96="",AO96=""),S96,AVERAGE(S96,Y96,AC96,AG96,AK96,AO96)+STDEV(S96,Y96,AC96,AG96,AK96,AO96))</f>
        <v/>
      </c>
      <c r="Q96" s="14" t="n">
        <v>300</v>
      </c>
      <c r="R96" s="11" t="n">
        <v>92.8</v>
      </c>
      <c r="S96" s="12" t="n">
        <v>91.59999999999999</v>
      </c>
      <c r="T96" s="13" t="n">
        <v>108.7</v>
      </c>
      <c r="U96" s="79" t="n"/>
      <c r="V96" s="79" t="n"/>
      <c r="W96" s="10" t="n">
        <v>300</v>
      </c>
      <c r="X96" s="11" t="n">
        <v>91.7</v>
      </c>
      <c r="Y96" s="12" t="n">
        <v>90.40000000000001</v>
      </c>
      <c r="Z96" s="13" t="n">
        <v>106.2</v>
      </c>
      <c r="AA96" s="10" t="n">
        <v>300</v>
      </c>
      <c r="AB96" s="11" t="n">
        <v>93.59999999999999</v>
      </c>
      <c r="AC96" s="12" t="n">
        <v>92.3</v>
      </c>
      <c r="AD96" s="13" t="n">
        <v>108.8</v>
      </c>
      <c r="AE96" s="14" t="n">
        <v>300</v>
      </c>
      <c r="AF96" s="11" t="n">
        <v>91</v>
      </c>
      <c r="AG96" s="12" t="n">
        <v>89.7</v>
      </c>
      <c r="AH96" s="13" t="n">
        <v>106.2</v>
      </c>
      <c r="AI96" s="10" t="n">
        <v>300</v>
      </c>
      <c r="AJ96" s="11" t="n">
        <v>94</v>
      </c>
      <c r="AK96" s="12" t="n">
        <v>92.7</v>
      </c>
      <c r="AL96" s="13" t="n">
        <v>109.7</v>
      </c>
      <c r="AM96" s="10" t="n">
        <v>300</v>
      </c>
      <c r="AN96" s="11" t="n">
        <v>95.59999999999999</v>
      </c>
      <c r="AO96" s="12" t="n">
        <v>94.40000000000001</v>
      </c>
      <c r="AP96" s="13" t="n">
        <v>110.6</v>
      </c>
      <c r="AQ96" s="6">
        <f>IF(AND((O96)&lt;85,N96&lt;137),"NO","SI")</f>
        <v/>
      </c>
      <c r="AR96" s="7">
        <f>IF((480*(10^(7.95-(O96/10))))&lt;480,480*(10^(7.95-(O96/10))),480)</f>
        <v/>
      </c>
      <c r="AS96" s="8">
        <f>IF((480*(10^(8.45-(O96/10))))&lt;480,480*(10^(8.45-(O96/10))),480)</f>
        <v/>
      </c>
      <c r="AT96" s="9">
        <f>IF((480*(10^(8.65-(O96/10))))&lt;480,480*(10^(8.65-(O96/10))),480)</f>
        <v/>
      </c>
      <c r="AU96" s="111">
        <f>IF(O96&lt;80,"0",IF((P96-O96)&lt;=2,('DPI art.191'!$G$3-(('DPI art.191'!$F$3-'DPI art.191'!$G$3)/4)*(P96-O96-2)),('DPI art.191'!$G$3-(('DPI art.191'!$G$3-'DPI art.191'!$H$3)/8)*(P96-O96-2))))</f>
        <v/>
      </c>
      <c r="AV96" s="24">
        <f>O96-AU96</f>
        <v/>
      </c>
      <c r="AW96" s="24">
        <f>IF(N96&lt;135,N96,N96-'DPI art.191'!$I$3)</f>
        <v/>
      </c>
      <c r="AX96" s="111">
        <f>IF(I96&lt;80,"0",IF((J96-I96)&lt;=2,('DPI art.191'!$G$7-(('DPI art.191'!$F$7-'DPI art.191'!$G$7)/4)*(I96-J96-2)),('DPI art.191'!$G$7-(('DPI art.191'!$G$7-'DPI art.191'!$H$7)/8)*(J96-I96-2))))</f>
        <v/>
      </c>
      <c r="AY96" s="24">
        <f>I96-AX96</f>
        <v/>
      </c>
      <c r="AZ96" s="24">
        <f>IF(H96&lt;135,H96,H96-'DPI art.191'!$I$7)</f>
        <v/>
      </c>
      <c r="BA96" s="111">
        <f>IF(O96&lt;80,"0",IF((P96-O96)&lt;=2,('DPI art.191'!$G$5-(('DPI art.191'!$F$5-'DPI art.191'!$G$5)/4)*(P96-O96-2)),('DPI art.191'!$G$5-(('DPI art.191'!$G$5-'DPI art.191'!$H$5)/8)*(P96-O96-2))))</f>
        <v/>
      </c>
      <c r="BB96" s="24">
        <f>R96-BA96</f>
        <v/>
      </c>
      <c r="BC96" s="24">
        <f>IF(N96&lt;135,N96,N96-'DPI art.191'!$I$5)</f>
        <v/>
      </c>
      <c r="BD96" s="111">
        <f>IF(O96&lt;80,"0",IF((P96-O96)&lt;=2,('DPI art.191'!$G$7-(('DPI art.191'!$F$7-'DPI art.191'!$G$7)/4)*(O96-P96-2)),('DPI art.191'!$G$7-(('DPI art.191'!$G$7-'DPI art.191'!$H$7)/8)*(P96-O96-2))))</f>
        <v/>
      </c>
      <c r="BE96" s="24">
        <f>O96-BD96</f>
        <v/>
      </c>
      <c r="BF96" s="24">
        <f>IF(N96&lt;135,N96,N96-'DPI art.191'!$I$7)</f>
        <v/>
      </c>
      <c r="BG96" s="108">
        <f>10^(0.1*R96)</f>
        <v/>
      </c>
      <c r="BH96" s="108">
        <f>10^(0.1*X96)</f>
        <v/>
      </c>
      <c r="BI96" s="108">
        <f>10^(0.1*AB96)</f>
        <v/>
      </c>
      <c r="BJ96" s="108">
        <f>10^(0.1*AF96)</f>
        <v/>
      </c>
      <c r="BK96" s="108">
        <f>10^(0.1*AJ96)</f>
        <v/>
      </c>
      <c r="BL96" s="108">
        <f>10^(0.1*AN96)</f>
        <v/>
      </c>
      <c r="BM96" s="106">
        <f>IF(R96&gt;0,(O96-R96),"")</f>
        <v/>
      </c>
      <c r="BN96" s="106">
        <f>IF(X96&gt;0,(O96-X96),"")</f>
        <v/>
      </c>
      <c r="BO96" s="106">
        <f>IF(AB96&gt;0,(O96-AB96),"")</f>
        <v/>
      </c>
      <c r="BP96" s="106">
        <f>IF(AF96&gt;0,(O96-AF96),"")</f>
        <v/>
      </c>
      <c r="BQ96" s="106">
        <f>IF(AJ96&gt;0,(O96-AJ96),"")</f>
        <v/>
      </c>
      <c r="BR96" s="106">
        <f>IF(AN96&gt;0,(O96-AN96),"")</f>
        <v/>
      </c>
      <c r="BS96" s="106">
        <f>COUNT(BM96:BR96)</f>
        <v/>
      </c>
      <c r="BT96" s="464">
        <f>IF(BS96=0,0,IF(BS96=1,0,1/(BS96*(BS96-1))))</f>
        <v/>
      </c>
      <c r="BU96" s="136">
        <f>IF(R96&gt;0,(BM96^2),"")</f>
        <v/>
      </c>
      <c r="BV96" s="136">
        <f>IF(X96&gt;0,(BN96^2),"")</f>
        <v/>
      </c>
      <c r="BW96" s="136">
        <f>IF(AB96&gt;0,(BO96^2),"")</f>
        <v/>
      </c>
      <c r="BX96" s="136">
        <f>IF(AF96&gt;0,(BP96^2),"")</f>
        <v/>
      </c>
      <c r="BY96" s="136">
        <f>IF(AJ96&gt;0,(BQ96^2),"")</f>
        <v/>
      </c>
      <c r="BZ96" s="136">
        <f>IF(AN96&gt;0,(BR96^2),"")</f>
        <v/>
      </c>
    </row>
    <row r="97" ht="18.75" customHeight="1" s="444">
      <c r="A97" s="340" t="inlineStr">
        <is>
          <t>533/031</t>
        </is>
      </c>
      <c r="B97" s="65" t="inlineStr">
        <is>
          <t>W37</t>
        </is>
      </c>
      <c r="C97" s="78" t="inlineStr">
        <is>
          <t>Mola assiale</t>
        </is>
      </c>
      <c r="D97" s="83" t="inlineStr">
        <is>
          <t>Bosch</t>
        </is>
      </c>
      <c r="E97" s="83" t="inlineStr">
        <is>
          <t>GGS28LC</t>
        </is>
      </c>
      <c r="F97" s="78" t="inlineStr">
        <is>
          <t>Spazzolatura con mola assiale</t>
        </is>
      </c>
      <c r="G97" s="71" t="n">
        <v>46003</v>
      </c>
      <c r="H97" s="77" t="inlineStr">
        <is>
          <t>Compito</t>
        </is>
      </c>
      <c r="I97" s="77">
        <f>IF((V97-R97)&gt;3,"SI","")</f>
        <v/>
      </c>
      <c r="J97" s="77" t="inlineStr">
        <is>
          <t>SI</t>
        </is>
      </c>
      <c r="K97" s="77" t="n"/>
      <c r="L97" s="77" t="n"/>
      <c r="M97" s="137">
        <f>IF(R97&gt;0,(SQRT(BT97*(SUM(BU97:BZ97)))),"")</f>
        <v/>
      </c>
      <c r="N97" s="4">
        <f>IF(T97&gt;0,(MAX(T97,Z97,AD97,AH97,AL97,AP97))+SQRT(1.2^2+1^2),"")</f>
        <v/>
      </c>
      <c r="O97" s="3">
        <f>IF(R97="",0,10*LOG10(SUM(BG97:BL97)/(COUNT(R97,X97,AB97,AF97,AJ97,AN97))))</f>
        <v/>
      </c>
      <c r="P97" s="5">
        <f>IF(AND(Y97="",AC97="",AG97="",AK97="",AO97=""),S97,AVERAGE(S97,Y97,AC97,AG97,AK97,AO97)+STDEV(S97,Y97,AC97,AG97,AK97,AO97))</f>
        <v/>
      </c>
      <c r="Q97" s="14" t="n">
        <v>300</v>
      </c>
      <c r="R97" s="11" t="n">
        <v>97.3</v>
      </c>
      <c r="S97" s="12" t="n">
        <v>97.09999999999999</v>
      </c>
      <c r="T97" s="13" t="n">
        <v>112.9</v>
      </c>
      <c r="U97" s="79" t="n"/>
      <c r="V97" s="79" t="n"/>
      <c r="W97" s="10" t="n">
        <v>300</v>
      </c>
      <c r="X97" s="11" t="n">
        <v>97.40000000000001</v>
      </c>
      <c r="Y97" s="12" t="n">
        <v>96.90000000000001</v>
      </c>
      <c r="Z97" s="13" t="n">
        <v>108.9</v>
      </c>
      <c r="AA97" s="10" t="n">
        <v>300</v>
      </c>
      <c r="AB97" s="11" t="n">
        <v>98.09999999999999</v>
      </c>
      <c r="AC97" s="12" t="n">
        <v>97.5</v>
      </c>
      <c r="AD97" s="13" t="n">
        <v>109.6</v>
      </c>
      <c r="AE97" s="14" t="n">
        <v>300</v>
      </c>
      <c r="AF97" s="11" t="n">
        <v>98.2</v>
      </c>
      <c r="AG97" s="12" t="n">
        <v>97.7</v>
      </c>
      <c r="AH97" s="13" t="n">
        <v>113.4</v>
      </c>
      <c r="AI97" s="10" t="n">
        <v>300</v>
      </c>
      <c r="AJ97" s="11" t="n">
        <v>98.3</v>
      </c>
      <c r="AK97" s="12" t="n">
        <v>98</v>
      </c>
      <c r="AL97" s="13" t="n">
        <v>113.4</v>
      </c>
      <c r="AM97" s="10" t="n">
        <v>300</v>
      </c>
      <c r="AN97" s="11" t="n">
        <v>96.90000000000001</v>
      </c>
      <c r="AO97" s="12" t="n">
        <v>96.3</v>
      </c>
      <c r="AP97" s="13" t="n">
        <v>110.4</v>
      </c>
      <c r="AQ97" s="6">
        <f>IF(AND((O97)&lt;85,N97&lt;137),"NO","SI")</f>
        <v/>
      </c>
      <c r="AR97" s="7">
        <f>IF((480*(10^(7.95-(O97/10))))&lt;480,480*(10^(7.95-(O97/10))),480)</f>
        <v/>
      </c>
      <c r="AS97" s="8">
        <f>IF((480*(10^(8.45-(O97/10))))&lt;480,480*(10^(8.45-(O97/10))),480)</f>
        <v/>
      </c>
      <c r="AT97" s="9">
        <f>IF((480*(10^(8.65-(O97/10))))&lt;480,480*(10^(8.65-(O97/10))),480)</f>
        <v/>
      </c>
      <c r="AU97" s="111">
        <f>IF(O97&lt;80,"0",IF((P97-O97)&lt;=2,('DPI art.191'!$G$3-(('DPI art.191'!$F$3-'DPI art.191'!$G$3)/4)*(P97-O97-2)),('DPI art.191'!$G$3-(('DPI art.191'!$G$3-'DPI art.191'!$H$3)/8)*(P97-O97-2))))</f>
        <v/>
      </c>
      <c r="AV97" s="24">
        <f>O97-AU97</f>
        <v/>
      </c>
      <c r="AW97" s="24">
        <f>IF(N97&lt;135,N97,N97-'DPI art.191'!$I$3)</f>
        <v/>
      </c>
      <c r="AX97" s="111">
        <f>IF(I97&lt;80,"0",IF((J97-I97)&lt;=2,('DPI art.191'!$G$7-(('DPI art.191'!$F$7-'DPI art.191'!$G$7)/4)*(I97-J97-2)),('DPI art.191'!$G$7-(('DPI art.191'!$G$7-'DPI art.191'!$H$7)/8)*(J97-I97-2))))</f>
        <v/>
      </c>
      <c r="AY97" s="24">
        <f>I97-AX97</f>
        <v/>
      </c>
      <c r="AZ97" s="24">
        <f>IF(H97&lt;135,H97,H97-'DPI art.191'!$I$7)</f>
        <v/>
      </c>
      <c r="BA97" s="111">
        <f>IF(O97&lt;80,"0",IF((P97-O97)&lt;=2,('DPI art.191'!$G$5-(('DPI art.191'!$F$5-'DPI art.191'!$G$5)/4)*(P97-O97-2)),('DPI art.191'!$G$5-(('DPI art.191'!$G$5-'DPI art.191'!$H$5)/8)*(P97-O97-2))))</f>
        <v/>
      </c>
      <c r="BB97" s="24">
        <f>R97-BA97</f>
        <v/>
      </c>
      <c r="BC97" s="24">
        <f>IF(N97&lt;135,N97,N97-'DPI art.191'!$I$5)</f>
        <v/>
      </c>
      <c r="BD97" s="111">
        <f>IF(O97&lt;80,"0",IF((P97-O97)&lt;=2,('DPI art.191'!$G$7-(('DPI art.191'!$F$7-'DPI art.191'!$G$7)/4)*(O97-P97-2)),('DPI art.191'!$G$7-(('DPI art.191'!$G$7-'DPI art.191'!$H$7)/8)*(P97-O97-2))))</f>
        <v/>
      </c>
      <c r="BE97" s="24">
        <f>O97-BD97</f>
        <v/>
      </c>
      <c r="BF97" s="24">
        <f>IF(N97&lt;135,N97,N97-'DPI art.191'!$I$7)</f>
        <v/>
      </c>
      <c r="BG97" s="108">
        <f>10^(0.1*R97)</f>
        <v/>
      </c>
      <c r="BH97" s="108">
        <f>10^(0.1*X97)</f>
        <v/>
      </c>
      <c r="BI97" s="108">
        <f>10^(0.1*AB97)</f>
        <v/>
      </c>
      <c r="BJ97" s="108">
        <f>10^(0.1*AF97)</f>
        <v/>
      </c>
      <c r="BK97" s="108">
        <f>10^(0.1*AJ97)</f>
        <v/>
      </c>
      <c r="BL97" s="108">
        <f>10^(0.1*AN97)</f>
        <v/>
      </c>
      <c r="BM97" s="106">
        <f>IF(R97&gt;0,(O97-R97),"")</f>
        <v/>
      </c>
      <c r="BN97" s="106">
        <f>IF(X97&gt;0,(O97-X97),"")</f>
        <v/>
      </c>
      <c r="BO97" s="106">
        <f>IF(AB97&gt;0,(O97-AB97),"")</f>
        <v/>
      </c>
      <c r="BP97" s="106">
        <f>IF(AF97&gt;0,(O97-AF97),"")</f>
        <v/>
      </c>
      <c r="BQ97" s="106">
        <f>IF(AJ97&gt;0,(O97-AJ97),"")</f>
        <v/>
      </c>
      <c r="BR97" s="106">
        <f>IF(AN97&gt;0,(O97-AN97),"")</f>
        <v/>
      </c>
      <c r="BS97" s="106">
        <f>COUNT(BM97:BR97)</f>
        <v/>
      </c>
      <c r="BT97" s="464">
        <f>IF(BS97=0,0,IF(BS97=1,0,1/(BS97*(BS97-1))))</f>
        <v/>
      </c>
      <c r="BU97" s="136">
        <f>IF(R97&gt;0,(BM97^2),"")</f>
        <v/>
      </c>
      <c r="BV97" s="136">
        <f>IF(X97&gt;0,(BN97^2),"")</f>
        <v/>
      </c>
      <c r="BW97" s="136">
        <f>IF(AB97&gt;0,(BO97^2),"")</f>
        <v/>
      </c>
      <c r="BX97" s="136">
        <f>IF(AF97&gt;0,(BP97^2),"")</f>
        <v/>
      </c>
      <c r="BY97" s="136">
        <f>IF(AJ97&gt;0,(BQ97^2),"")</f>
        <v/>
      </c>
      <c r="BZ97" s="136">
        <f>IF(AN97&gt;0,(BR97^2),"")</f>
        <v/>
      </c>
    </row>
    <row r="98" ht="18.75" customHeight="1" s="444">
      <c r="A98" s="340" t="inlineStr">
        <is>
          <t>/</t>
        </is>
      </c>
      <c r="B98" s="65">
        <f>B97+1</f>
        <v/>
      </c>
      <c r="C98" s="78" t="n"/>
      <c r="D98" s="83" t="n"/>
      <c r="E98" s="83" t="n"/>
      <c r="F98" s="329" t="n"/>
      <c r="G98" s="71" t="n">
        <v>40725</v>
      </c>
      <c r="H98" s="77" t="inlineStr">
        <is>
          <t>Compito</t>
        </is>
      </c>
      <c r="I98" s="77">
        <f>IF((V98-R98)&gt;3,"SI","")</f>
        <v/>
      </c>
      <c r="J98" s="77">
        <f>IF((U98-R98)&gt;3,"SI","")</f>
        <v/>
      </c>
      <c r="K98" s="77" t="n"/>
      <c r="L98" s="77" t="n"/>
      <c r="M98" s="137">
        <f>IF(R98&gt;0,(SQRT(BT98*(SUM(BU98:BZ98)))),"")</f>
        <v/>
      </c>
      <c r="N98" s="4">
        <f>IF(T98&gt;0,(MAX(T98,Z98,AD98,AH98,AL98,AP98))+SQRT(1.2^2+1^2),"")</f>
        <v/>
      </c>
      <c r="O98" s="3">
        <f>IF(R98="",0,10*LOG10(SUM(BG98:BL98)/(COUNT(R98,X98,AB98,AF98,AJ98,AN98))))</f>
        <v/>
      </c>
      <c r="P98" s="5">
        <f>IF(AND(Y98="",AC98="",AG98="",AK98="",AO98=""),S98,AVERAGE(S98,Y98,AC98,AG98,AK98,AO98)+STDEV(S98,Y98,AC98,AG98,AK98,AO98))</f>
        <v/>
      </c>
      <c r="Q98" s="14" t="n"/>
      <c r="R98" s="11" t="n"/>
      <c r="S98" s="12" t="n"/>
      <c r="T98" s="13" t="n"/>
      <c r="U98" s="79" t="n"/>
      <c r="V98" s="79" t="n"/>
      <c r="W98" s="10" t="n"/>
      <c r="X98" s="11" t="n"/>
      <c r="Y98" s="12" t="n"/>
      <c r="Z98" s="13" t="n"/>
      <c r="AA98" s="10" t="n"/>
      <c r="AB98" s="11" t="n"/>
      <c r="AC98" s="12" t="n"/>
      <c r="AD98" s="13" t="n"/>
      <c r="AE98" s="14" t="n"/>
      <c r="AF98" s="11" t="n"/>
      <c r="AG98" s="12" t="n"/>
      <c r="AH98" s="13" t="n"/>
      <c r="AI98" s="10" t="n"/>
      <c r="AJ98" s="11" t="n"/>
      <c r="AK98" s="12" t="n"/>
      <c r="AL98" s="13" t="n"/>
      <c r="AM98" s="10" t="n"/>
      <c r="AN98" s="11" t="n"/>
      <c r="AO98" s="12" t="n"/>
      <c r="AP98" s="13" t="n"/>
      <c r="AQ98" s="6">
        <f>IF(AND((O98)&lt;85,N98&lt;137),"NO","SI")</f>
        <v/>
      </c>
      <c r="AR98" s="7">
        <f>IF((480*(10^(7.95-(O98/10))))&lt;480,480*(10^(7.95-(O98/10))),480)</f>
        <v/>
      </c>
      <c r="AS98" s="8">
        <f>IF((480*(10^(8.45-(O98/10))))&lt;480,480*(10^(8.45-(O98/10))),480)</f>
        <v/>
      </c>
      <c r="AT98" s="9">
        <f>IF((480*(10^(8.65-(O98/10))))&lt;480,480*(10^(8.65-(O98/10))),480)</f>
        <v/>
      </c>
      <c r="AU98" s="111">
        <f>IF(O98&lt;80,"0",IF((P98-O98)&lt;=2,('DPI art.191'!$G$3-(('DPI art.191'!$F$3-'DPI art.191'!$G$3)/4)*(P98-O98-2)),('DPI art.191'!$G$3-(('DPI art.191'!$G$3-'DPI art.191'!$H$3)/8)*(P98-O98-2))))</f>
        <v/>
      </c>
      <c r="AV98" s="24">
        <f>O98-AU98</f>
        <v/>
      </c>
      <c r="AW98" s="24">
        <f>IF(N98&lt;135,N98,N98-'DPI art.191'!$I$3)</f>
        <v/>
      </c>
      <c r="AX98" s="111">
        <f>IF(I98&lt;80,"0",IF((J98-I98)&lt;=2,('DPI art.191'!$G$7-(('DPI art.191'!$F$7-'DPI art.191'!$G$7)/4)*(I98-J98-2)),('DPI art.191'!$G$7-(('DPI art.191'!$G$7-'DPI art.191'!$H$7)/8)*(J98-I98-2))))</f>
        <v/>
      </c>
      <c r="AY98" s="24">
        <f>I98-AX98</f>
        <v/>
      </c>
      <c r="AZ98" s="24">
        <f>IF(H98&lt;135,H98,H98-'DPI art.191'!$I$7)</f>
        <v/>
      </c>
      <c r="BA98" s="111">
        <f>IF(O98&lt;80,"0",IF((P98-O98)&lt;=2,('DPI art.191'!$G$5-(('DPI art.191'!$F$5-'DPI art.191'!$G$5)/4)*(P98-O98-2)),('DPI art.191'!$G$5-(('DPI art.191'!$G$5-'DPI art.191'!$H$5)/8)*(P98-O98-2))))</f>
        <v/>
      </c>
      <c r="BB98" s="24">
        <f>R98-BA98</f>
        <v/>
      </c>
      <c r="BC98" s="24">
        <f>IF(N98&lt;135,N98,N98-'DPI art.191'!$I$5)</f>
        <v/>
      </c>
      <c r="BD98" s="111">
        <f>IF(O98&lt;80,"0",IF((P98-O98)&lt;=2,('DPI art.191'!$G$7-(('DPI art.191'!$F$7-'DPI art.191'!$G$7)/4)*(O98-P98-2)),('DPI art.191'!$G$7-(('DPI art.191'!$G$7-'DPI art.191'!$H$7)/8)*(P98-O98-2))))</f>
        <v/>
      </c>
      <c r="BE98" s="24">
        <f>O98-BD98</f>
        <v/>
      </c>
      <c r="BF98" s="24">
        <f>IF(N98&lt;135,N98,N98-'DPI art.191'!$I$7)</f>
        <v/>
      </c>
      <c r="BG98" s="108">
        <f>10^(0.1*R98)</f>
        <v/>
      </c>
      <c r="BH98" s="108">
        <f>10^(0.1*X98)</f>
        <v/>
      </c>
      <c r="BI98" s="108">
        <f>10^(0.1*AB98)</f>
        <v/>
      </c>
      <c r="BJ98" s="108">
        <f>10^(0.1*AF98)</f>
        <v/>
      </c>
      <c r="BK98" s="108">
        <f>10^(0.1*AJ98)</f>
        <v/>
      </c>
      <c r="BL98" s="108">
        <f>10^(0.1*AN98)</f>
        <v/>
      </c>
      <c r="BM98" s="106">
        <f>IF(R98&gt;0,(O98-R98),"")</f>
        <v/>
      </c>
      <c r="BN98" s="106">
        <f>IF(X98&gt;0,(O98-X98),"")</f>
        <v/>
      </c>
      <c r="BO98" s="106">
        <f>IF(AB98&gt;0,(O98-AB98),"")</f>
        <v/>
      </c>
      <c r="BP98" s="106">
        <f>IF(AF98&gt;0,(O98-AF98),"")</f>
        <v/>
      </c>
      <c r="BQ98" s="106">
        <f>IF(AJ98&gt;0,(O98-AJ98),"")</f>
        <v/>
      </c>
      <c r="BR98" s="106">
        <f>IF(AN98&gt;0,(O98-AN98),"")</f>
        <v/>
      </c>
      <c r="BS98" s="106">
        <f>COUNT(BM98:BR98)</f>
        <v/>
      </c>
      <c r="BT98" s="464">
        <f>IF(BS98=0,0,IF(BS98=1,0,1/(BS98*(BS98-1))))</f>
        <v/>
      </c>
      <c r="BU98" s="136">
        <f>IF(R98&gt;0,(BM98^2),"")</f>
        <v/>
      </c>
      <c r="BV98" s="136">
        <f>IF(X98&gt;0,(BN98^2),"")</f>
        <v/>
      </c>
      <c r="BW98" s="136">
        <f>IF(AB98&gt;0,(BO98^2),"")</f>
        <v/>
      </c>
      <c r="BX98" s="136">
        <f>IF(AF98&gt;0,(BP98^2),"")</f>
        <v/>
      </c>
      <c r="BY98" s="136">
        <f>IF(AJ98&gt;0,(BQ98^2),"")</f>
        <v/>
      </c>
      <c r="BZ98" s="136">
        <f>IF(AN98&gt;0,(BR98^2),"")</f>
        <v/>
      </c>
    </row>
    <row r="99" ht="18.75" customHeight="1" s="444">
      <c r="A99" s="340" t="inlineStr">
        <is>
          <t>/</t>
        </is>
      </c>
      <c r="B99" s="65">
        <f>B98+1</f>
        <v/>
      </c>
      <c r="C99" s="78" t="n"/>
      <c r="D99" s="83" t="n"/>
      <c r="E99" s="83" t="n"/>
      <c r="F99" s="329" t="n"/>
      <c r="G99" s="71" t="n">
        <v>40725</v>
      </c>
      <c r="H99" s="77" t="inlineStr">
        <is>
          <t>Compito</t>
        </is>
      </c>
      <c r="I99" s="77">
        <f>IF((V99-R99)&gt;3,"SI","")</f>
        <v/>
      </c>
      <c r="J99" s="77">
        <f>IF((U99-R99)&gt;3,"SI","")</f>
        <v/>
      </c>
      <c r="K99" s="77" t="n"/>
      <c r="L99" s="77" t="n"/>
      <c r="M99" s="137">
        <f>IF(R99&gt;0,(SQRT(BT99*(SUM(BU99:BZ99)))),"")</f>
        <v/>
      </c>
      <c r="N99" s="4">
        <f>IF(T99&gt;0,(MAX(T99,Z99,AD99,AH99,AL99,AP99))+SQRT(1.2^2+1^2),"")</f>
        <v/>
      </c>
      <c r="O99" s="3">
        <f>IF(R99="",0,10*LOG10(SUM(BG99:BL99)/(COUNT(R99,X99,AB99,AF99,AJ99,AN99))))</f>
        <v/>
      </c>
      <c r="P99" s="5">
        <f>IF(AND(Y99="",AC99="",AG99="",AK99="",AO99=""),S99,AVERAGE(S99,Y99,AC99,AG99,AK99,AO99)+STDEV(S99,Y99,AC99,AG99,AK99,AO99))</f>
        <v/>
      </c>
      <c r="Q99" s="14" t="n"/>
      <c r="R99" s="11" t="n"/>
      <c r="S99" s="12" t="n"/>
      <c r="T99" s="13" t="n"/>
      <c r="U99" s="79" t="n"/>
      <c r="V99" s="79" t="n"/>
      <c r="W99" s="10" t="n"/>
      <c r="X99" s="11" t="n"/>
      <c r="Y99" s="12" t="n"/>
      <c r="Z99" s="13" t="n"/>
      <c r="AA99" s="10" t="n"/>
      <c r="AB99" s="11" t="n"/>
      <c r="AC99" s="12" t="n"/>
      <c r="AD99" s="13" t="n"/>
      <c r="AE99" s="14" t="n"/>
      <c r="AF99" s="11" t="n"/>
      <c r="AG99" s="12" t="n"/>
      <c r="AH99" s="13" t="n"/>
      <c r="AI99" s="10" t="n"/>
      <c r="AJ99" s="11" t="n"/>
      <c r="AK99" s="12" t="n"/>
      <c r="AL99" s="13" t="n"/>
      <c r="AM99" s="10" t="n"/>
      <c r="AN99" s="11" t="n"/>
      <c r="AO99" s="12" t="n"/>
      <c r="AP99" s="13" t="n"/>
      <c r="AQ99" s="6">
        <f>IF(AND((O99)&lt;85,N99&lt;137),"NO","SI")</f>
        <v/>
      </c>
      <c r="AR99" s="7">
        <f>IF((480*(10^(7.95-(O99/10))))&lt;480,480*(10^(7.95-(O99/10))),480)</f>
        <v/>
      </c>
      <c r="AS99" s="8">
        <f>IF((480*(10^(8.45-(O99/10))))&lt;480,480*(10^(8.45-(O99/10))),480)</f>
        <v/>
      </c>
      <c r="AT99" s="9">
        <f>IF((480*(10^(8.65-(O99/10))))&lt;480,480*(10^(8.65-(O99/10))),480)</f>
        <v/>
      </c>
      <c r="AU99" s="111">
        <f>IF(O99&lt;80,"0",IF((P99-O99)&lt;=2,('DPI art.191'!$G$3-(('DPI art.191'!$F$3-'DPI art.191'!$G$3)/4)*(P99-O99-2)),('DPI art.191'!$G$3-(('DPI art.191'!$G$3-'DPI art.191'!$H$3)/8)*(P99-O99-2))))</f>
        <v/>
      </c>
      <c r="AV99" s="24">
        <f>O99-AU99</f>
        <v/>
      </c>
      <c r="AW99" s="24">
        <f>IF(N99&lt;135,N99,N99-'DPI art.191'!$I$3)</f>
        <v/>
      </c>
      <c r="AX99" s="111">
        <f>IF(I99&lt;80,"0",IF((J99-I99)&lt;=2,('DPI art.191'!$G$7-(('DPI art.191'!$F$7-'DPI art.191'!$G$7)/4)*(I99-J99-2)),('DPI art.191'!$G$7-(('DPI art.191'!$G$7-'DPI art.191'!$H$7)/8)*(J99-I99-2))))</f>
        <v/>
      </c>
      <c r="AY99" s="24">
        <f>I99-AX99</f>
        <v/>
      </c>
      <c r="AZ99" s="24">
        <f>IF(H99&lt;135,H99,H99-'DPI art.191'!$I$7)</f>
        <v/>
      </c>
      <c r="BA99" s="111">
        <f>IF(O99&lt;80,"0",IF((P99-O99)&lt;=2,('DPI art.191'!$G$5-(('DPI art.191'!$F$5-'DPI art.191'!$G$5)/4)*(P99-O99-2)),('DPI art.191'!$G$5-(('DPI art.191'!$G$5-'DPI art.191'!$H$5)/8)*(P99-O99-2))))</f>
        <v/>
      </c>
      <c r="BB99" s="24">
        <f>R99-BA99</f>
        <v/>
      </c>
      <c r="BC99" s="24">
        <f>IF(N99&lt;135,N99,N99-'DPI art.191'!$I$5)</f>
        <v/>
      </c>
      <c r="BD99" s="111">
        <f>IF(O99&lt;80,"0",IF((P99-O99)&lt;=2,('DPI art.191'!$G$7-(('DPI art.191'!$F$7-'DPI art.191'!$G$7)/4)*(O99-P99-2)),('DPI art.191'!$G$7-(('DPI art.191'!$G$7-'DPI art.191'!$H$7)/8)*(P99-O99-2))))</f>
        <v/>
      </c>
      <c r="BE99" s="24">
        <f>O99-BD99</f>
        <v/>
      </c>
      <c r="BF99" s="24">
        <f>IF(N99&lt;135,N99,N99-'DPI art.191'!$I$7)</f>
        <v/>
      </c>
      <c r="BG99" s="108">
        <f>10^(0.1*R99)</f>
        <v/>
      </c>
      <c r="BH99" s="108">
        <f>10^(0.1*X99)</f>
        <v/>
      </c>
      <c r="BI99" s="108">
        <f>10^(0.1*AB99)</f>
        <v/>
      </c>
      <c r="BJ99" s="108">
        <f>10^(0.1*AF99)</f>
        <v/>
      </c>
      <c r="BK99" s="108">
        <f>10^(0.1*AJ99)</f>
        <v/>
      </c>
      <c r="BL99" s="108">
        <f>10^(0.1*AN99)</f>
        <v/>
      </c>
      <c r="BM99" s="106">
        <f>IF(R99&gt;0,(O99-R99),"")</f>
        <v/>
      </c>
      <c r="BN99" s="106">
        <f>IF(X99&gt;0,(O99-X99),"")</f>
        <v/>
      </c>
      <c r="BO99" s="106">
        <f>IF(AB99&gt;0,(O99-AB99),"")</f>
        <v/>
      </c>
      <c r="BP99" s="106">
        <f>IF(AF99&gt;0,(O99-AF99),"")</f>
        <v/>
      </c>
      <c r="BQ99" s="106">
        <f>IF(AJ99&gt;0,(O99-AJ99),"")</f>
        <v/>
      </c>
      <c r="BR99" s="106">
        <f>IF(AN99&gt;0,(O99-AN99),"")</f>
        <v/>
      </c>
      <c r="BS99" s="106">
        <f>COUNT(BM99:BR99)</f>
        <v/>
      </c>
      <c r="BT99" s="464">
        <f>IF(BS99=0,0,IF(BS99=1,0,1/(BS99*(BS99-1))))</f>
        <v/>
      </c>
      <c r="BU99" s="136">
        <f>IF(R99&gt;0,(BM99^2),"")</f>
        <v/>
      </c>
      <c r="BV99" s="136">
        <f>IF(X99&gt;0,(BN99^2),"")</f>
        <v/>
      </c>
      <c r="BW99" s="136">
        <f>IF(AB99&gt;0,(BO99^2),"")</f>
        <v/>
      </c>
      <c r="BX99" s="136">
        <f>IF(AF99&gt;0,(BP99^2),"")</f>
        <v/>
      </c>
      <c r="BY99" s="136">
        <f>IF(AJ99&gt;0,(BQ99^2),"")</f>
        <v/>
      </c>
      <c r="BZ99" s="136">
        <f>IF(AN99&gt;0,(BR99^2),"")</f>
        <v/>
      </c>
    </row>
    <row r="100" ht="18.75" customHeight="1" s="444">
      <c r="A100" s="340" t="inlineStr">
        <is>
          <t>/</t>
        </is>
      </c>
      <c r="B100" s="65">
        <f>B99+1</f>
        <v/>
      </c>
      <c r="C100" s="78" t="n"/>
      <c r="D100" s="83" t="n"/>
      <c r="E100" s="83" t="n"/>
      <c r="F100" s="329" t="n"/>
      <c r="G100" s="71" t="n">
        <v>40725</v>
      </c>
      <c r="H100" s="77" t="inlineStr">
        <is>
          <t>Compito</t>
        </is>
      </c>
      <c r="I100" s="77">
        <f>IF((V100-R100)&gt;3,"SI","")</f>
        <v/>
      </c>
      <c r="J100" s="77">
        <f>IF((U100-R100)&gt;3,"SI","")</f>
        <v/>
      </c>
      <c r="K100" s="77" t="n"/>
      <c r="L100" s="77" t="n"/>
      <c r="M100" s="137">
        <f>IF(R100&gt;0,(SQRT(BT100*(SUM(BU100:BZ100)))),"")</f>
        <v/>
      </c>
      <c r="N100" s="4">
        <f>IF(T100&gt;0,(MAX(T100,Z100,AD100,AH100,AL100,AP100))+SQRT(1.2^2+1^2),"")</f>
        <v/>
      </c>
      <c r="O100" s="3">
        <f>IF(R100="",0,10*LOG10(SUM(BG100:BL100)/(COUNT(R100,X100,AB100,AF100,AJ100,AN100))))</f>
        <v/>
      </c>
      <c r="P100" s="5">
        <f>IF(AND(Y100="",AC100="",AG100="",AK100="",AO100=""),S100,AVERAGE(S100,Y100,AC100,AG100,AK100,AO100)+STDEV(S100,Y100,AC100,AG100,AK100,AO100))</f>
        <v/>
      </c>
      <c r="Q100" s="14" t="n"/>
      <c r="R100" s="11" t="n"/>
      <c r="S100" s="12" t="n"/>
      <c r="T100" s="13" t="n"/>
      <c r="U100" s="79" t="n"/>
      <c r="V100" s="79" t="n"/>
      <c r="W100" s="10" t="n"/>
      <c r="X100" s="11" t="n"/>
      <c r="Y100" s="12" t="n"/>
      <c r="Z100" s="13" t="n"/>
      <c r="AA100" s="10" t="n"/>
      <c r="AB100" s="11" t="n"/>
      <c r="AC100" s="12" t="n"/>
      <c r="AD100" s="13" t="n"/>
      <c r="AE100" s="14" t="n"/>
      <c r="AF100" s="11" t="n"/>
      <c r="AG100" s="12" t="n"/>
      <c r="AH100" s="13" t="n"/>
      <c r="AI100" s="10" t="n"/>
      <c r="AJ100" s="11" t="n"/>
      <c r="AK100" s="12" t="n"/>
      <c r="AL100" s="13" t="n"/>
      <c r="AM100" s="10" t="n"/>
      <c r="AN100" s="11" t="n"/>
      <c r="AO100" s="12" t="n"/>
      <c r="AP100" s="13" t="n"/>
      <c r="AQ100" s="6">
        <f>IF(AND((O100)&lt;85,N100&lt;137),"NO","SI")</f>
        <v/>
      </c>
      <c r="AR100" s="7">
        <f>IF((480*(10^(7.95-(O100/10))))&lt;480,480*(10^(7.95-(O100/10))),480)</f>
        <v/>
      </c>
      <c r="AS100" s="8">
        <f>IF((480*(10^(8.45-(O100/10))))&lt;480,480*(10^(8.45-(O100/10))),480)</f>
        <v/>
      </c>
      <c r="AT100" s="9">
        <f>IF((480*(10^(8.65-(O100/10))))&lt;480,480*(10^(8.65-(O100/10))),480)</f>
        <v/>
      </c>
      <c r="AU100" s="111">
        <f>IF(O100&lt;80,"0",IF((P100-O100)&lt;=2,('DPI art.191'!$G$3-(('DPI art.191'!$F$3-'DPI art.191'!$G$3)/4)*(P100-O100-2)),('DPI art.191'!$G$3-(('DPI art.191'!$G$3-'DPI art.191'!$H$3)/8)*(P100-O100-2))))</f>
        <v/>
      </c>
      <c r="AV100" s="24">
        <f>O100-AU100</f>
        <v/>
      </c>
      <c r="AW100" s="24">
        <f>IF(N100&lt;135,N100,N100-'DPI art.191'!$I$3)</f>
        <v/>
      </c>
      <c r="AX100" s="111">
        <f>IF(I100&lt;80,"0",IF((J100-I100)&lt;=2,('DPI art.191'!$G$7-(('DPI art.191'!$F$7-'DPI art.191'!$G$7)/4)*(I100-J100-2)),('DPI art.191'!$G$7-(('DPI art.191'!$G$7-'DPI art.191'!$H$7)/8)*(J100-I100-2))))</f>
        <v/>
      </c>
      <c r="AY100" s="24">
        <f>I100-AX100</f>
        <v/>
      </c>
      <c r="AZ100" s="24">
        <f>IF(H100&lt;135,H100,H100-'DPI art.191'!$I$7)</f>
        <v/>
      </c>
      <c r="BA100" s="111">
        <f>IF(O100&lt;80,"0",IF((P100-O100)&lt;=2,('DPI art.191'!$G$5-(('DPI art.191'!$F$5-'DPI art.191'!$G$5)/4)*(P100-O100-2)),('DPI art.191'!$G$5-(('DPI art.191'!$G$5-'DPI art.191'!$H$5)/8)*(P100-O100-2))))</f>
        <v/>
      </c>
      <c r="BB100" s="24">
        <f>R100-BA100</f>
        <v/>
      </c>
      <c r="BC100" s="24">
        <f>IF(N100&lt;135,N100,N100-'DPI art.191'!$I$5)</f>
        <v/>
      </c>
      <c r="BD100" s="111">
        <f>IF(O100&lt;80,"0",IF((P100-O100)&lt;=2,('DPI art.191'!$G$7-(('DPI art.191'!$F$7-'DPI art.191'!$G$7)/4)*(O100-P100-2)),('DPI art.191'!$G$7-(('DPI art.191'!$G$7-'DPI art.191'!$H$7)/8)*(P100-O100-2))))</f>
        <v/>
      </c>
      <c r="BE100" s="24">
        <f>O100-BD100</f>
        <v/>
      </c>
      <c r="BF100" s="24">
        <f>IF(N100&lt;135,N100,N100-'DPI art.191'!$I$7)</f>
        <v/>
      </c>
      <c r="BG100" s="108">
        <f>10^(0.1*R100)</f>
        <v/>
      </c>
      <c r="BH100" s="108">
        <f>10^(0.1*X100)</f>
        <v/>
      </c>
      <c r="BI100" s="108">
        <f>10^(0.1*AB100)</f>
        <v/>
      </c>
      <c r="BJ100" s="108">
        <f>10^(0.1*AF100)</f>
        <v/>
      </c>
      <c r="BK100" s="108">
        <f>10^(0.1*AJ100)</f>
        <v/>
      </c>
      <c r="BL100" s="108">
        <f>10^(0.1*AN100)</f>
        <v/>
      </c>
      <c r="BM100" s="106">
        <f>IF(R100&gt;0,(O100-R100),"")</f>
        <v/>
      </c>
      <c r="BN100" s="106">
        <f>IF(X100&gt;0,(O100-X100),"")</f>
        <v/>
      </c>
      <c r="BO100" s="106">
        <f>IF(AB100&gt;0,(O100-AB100),"")</f>
        <v/>
      </c>
      <c r="BP100" s="106">
        <f>IF(AF100&gt;0,(O100-AF100),"")</f>
        <v/>
      </c>
      <c r="BQ100" s="106">
        <f>IF(AJ100&gt;0,(O100-AJ100),"")</f>
        <v/>
      </c>
      <c r="BR100" s="106">
        <f>IF(AN100&gt;0,(O100-AN100),"")</f>
        <v/>
      </c>
      <c r="BS100" s="106">
        <f>COUNT(BM100:BR100)</f>
        <v/>
      </c>
      <c r="BT100" s="464">
        <f>IF(BS100=0,0,IF(BS100=1,0,1/(BS100*(BS100-1))))</f>
        <v/>
      </c>
      <c r="BU100" s="136">
        <f>IF(R100&gt;0,(BM100^2),"")</f>
        <v/>
      </c>
      <c r="BV100" s="136">
        <f>IF(X100&gt;0,(BN100^2),"")</f>
        <v/>
      </c>
      <c r="BW100" s="136">
        <f>IF(AB100&gt;0,(BO100^2),"")</f>
        <v/>
      </c>
      <c r="BX100" s="136">
        <f>IF(AF100&gt;0,(BP100^2),"")</f>
        <v/>
      </c>
      <c r="BY100" s="136">
        <f>IF(AJ100&gt;0,(BQ100^2),"")</f>
        <v/>
      </c>
      <c r="BZ100" s="136">
        <f>IF(AN100&gt;0,(BR100^2),"")</f>
        <v/>
      </c>
    </row>
    <row r="101" ht="18.75" customHeight="1" s="444">
      <c r="A101" s="340" t="inlineStr">
        <is>
          <t>/</t>
        </is>
      </c>
      <c r="B101" s="65">
        <f>B100+1</f>
        <v/>
      </c>
      <c r="C101" s="78" t="n"/>
      <c r="D101" s="83" t="n"/>
      <c r="E101" s="83" t="n"/>
      <c r="F101" s="329" t="n"/>
      <c r="G101" s="71" t="n">
        <v>40725</v>
      </c>
      <c r="H101" s="77" t="inlineStr">
        <is>
          <t>Compito</t>
        </is>
      </c>
      <c r="I101" s="77">
        <f>IF((V101-R101)&gt;3,"SI","")</f>
        <v/>
      </c>
      <c r="J101" s="77">
        <f>IF((U101-R101)&gt;3,"SI","")</f>
        <v/>
      </c>
      <c r="K101" s="77" t="n"/>
      <c r="L101" s="77" t="n"/>
      <c r="M101" s="137">
        <f>IF(R101&gt;0,(SQRT(BT101*(SUM(BU101:BZ101)))),"")</f>
        <v/>
      </c>
      <c r="N101" s="4">
        <f>IF(T101&gt;0,(MAX(T101,Z101,AD101,AH101,AL101,AP101))+SQRT(1.2^2+1^2),"")</f>
        <v/>
      </c>
      <c r="O101" s="3">
        <f>IF(R101="",0,10*LOG10(SUM(BG101:BL101)/(COUNT(R101,X101,AB101,AF101,AJ101,AN101))))</f>
        <v/>
      </c>
      <c r="P101" s="5">
        <f>IF(AND(Y101="",AC101="",AG101="",AK101="",AO101=""),S101,AVERAGE(S101,Y101,AC101,AG101,AK101,AO101)+STDEV(S101,Y101,AC101,AG101,AK101,AO101))</f>
        <v/>
      </c>
      <c r="Q101" s="14" t="n"/>
      <c r="R101" s="11" t="n"/>
      <c r="S101" s="12" t="n"/>
      <c r="T101" s="13" t="n"/>
      <c r="U101" s="79" t="n"/>
      <c r="V101" s="79" t="n"/>
      <c r="W101" s="10" t="n"/>
      <c r="X101" s="11" t="n"/>
      <c r="Y101" s="12" t="n"/>
      <c r="Z101" s="13" t="n"/>
      <c r="AA101" s="10" t="n"/>
      <c r="AB101" s="11" t="n"/>
      <c r="AC101" s="12" t="n"/>
      <c r="AD101" s="13" t="n"/>
      <c r="AE101" s="14" t="n"/>
      <c r="AF101" s="11" t="n"/>
      <c r="AG101" s="12" t="n"/>
      <c r="AH101" s="13" t="n"/>
      <c r="AI101" s="10" t="n"/>
      <c r="AJ101" s="11" t="n"/>
      <c r="AK101" s="12" t="n"/>
      <c r="AL101" s="13" t="n"/>
      <c r="AM101" s="10" t="n"/>
      <c r="AN101" s="11" t="n"/>
      <c r="AO101" s="12" t="n"/>
      <c r="AP101" s="13" t="n"/>
      <c r="AQ101" s="6">
        <f>IF(AND((O101)&lt;85,N101&lt;137),"NO","SI")</f>
        <v/>
      </c>
      <c r="AR101" s="7">
        <f>IF((480*(10^(7.95-(O101/10))))&lt;480,480*(10^(7.95-(O101/10))),480)</f>
        <v/>
      </c>
      <c r="AS101" s="8">
        <f>IF((480*(10^(8.45-(O101/10))))&lt;480,480*(10^(8.45-(O101/10))),480)</f>
        <v/>
      </c>
      <c r="AT101" s="9">
        <f>IF((480*(10^(8.65-(O101/10))))&lt;480,480*(10^(8.65-(O101/10))),480)</f>
        <v/>
      </c>
      <c r="AU101" s="111">
        <f>IF(O101&lt;80,"0",IF((P101-O101)&lt;=2,('DPI art.191'!$G$3-(('DPI art.191'!$F$3-'DPI art.191'!$G$3)/4)*(P101-O101-2)),('DPI art.191'!$G$3-(('DPI art.191'!$G$3-'DPI art.191'!$H$3)/8)*(P101-O101-2))))</f>
        <v/>
      </c>
      <c r="AV101" s="24">
        <f>O101-AU101</f>
        <v/>
      </c>
      <c r="AW101" s="24">
        <f>IF(N101&lt;135,N101,N101-'DPI art.191'!$I$3)</f>
        <v/>
      </c>
      <c r="AX101" s="111">
        <f>IF(I101&lt;80,"0",IF((J101-I101)&lt;=2,('DPI art.191'!$G$7-(('DPI art.191'!$F$7-'DPI art.191'!$G$7)/4)*(I101-J101-2)),('DPI art.191'!$G$7-(('DPI art.191'!$G$7-'DPI art.191'!$H$7)/8)*(J101-I101-2))))</f>
        <v/>
      </c>
      <c r="AY101" s="24">
        <f>I101-AX101</f>
        <v/>
      </c>
      <c r="AZ101" s="24">
        <f>IF(H101&lt;135,H101,H101-'DPI art.191'!$I$7)</f>
        <v/>
      </c>
      <c r="BA101" s="111">
        <f>IF(O101&lt;80,"0",IF((P101-O101)&lt;=2,('DPI art.191'!$G$5-(('DPI art.191'!$F$5-'DPI art.191'!$G$5)/4)*(P101-O101-2)),('DPI art.191'!$G$5-(('DPI art.191'!$G$5-'DPI art.191'!$H$5)/8)*(P101-O101-2))))</f>
        <v/>
      </c>
      <c r="BB101" s="24">
        <f>R101-BA101</f>
        <v/>
      </c>
      <c r="BC101" s="24">
        <f>IF(N101&lt;135,N101,N101-'DPI art.191'!$I$5)</f>
        <v/>
      </c>
      <c r="BD101" s="111">
        <f>IF(O101&lt;80,"0",IF((P101-O101)&lt;=2,('DPI art.191'!$G$7-(('DPI art.191'!$F$7-'DPI art.191'!$G$7)/4)*(O101-P101-2)),('DPI art.191'!$G$7-(('DPI art.191'!$G$7-'DPI art.191'!$H$7)/8)*(P101-O101-2))))</f>
        <v/>
      </c>
      <c r="BE101" s="24">
        <f>O101-BD101</f>
        <v/>
      </c>
      <c r="BF101" s="24">
        <f>IF(N101&lt;135,N101,N101-'DPI art.191'!$I$7)</f>
        <v/>
      </c>
      <c r="BG101" s="108">
        <f>10^(0.1*R101)</f>
        <v/>
      </c>
      <c r="BH101" s="108">
        <f>10^(0.1*X101)</f>
        <v/>
      </c>
      <c r="BI101" s="108">
        <f>10^(0.1*AB101)</f>
        <v/>
      </c>
      <c r="BJ101" s="108">
        <f>10^(0.1*AF101)</f>
        <v/>
      </c>
      <c r="BK101" s="108">
        <f>10^(0.1*AJ101)</f>
        <v/>
      </c>
      <c r="BL101" s="108">
        <f>10^(0.1*AN101)</f>
        <v/>
      </c>
      <c r="BM101" s="106">
        <f>IF(R101&gt;0,(O101-R101),"")</f>
        <v/>
      </c>
      <c r="BN101" s="106">
        <f>IF(X101&gt;0,(O101-X101),"")</f>
        <v/>
      </c>
      <c r="BO101" s="106">
        <f>IF(AB101&gt;0,(O101-AB101),"")</f>
        <v/>
      </c>
      <c r="BP101" s="106">
        <f>IF(AF101&gt;0,(O101-AF101),"")</f>
        <v/>
      </c>
      <c r="BQ101" s="106">
        <f>IF(AJ101&gt;0,(O101-AJ101),"")</f>
        <v/>
      </c>
      <c r="BR101" s="106">
        <f>IF(AN101&gt;0,(O101-AN101),"")</f>
        <v/>
      </c>
      <c r="BS101" s="106">
        <f>COUNT(BM101:BR101)</f>
        <v/>
      </c>
      <c r="BT101" s="464">
        <f>IF(BS101=0,0,IF(BS101=1,0,1/(BS101*(BS101-1))))</f>
        <v/>
      </c>
      <c r="BU101" s="136">
        <f>IF(R101&gt;0,(BM101^2),"")</f>
        <v/>
      </c>
      <c r="BV101" s="136">
        <f>IF(X101&gt;0,(BN101^2),"")</f>
        <v/>
      </c>
      <c r="BW101" s="136">
        <f>IF(AB101&gt;0,(BO101^2),"")</f>
        <v/>
      </c>
      <c r="BX101" s="136">
        <f>IF(AF101&gt;0,(BP101^2),"")</f>
        <v/>
      </c>
      <c r="BY101" s="136">
        <f>IF(AJ101&gt;0,(BQ101^2),"")</f>
        <v/>
      </c>
      <c r="BZ101" s="136">
        <f>IF(AN101&gt;0,(BR101^2),"")</f>
        <v/>
      </c>
    </row>
    <row r="102" ht="18.75" customHeight="1" s="444">
      <c r="A102" s="340" t="inlineStr">
        <is>
          <t>/</t>
        </is>
      </c>
      <c r="B102" s="65">
        <f>B101+1</f>
        <v/>
      </c>
      <c r="C102" s="78" t="n"/>
      <c r="D102" s="83" t="n"/>
      <c r="E102" s="83" t="n"/>
      <c r="F102" s="329" t="n"/>
      <c r="G102" s="71" t="n">
        <v>40725</v>
      </c>
      <c r="H102" s="77" t="inlineStr">
        <is>
          <t>Compito</t>
        </is>
      </c>
      <c r="I102" s="77">
        <f>IF((V102-R102)&gt;3,"SI","")</f>
        <v/>
      </c>
      <c r="J102" s="77">
        <f>IF((U102-R102)&gt;3,"SI","")</f>
        <v/>
      </c>
      <c r="K102" s="77" t="n"/>
      <c r="L102" s="77" t="n"/>
      <c r="M102" s="137">
        <f>IF(R102&gt;0,(SQRT(BT102*(SUM(BU102:BZ102)))),"")</f>
        <v/>
      </c>
      <c r="N102" s="4">
        <f>IF(T102&gt;0,(MAX(T102,Z102,AD102,AH102,AL102,AP102))+SQRT(1.2^2+1^2),"")</f>
        <v/>
      </c>
      <c r="O102" s="3">
        <f>IF(R102="",0,10*LOG10(SUM(BG102:BL102)/(COUNT(R102,X102,AB102,AF102,AJ102,AN102))))</f>
        <v/>
      </c>
      <c r="P102" s="5">
        <f>IF(AND(Y102="",AC102="",AG102="",AK102="",AO102=""),S102,AVERAGE(S102,Y102,AC102,AG102,AK102,AO102)+STDEV(S102,Y102,AC102,AG102,AK102,AO102))</f>
        <v/>
      </c>
      <c r="Q102" s="14" t="n"/>
      <c r="R102" s="11" t="n"/>
      <c r="S102" s="12" t="n"/>
      <c r="T102" s="13" t="n"/>
      <c r="U102" s="79" t="n"/>
      <c r="V102" s="79" t="n"/>
      <c r="W102" s="10" t="n"/>
      <c r="X102" s="11" t="n"/>
      <c r="Y102" s="12" t="n"/>
      <c r="Z102" s="13" t="n"/>
      <c r="AA102" s="10" t="n"/>
      <c r="AB102" s="11" t="n"/>
      <c r="AC102" s="12" t="n"/>
      <c r="AD102" s="13" t="n"/>
      <c r="AE102" s="14" t="n"/>
      <c r="AF102" s="11" t="n"/>
      <c r="AG102" s="12" t="n"/>
      <c r="AH102" s="13" t="n"/>
      <c r="AI102" s="10" t="n"/>
      <c r="AJ102" s="11" t="n"/>
      <c r="AK102" s="12" t="n"/>
      <c r="AL102" s="13" t="n"/>
      <c r="AM102" s="10" t="n"/>
      <c r="AN102" s="11" t="n"/>
      <c r="AO102" s="12" t="n"/>
      <c r="AP102" s="13" t="n"/>
      <c r="AQ102" s="6">
        <f>IF(AND((O102)&lt;85,N102&lt;137),"NO","SI")</f>
        <v/>
      </c>
      <c r="AR102" s="7">
        <f>IF((480*(10^(7.95-(O102/10))))&lt;480,480*(10^(7.95-(O102/10))),480)</f>
        <v/>
      </c>
      <c r="AS102" s="8">
        <f>IF((480*(10^(8.45-(O102/10))))&lt;480,480*(10^(8.45-(O102/10))),480)</f>
        <v/>
      </c>
      <c r="AT102" s="9">
        <f>IF((480*(10^(8.65-(O102/10))))&lt;480,480*(10^(8.65-(O102/10))),480)</f>
        <v/>
      </c>
      <c r="AU102" s="111">
        <f>IF(O102&lt;80,"0",IF((P102-O102)&lt;=2,('DPI art.191'!$G$3-(('DPI art.191'!$F$3-'DPI art.191'!$G$3)/4)*(P102-O102-2)),('DPI art.191'!$G$3-(('DPI art.191'!$G$3-'DPI art.191'!$H$3)/8)*(P102-O102-2))))</f>
        <v/>
      </c>
      <c r="AV102" s="24">
        <f>O102-AU102</f>
        <v/>
      </c>
      <c r="AW102" s="24">
        <f>IF(N102&lt;135,N102,N102-'DPI art.191'!$I$3)</f>
        <v/>
      </c>
      <c r="AX102" s="111">
        <f>IF(I102&lt;80,"0",IF((J102-I102)&lt;=2,('DPI art.191'!$G$7-(('DPI art.191'!$F$7-'DPI art.191'!$G$7)/4)*(I102-J102-2)),('DPI art.191'!$G$7-(('DPI art.191'!$G$7-'DPI art.191'!$H$7)/8)*(J102-I102-2))))</f>
        <v/>
      </c>
      <c r="AY102" s="24">
        <f>I102-AX102</f>
        <v/>
      </c>
      <c r="AZ102" s="24">
        <f>IF(H102&lt;135,H102,H102-'DPI art.191'!$I$7)</f>
        <v/>
      </c>
      <c r="BA102" s="111">
        <f>IF(O102&lt;80,"0",IF((P102-O102)&lt;=2,('DPI art.191'!$G$5-(('DPI art.191'!$F$5-'DPI art.191'!$G$5)/4)*(P102-O102-2)),('DPI art.191'!$G$5-(('DPI art.191'!$G$5-'DPI art.191'!$H$5)/8)*(P102-O102-2))))</f>
        <v/>
      </c>
      <c r="BB102" s="24">
        <f>R102-BA102</f>
        <v/>
      </c>
      <c r="BC102" s="24">
        <f>IF(N102&lt;135,N102,N102-'DPI art.191'!$I$5)</f>
        <v/>
      </c>
      <c r="BD102" s="111">
        <f>IF(O102&lt;80,"0",IF((P102-O102)&lt;=2,('DPI art.191'!$G$7-(('DPI art.191'!$F$7-'DPI art.191'!$G$7)/4)*(O102-P102-2)),('DPI art.191'!$G$7-(('DPI art.191'!$G$7-'DPI art.191'!$H$7)/8)*(P102-O102-2))))</f>
        <v/>
      </c>
      <c r="BE102" s="24">
        <f>O102-BD102</f>
        <v/>
      </c>
      <c r="BF102" s="24">
        <f>IF(N102&lt;135,N102,N102-'DPI art.191'!$I$7)</f>
        <v/>
      </c>
      <c r="BG102" s="108">
        <f>10^(0.1*R102)</f>
        <v/>
      </c>
      <c r="BH102" s="108">
        <f>10^(0.1*X102)</f>
        <v/>
      </c>
      <c r="BI102" s="108">
        <f>10^(0.1*AB102)</f>
        <v/>
      </c>
      <c r="BJ102" s="108">
        <f>10^(0.1*AF102)</f>
        <v/>
      </c>
      <c r="BK102" s="108">
        <f>10^(0.1*AJ102)</f>
        <v/>
      </c>
      <c r="BL102" s="108">
        <f>10^(0.1*AN102)</f>
        <v/>
      </c>
      <c r="BM102" s="106">
        <f>IF(R102&gt;0,(O102-R102),"")</f>
        <v/>
      </c>
      <c r="BN102" s="106">
        <f>IF(X102&gt;0,(O102-X102),"")</f>
        <v/>
      </c>
      <c r="BO102" s="106">
        <f>IF(AB102&gt;0,(O102-AB102),"")</f>
        <v/>
      </c>
      <c r="BP102" s="106">
        <f>IF(AF102&gt;0,(O102-AF102),"")</f>
        <v/>
      </c>
      <c r="BQ102" s="106">
        <f>IF(AJ102&gt;0,(O102-AJ102),"")</f>
        <v/>
      </c>
      <c r="BR102" s="106">
        <f>IF(AN102&gt;0,(O102-AN102),"")</f>
        <v/>
      </c>
      <c r="BS102" s="106">
        <f>COUNT(BM102:BR102)</f>
        <v/>
      </c>
      <c r="BT102" s="464">
        <f>IF(BS102=0,0,IF(BS102=1,0,1/(BS102*(BS102-1))))</f>
        <v/>
      </c>
      <c r="BU102" s="136">
        <f>IF(R102&gt;0,(BM102^2),"")</f>
        <v/>
      </c>
      <c r="BV102" s="136">
        <f>IF(X102&gt;0,(BN102^2),"")</f>
        <v/>
      </c>
      <c r="BW102" s="136">
        <f>IF(AB102&gt;0,(BO102^2),"")</f>
        <v/>
      </c>
      <c r="BX102" s="136">
        <f>IF(AF102&gt;0,(BP102^2),"")</f>
        <v/>
      </c>
      <c r="BY102" s="136">
        <f>IF(AJ102&gt;0,(BQ102^2),"")</f>
        <v/>
      </c>
      <c r="BZ102" s="136">
        <f>IF(AN102&gt;0,(BR102^2),"")</f>
        <v/>
      </c>
    </row>
    <row r="103" ht="18.75" customHeight="1" s="444">
      <c r="A103" s="340" t="inlineStr">
        <is>
          <t>/</t>
        </is>
      </c>
      <c r="B103" s="65">
        <f>B102+1</f>
        <v/>
      </c>
      <c r="C103" s="78" t="n"/>
      <c r="D103" s="83" t="n"/>
      <c r="E103" s="83" t="n"/>
      <c r="F103" s="329" t="n"/>
      <c r="G103" s="71" t="n">
        <v>40725</v>
      </c>
      <c r="H103" s="77" t="inlineStr">
        <is>
          <t>Compito</t>
        </is>
      </c>
      <c r="I103" s="77">
        <f>IF((V103-R103)&gt;3,"SI","")</f>
        <v/>
      </c>
      <c r="J103" s="77">
        <f>IF((U103-R103)&gt;3,"SI","")</f>
        <v/>
      </c>
      <c r="K103" s="77" t="n"/>
      <c r="L103" s="77" t="n"/>
      <c r="M103" s="137">
        <f>IF(R103&gt;0,(SQRT(BT103*(SUM(BU103:BZ103)))),"")</f>
        <v/>
      </c>
      <c r="N103" s="4">
        <f>IF(T103&gt;0,(MAX(T103,Z103,AD103,AH103,AL103,AP103))+SQRT(1.2^2+1^2),"")</f>
        <v/>
      </c>
      <c r="O103" s="3">
        <f>IF(R103="",0,10*LOG10(SUM(BG103:BL103)/(COUNT(R103,X103,AB103,AF103,AJ103,AN103))))</f>
        <v/>
      </c>
      <c r="P103" s="5">
        <f>IF(AND(Y103="",AC103="",AG103="",AK103="",AO103=""),S103,AVERAGE(S103,Y103,AC103,AG103,AK103,AO103)+STDEV(S103,Y103,AC103,AG103,AK103,AO103))</f>
        <v/>
      </c>
      <c r="Q103" s="14" t="n"/>
      <c r="R103" s="11" t="n"/>
      <c r="S103" s="12" t="n"/>
      <c r="T103" s="13" t="n"/>
      <c r="U103" s="79" t="n"/>
      <c r="V103" s="79" t="n"/>
      <c r="W103" s="10" t="n"/>
      <c r="X103" s="11" t="n"/>
      <c r="Y103" s="12" t="n"/>
      <c r="Z103" s="13" t="n"/>
      <c r="AA103" s="10" t="n"/>
      <c r="AB103" s="11" t="n"/>
      <c r="AC103" s="12" t="n"/>
      <c r="AD103" s="13" t="n"/>
      <c r="AE103" s="14" t="n"/>
      <c r="AF103" s="11" t="n"/>
      <c r="AG103" s="12" t="n"/>
      <c r="AH103" s="13" t="n"/>
      <c r="AI103" s="10" t="n"/>
      <c r="AJ103" s="11" t="n"/>
      <c r="AK103" s="12" t="n"/>
      <c r="AL103" s="13" t="n"/>
      <c r="AM103" s="10" t="n"/>
      <c r="AN103" s="11" t="n"/>
      <c r="AO103" s="12" t="n"/>
      <c r="AP103" s="13" t="n"/>
      <c r="AQ103" s="6">
        <f>IF(AND((O103)&lt;85,N103&lt;137),"NO","SI")</f>
        <v/>
      </c>
      <c r="AR103" s="7">
        <f>IF((480*(10^(7.95-(O103/10))))&lt;480,480*(10^(7.95-(O103/10))),480)</f>
        <v/>
      </c>
      <c r="AS103" s="8">
        <f>IF((480*(10^(8.45-(O103/10))))&lt;480,480*(10^(8.45-(O103/10))),480)</f>
        <v/>
      </c>
      <c r="AT103" s="9">
        <f>IF((480*(10^(8.65-(O103/10))))&lt;480,480*(10^(8.65-(O103/10))),480)</f>
        <v/>
      </c>
      <c r="AU103" s="111">
        <f>IF(O103&lt;80,"0",IF((P103-O103)&lt;=2,('DPI art.191'!$G$3-(('DPI art.191'!$F$3-'DPI art.191'!$G$3)/4)*(P103-O103-2)),('DPI art.191'!$G$3-(('DPI art.191'!$G$3-'DPI art.191'!$H$3)/8)*(P103-O103-2))))</f>
        <v/>
      </c>
      <c r="AV103" s="24">
        <f>O103-AU103</f>
        <v/>
      </c>
      <c r="AW103" s="24">
        <f>IF(N103&lt;135,N103,N103-'DPI art.191'!$I$3)</f>
        <v/>
      </c>
      <c r="AX103" s="111">
        <f>IF(I103&lt;80,"0",IF((J103-I103)&lt;=2,('DPI art.191'!$G$7-(('DPI art.191'!$F$7-'DPI art.191'!$G$7)/4)*(I103-J103-2)),('DPI art.191'!$G$7-(('DPI art.191'!$G$7-'DPI art.191'!$H$7)/8)*(J103-I103-2))))</f>
        <v/>
      </c>
      <c r="AY103" s="24">
        <f>I103-AX103</f>
        <v/>
      </c>
      <c r="AZ103" s="24">
        <f>IF(H103&lt;135,H103,H103-'DPI art.191'!$I$7)</f>
        <v/>
      </c>
      <c r="BA103" s="111">
        <f>IF(O103&lt;80,"0",IF((P103-O103)&lt;=2,('DPI art.191'!$G$5-(('DPI art.191'!$F$5-'DPI art.191'!$G$5)/4)*(P103-O103-2)),('DPI art.191'!$G$5-(('DPI art.191'!$G$5-'DPI art.191'!$H$5)/8)*(P103-O103-2))))</f>
        <v/>
      </c>
      <c r="BB103" s="24">
        <f>R103-BA103</f>
        <v/>
      </c>
      <c r="BC103" s="24">
        <f>IF(N103&lt;135,N103,N103-'DPI art.191'!$I$5)</f>
        <v/>
      </c>
      <c r="BD103" s="111">
        <f>IF(O103&lt;80,"0",IF((P103-O103)&lt;=2,('DPI art.191'!$G$7-(('DPI art.191'!$F$7-'DPI art.191'!$G$7)/4)*(O103-P103-2)),('DPI art.191'!$G$7-(('DPI art.191'!$G$7-'DPI art.191'!$H$7)/8)*(P103-O103-2))))</f>
        <v/>
      </c>
      <c r="BE103" s="24">
        <f>O103-BD103</f>
        <v/>
      </c>
      <c r="BF103" s="24">
        <f>IF(N103&lt;135,N103,N103-'DPI art.191'!$I$7)</f>
        <v/>
      </c>
      <c r="BG103" s="108">
        <f>10^(0.1*R103)</f>
        <v/>
      </c>
      <c r="BH103" s="108">
        <f>10^(0.1*X103)</f>
        <v/>
      </c>
      <c r="BI103" s="108">
        <f>10^(0.1*AB103)</f>
        <v/>
      </c>
      <c r="BJ103" s="108">
        <f>10^(0.1*AF103)</f>
        <v/>
      </c>
      <c r="BK103" s="108">
        <f>10^(0.1*AJ103)</f>
        <v/>
      </c>
      <c r="BL103" s="108">
        <f>10^(0.1*AN103)</f>
        <v/>
      </c>
      <c r="BM103" s="106">
        <f>IF(R103&gt;0,(O103-R103),"")</f>
        <v/>
      </c>
      <c r="BN103" s="106">
        <f>IF(X103&gt;0,(O103-X103),"")</f>
        <v/>
      </c>
      <c r="BO103" s="106">
        <f>IF(AB103&gt;0,(O103-AB103),"")</f>
        <v/>
      </c>
      <c r="BP103" s="106">
        <f>IF(AF103&gt;0,(O103-AF103),"")</f>
        <v/>
      </c>
      <c r="BQ103" s="106">
        <f>IF(AJ103&gt;0,(O103-AJ103),"")</f>
        <v/>
      </c>
      <c r="BR103" s="106">
        <f>IF(AN103&gt;0,(O103-AN103),"")</f>
        <v/>
      </c>
      <c r="BS103" s="106">
        <f>COUNT(BM103:BR103)</f>
        <v/>
      </c>
      <c r="BT103" s="464">
        <f>IF(BS103=0,0,IF(BS103=1,0,1/(BS103*(BS103-1))))</f>
        <v/>
      </c>
      <c r="BU103" s="136">
        <f>IF(R103&gt;0,(BM103^2),"")</f>
        <v/>
      </c>
      <c r="BV103" s="136">
        <f>IF(X103&gt;0,(BN103^2),"")</f>
        <v/>
      </c>
      <c r="BW103" s="136">
        <f>IF(AB103&gt;0,(BO103^2),"")</f>
        <v/>
      </c>
      <c r="BX103" s="136">
        <f>IF(AF103&gt;0,(BP103^2),"")</f>
        <v/>
      </c>
      <c r="BY103" s="136">
        <f>IF(AJ103&gt;0,(BQ103^2),"")</f>
        <v/>
      </c>
      <c r="BZ103" s="136">
        <f>IF(AN103&gt;0,(BR103^2),"")</f>
        <v/>
      </c>
    </row>
    <row r="104" ht="18.75" customHeight="1" s="444">
      <c r="A104" s="340" t="inlineStr">
        <is>
          <t>/</t>
        </is>
      </c>
      <c r="B104" s="65">
        <f>B103+1</f>
        <v/>
      </c>
      <c r="C104" s="78" t="n"/>
      <c r="D104" s="83" t="n"/>
      <c r="E104" s="83" t="n"/>
      <c r="F104" s="329" t="n"/>
      <c r="G104" s="71" t="n">
        <v>40725</v>
      </c>
      <c r="H104" s="77" t="inlineStr">
        <is>
          <t>Compito</t>
        </is>
      </c>
      <c r="I104" s="77">
        <f>IF((V104-R104)&gt;3,"SI","")</f>
        <v/>
      </c>
      <c r="J104" s="77">
        <f>IF((U104-R104)&gt;3,"SI","")</f>
        <v/>
      </c>
      <c r="K104" s="77" t="n"/>
      <c r="L104" s="77" t="n"/>
      <c r="M104" s="137">
        <f>IF(R104&gt;0,(SQRT(BT104*(SUM(BU104:BZ104)))),"")</f>
        <v/>
      </c>
      <c r="N104" s="4">
        <f>IF(T104&gt;0,(MAX(T104,Z104,AD104,AH104,AL104,AP104))+SQRT(1.2^2+1^2),"")</f>
        <v/>
      </c>
      <c r="O104" s="3">
        <f>IF(R104="",0,10*LOG10(SUM(BG104:BL104)/(COUNT(R104,X104,AB104,AF104,AJ104,AN104))))</f>
        <v/>
      </c>
      <c r="P104" s="5">
        <f>IF(AND(Y104="",AC104="",AG104="",AK104="",AO104=""),S104,AVERAGE(S104,Y104,AC104,AG104,AK104,AO104)+STDEV(S104,Y104,AC104,AG104,AK104,AO104))</f>
        <v/>
      </c>
      <c r="Q104" s="14" t="n"/>
      <c r="R104" s="11" t="n"/>
      <c r="S104" s="12" t="n"/>
      <c r="T104" s="13" t="n"/>
      <c r="U104" s="79" t="n"/>
      <c r="V104" s="79" t="n"/>
      <c r="W104" s="10" t="n"/>
      <c r="X104" s="11" t="n"/>
      <c r="Y104" s="12" t="n"/>
      <c r="Z104" s="13" t="n"/>
      <c r="AA104" s="10" t="n"/>
      <c r="AB104" s="11" t="n"/>
      <c r="AC104" s="12" t="n"/>
      <c r="AD104" s="13" t="n"/>
      <c r="AE104" s="14" t="n"/>
      <c r="AF104" s="11" t="n"/>
      <c r="AG104" s="12" t="n"/>
      <c r="AH104" s="13" t="n"/>
      <c r="AI104" s="10" t="n"/>
      <c r="AJ104" s="11" t="n"/>
      <c r="AK104" s="12" t="n"/>
      <c r="AL104" s="13" t="n"/>
      <c r="AM104" s="10" t="n"/>
      <c r="AN104" s="11" t="n"/>
      <c r="AO104" s="12" t="n"/>
      <c r="AP104" s="13" t="n"/>
      <c r="AQ104" s="6">
        <f>IF(AND((O104)&lt;85,N104&lt;137),"NO","SI")</f>
        <v/>
      </c>
      <c r="AR104" s="7">
        <f>IF((480*(10^(7.95-(O104/10))))&lt;480,480*(10^(7.95-(O104/10))),480)</f>
        <v/>
      </c>
      <c r="AS104" s="8">
        <f>IF((480*(10^(8.45-(O104/10))))&lt;480,480*(10^(8.45-(O104/10))),480)</f>
        <v/>
      </c>
      <c r="AT104" s="9">
        <f>IF((480*(10^(8.65-(O104/10))))&lt;480,480*(10^(8.65-(O104/10))),480)</f>
        <v/>
      </c>
      <c r="AU104" s="111">
        <f>IF(O104&lt;80,"0",IF((P104-O104)&lt;=2,('DPI art.191'!$G$3-(('DPI art.191'!$F$3-'DPI art.191'!$G$3)/4)*(P104-O104-2)),('DPI art.191'!$G$3-(('DPI art.191'!$G$3-'DPI art.191'!$H$3)/8)*(P104-O104-2))))</f>
        <v/>
      </c>
      <c r="AV104" s="24">
        <f>O104-AU104</f>
        <v/>
      </c>
      <c r="AW104" s="24">
        <f>IF(N104&lt;135,N104,N104-'DPI art.191'!$I$3)</f>
        <v/>
      </c>
      <c r="AX104" s="111">
        <f>IF(I104&lt;80,"0",IF((J104-I104)&lt;=2,('DPI art.191'!$G$7-(('DPI art.191'!$F$7-'DPI art.191'!$G$7)/4)*(I104-J104-2)),('DPI art.191'!$G$7-(('DPI art.191'!$G$7-'DPI art.191'!$H$7)/8)*(J104-I104-2))))</f>
        <v/>
      </c>
      <c r="AY104" s="24">
        <f>I104-AX104</f>
        <v/>
      </c>
      <c r="AZ104" s="24">
        <f>IF(H104&lt;135,H104,H104-'DPI art.191'!$I$7)</f>
        <v/>
      </c>
      <c r="BA104" s="111">
        <f>IF(O104&lt;80,"0",IF((P104-O104)&lt;=2,('DPI art.191'!$G$5-(('DPI art.191'!$F$5-'DPI art.191'!$G$5)/4)*(P104-O104-2)),('DPI art.191'!$G$5-(('DPI art.191'!$G$5-'DPI art.191'!$H$5)/8)*(P104-O104-2))))</f>
        <v/>
      </c>
      <c r="BB104" s="24">
        <f>R104-BA104</f>
        <v/>
      </c>
      <c r="BC104" s="24">
        <f>IF(N104&lt;135,N104,N104-'DPI art.191'!$I$5)</f>
        <v/>
      </c>
      <c r="BD104" s="111">
        <f>IF(O104&lt;80,"0",IF((P104-O104)&lt;=2,('DPI art.191'!$G$7-(('DPI art.191'!$F$7-'DPI art.191'!$G$7)/4)*(O104-P104-2)),('DPI art.191'!$G$7-(('DPI art.191'!$G$7-'DPI art.191'!$H$7)/8)*(P104-O104-2))))</f>
        <v/>
      </c>
      <c r="BE104" s="24">
        <f>O104-BD104</f>
        <v/>
      </c>
      <c r="BF104" s="24">
        <f>IF(N104&lt;135,N104,N104-'DPI art.191'!$I$7)</f>
        <v/>
      </c>
      <c r="BG104" s="108">
        <f>10^(0.1*R104)</f>
        <v/>
      </c>
      <c r="BH104" s="108">
        <f>10^(0.1*X104)</f>
        <v/>
      </c>
      <c r="BI104" s="108">
        <f>10^(0.1*AB104)</f>
        <v/>
      </c>
      <c r="BJ104" s="108">
        <f>10^(0.1*AF104)</f>
        <v/>
      </c>
      <c r="BK104" s="108">
        <f>10^(0.1*AJ104)</f>
        <v/>
      </c>
      <c r="BL104" s="108">
        <f>10^(0.1*AN104)</f>
        <v/>
      </c>
      <c r="BM104" s="106">
        <f>IF(R104&gt;0,(O104-R104),"")</f>
        <v/>
      </c>
      <c r="BN104" s="106">
        <f>IF(X104&gt;0,(O104-X104),"")</f>
        <v/>
      </c>
      <c r="BO104" s="106">
        <f>IF(AB104&gt;0,(O104-AB104),"")</f>
        <v/>
      </c>
      <c r="BP104" s="106">
        <f>IF(AF104&gt;0,(O104-AF104),"")</f>
        <v/>
      </c>
      <c r="BQ104" s="106">
        <f>IF(AJ104&gt;0,(O104-AJ104),"")</f>
        <v/>
      </c>
      <c r="BR104" s="106">
        <f>IF(AN104&gt;0,(O104-AN104),"")</f>
        <v/>
      </c>
      <c r="BS104" s="106">
        <f>COUNT(BM104:BR104)</f>
        <v/>
      </c>
      <c r="BT104" s="464">
        <f>IF(BS104=0,0,IF(BS104=1,0,1/(BS104*(BS104-1))))</f>
        <v/>
      </c>
      <c r="BU104" s="136">
        <f>IF(R104&gt;0,(BM104^2),"")</f>
        <v/>
      </c>
      <c r="BV104" s="136">
        <f>IF(X104&gt;0,(BN104^2),"")</f>
        <v/>
      </c>
      <c r="BW104" s="136">
        <f>IF(AB104&gt;0,(BO104^2),"")</f>
        <v/>
      </c>
      <c r="BX104" s="136">
        <f>IF(AF104&gt;0,(BP104^2),"")</f>
        <v/>
      </c>
      <c r="BY104" s="136">
        <f>IF(AJ104&gt;0,(BQ104^2),"")</f>
        <v/>
      </c>
      <c r="BZ104" s="136">
        <f>IF(AN104&gt;0,(BR104^2),"")</f>
        <v/>
      </c>
    </row>
    <row r="105" ht="18.75" customHeight="1" s="444">
      <c r="A105" s="340" t="inlineStr">
        <is>
          <t>/</t>
        </is>
      </c>
      <c r="B105" s="65">
        <f>B104+1</f>
        <v/>
      </c>
      <c r="C105" s="78" t="n"/>
      <c r="D105" s="83" t="n"/>
      <c r="E105" s="83" t="n"/>
      <c r="F105" s="329" t="n"/>
      <c r="G105" s="71" t="n">
        <v>40725</v>
      </c>
      <c r="H105" s="77" t="inlineStr">
        <is>
          <t>Compito</t>
        </is>
      </c>
      <c r="I105" s="77">
        <f>IF((V105-R105)&gt;3,"SI","")</f>
        <v/>
      </c>
      <c r="J105" s="77">
        <f>IF((U105-R105)&gt;3,"SI","")</f>
        <v/>
      </c>
      <c r="K105" s="77" t="n"/>
      <c r="L105" s="77" t="n"/>
      <c r="M105" s="137">
        <f>IF(R105&gt;0,(SQRT(BT105*(SUM(BU105:BZ105)))),"")</f>
        <v/>
      </c>
      <c r="N105" s="4">
        <f>IF(T105&gt;0,(MAX(T105,Z105,AD105,AH105,AL105,AP105))+SQRT(1.2^2+1^2),"")</f>
        <v/>
      </c>
      <c r="O105" s="3">
        <f>IF(R105="",0,10*LOG10(SUM(BG105:BL105)/(COUNT(R105,X105,AB105,AF105,AJ105,AN105))))</f>
        <v/>
      </c>
      <c r="P105" s="5">
        <f>IF(AND(Y105="",AC105="",AG105="",AK105="",AO105=""),S105,AVERAGE(S105,Y105,AC105,AG105,AK105,AO105)+STDEV(S105,Y105,AC105,AG105,AK105,AO105))</f>
        <v/>
      </c>
      <c r="Q105" s="14" t="n"/>
      <c r="R105" s="11" t="n"/>
      <c r="S105" s="12" t="n"/>
      <c r="T105" s="13" t="n"/>
      <c r="U105" s="79" t="n"/>
      <c r="V105" s="79" t="n"/>
      <c r="W105" s="10" t="n"/>
      <c r="X105" s="11" t="n"/>
      <c r="Y105" s="12" t="n"/>
      <c r="Z105" s="13" t="n"/>
      <c r="AA105" s="10" t="n"/>
      <c r="AB105" s="11" t="n"/>
      <c r="AC105" s="12" t="n"/>
      <c r="AD105" s="13" t="n"/>
      <c r="AE105" s="14" t="n"/>
      <c r="AF105" s="11" t="n"/>
      <c r="AG105" s="12" t="n"/>
      <c r="AH105" s="13" t="n"/>
      <c r="AI105" s="10" t="n"/>
      <c r="AJ105" s="11" t="n"/>
      <c r="AK105" s="12" t="n"/>
      <c r="AL105" s="13" t="n"/>
      <c r="AM105" s="10" t="n"/>
      <c r="AN105" s="11" t="n"/>
      <c r="AO105" s="12" t="n"/>
      <c r="AP105" s="13" t="n"/>
      <c r="AQ105" s="6">
        <f>IF(AND((O105)&lt;85,N105&lt;137),"NO","SI")</f>
        <v/>
      </c>
      <c r="AR105" s="7">
        <f>IF((480*(10^(7.95-(O105/10))))&lt;480,480*(10^(7.95-(O105/10))),480)</f>
        <v/>
      </c>
      <c r="AS105" s="8">
        <f>IF((480*(10^(8.45-(O105/10))))&lt;480,480*(10^(8.45-(O105/10))),480)</f>
        <v/>
      </c>
      <c r="AT105" s="9">
        <f>IF((480*(10^(8.65-(O105/10))))&lt;480,480*(10^(8.65-(O105/10))),480)</f>
        <v/>
      </c>
      <c r="AU105" s="111">
        <f>IF(O105&lt;80,"0",IF((P105-O105)&lt;=2,('DPI art.191'!$G$3-(('DPI art.191'!$F$3-'DPI art.191'!$G$3)/4)*(P105-O105-2)),('DPI art.191'!$G$3-(('DPI art.191'!$G$3-'DPI art.191'!$H$3)/8)*(P105-O105-2))))</f>
        <v/>
      </c>
      <c r="AV105" s="24">
        <f>O105-AU105</f>
        <v/>
      </c>
      <c r="AW105" s="24">
        <f>IF(N105&lt;135,N105,N105-'DPI art.191'!$I$3)</f>
        <v/>
      </c>
      <c r="AX105" s="111">
        <f>IF(I105&lt;80,"0",IF((J105-I105)&lt;=2,('DPI art.191'!$G$7-(('DPI art.191'!$F$7-'DPI art.191'!$G$7)/4)*(I105-J105-2)),('DPI art.191'!$G$7-(('DPI art.191'!$G$7-'DPI art.191'!$H$7)/8)*(J105-I105-2))))</f>
        <v/>
      </c>
      <c r="AY105" s="24">
        <f>I105-AX105</f>
        <v/>
      </c>
      <c r="AZ105" s="24">
        <f>IF(H105&lt;135,H105,H105-'DPI art.191'!$I$7)</f>
        <v/>
      </c>
      <c r="BA105" s="111">
        <f>IF(O105&lt;80,"0",IF((P105-O105)&lt;=2,('DPI art.191'!$G$5-(('DPI art.191'!$F$5-'DPI art.191'!$G$5)/4)*(P105-O105-2)),('DPI art.191'!$G$5-(('DPI art.191'!$G$5-'DPI art.191'!$H$5)/8)*(P105-O105-2))))</f>
        <v/>
      </c>
      <c r="BB105" s="24">
        <f>R105-BA105</f>
        <v/>
      </c>
      <c r="BC105" s="24">
        <f>IF(N105&lt;135,N105,N105-'DPI art.191'!$I$5)</f>
        <v/>
      </c>
      <c r="BD105" s="111">
        <f>IF(O105&lt;80,"0",IF((P105-O105)&lt;=2,('DPI art.191'!$G$7-(('DPI art.191'!$F$7-'DPI art.191'!$G$7)/4)*(O105-P105-2)),('DPI art.191'!$G$7-(('DPI art.191'!$G$7-'DPI art.191'!$H$7)/8)*(P105-O105-2))))</f>
        <v/>
      </c>
      <c r="BE105" s="24">
        <f>O105-BD105</f>
        <v/>
      </c>
      <c r="BF105" s="24">
        <f>IF(N105&lt;135,N105,N105-'DPI art.191'!$I$7)</f>
        <v/>
      </c>
      <c r="BG105" s="108">
        <f>10^(0.1*R105)</f>
        <v/>
      </c>
      <c r="BH105" s="108">
        <f>10^(0.1*X105)</f>
        <v/>
      </c>
      <c r="BI105" s="108">
        <f>10^(0.1*AB105)</f>
        <v/>
      </c>
      <c r="BJ105" s="108">
        <f>10^(0.1*AF105)</f>
        <v/>
      </c>
      <c r="BK105" s="108">
        <f>10^(0.1*AJ105)</f>
        <v/>
      </c>
      <c r="BL105" s="108">
        <f>10^(0.1*AN105)</f>
        <v/>
      </c>
      <c r="BM105" s="106">
        <f>IF(R105&gt;0,(O105-R105),"")</f>
        <v/>
      </c>
      <c r="BN105" s="106">
        <f>IF(X105&gt;0,(O105-X105),"")</f>
        <v/>
      </c>
      <c r="BO105" s="106">
        <f>IF(AB105&gt;0,(O105-AB105),"")</f>
        <v/>
      </c>
      <c r="BP105" s="106">
        <f>IF(AF105&gt;0,(O105-AF105),"")</f>
        <v/>
      </c>
      <c r="BQ105" s="106">
        <f>IF(AJ105&gt;0,(O105-AJ105),"")</f>
        <v/>
      </c>
      <c r="BR105" s="106">
        <f>IF(AN105&gt;0,(O105-AN105),"")</f>
        <v/>
      </c>
      <c r="BS105" s="106">
        <f>COUNT(BM105:BR105)</f>
        <v/>
      </c>
      <c r="BT105" s="464">
        <f>IF(BS105=0,0,IF(BS105=1,0,1/(BS105*(BS105-1))))</f>
        <v/>
      </c>
      <c r="BU105" s="136">
        <f>IF(R105&gt;0,(BM105^2),"")</f>
        <v/>
      </c>
      <c r="BV105" s="136">
        <f>IF(X105&gt;0,(BN105^2),"")</f>
        <v/>
      </c>
      <c r="BW105" s="136">
        <f>IF(AB105&gt;0,(BO105^2),"")</f>
        <v/>
      </c>
      <c r="BX105" s="136">
        <f>IF(AF105&gt;0,(BP105^2),"")</f>
        <v/>
      </c>
      <c r="BY105" s="136">
        <f>IF(AJ105&gt;0,(BQ105^2),"")</f>
        <v/>
      </c>
      <c r="BZ105" s="136">
        <f>IF(AN105&gt;0,(BR105^2),"")</f>
        <v/>
      </c>
    </row>
    <row r="106" ht="18.75" customHeight="1" s="444">
      <c r="A106" s="340" t="inlineStr">
        <is>
          <t>/</t>
        </is>
      </c>
      <c r="B106" s="65">
        <f>B105+1</f>
        <v/>
      </c>
      <c r="C106" s="78" t="n"/>
      <c r="D106" s="83" t="n"/>
      <c r="E106" s="83" t="n"/>
      <c r="F106" s="329" t="n"/>
      <c r="G106" s="71" t="n">
        <v>40725</v>
      </c>
      <c r="H106" s="77" t="inlineStr">
        <is>
          <t>Compito</t>
        </is>
      </c>
      <c r="I106" s="77">
        <f>IF((V106-R106)&gt;3,"SI","")</f>
        <v/>
      </c>
      <c r="J106" s="77">
        <f>IF((U106-R106)&gt;3,"SI","")</f>
        <v/>
      </c>
      <c r="K106" s="77" t="n"/>
      <c r="L106" s="77" t="n"/>
      <c r="M106" s="137">
        <f>IF(R106&gt;0,(SQRT(BT106*(SUM(BU106:BZ106)))),"")</f>
        <v/>
      </c>
      <c r="N106" s="4">
        <f>IF(T106&gt;0,(MAX(T106,Z106,AD106,AH106,AL106,AP106))+SQRT(1.2^2+1^2),"")</f>
        <v/>
      </c>
      <c r="O106" s="3">
        <f>IF(R106="",0,10*LOG10(SUM(BG106:BL106)/(COUNT(R106,X106,AB106,AF106,AJ106,AN106))))</f>
        <v/>
      </c>
      <c r="P106" s="5">
        <f>IF(AND(Y106="",AC106="",AG106="",AK106="",AO106=""),S106,AVERAGE(S106,Y106,AC106,AG106,AK106,AO106)+STDEV(S106,Y106,AC106,AG106,AK106,AO106))</f>
        <v/>
      </c>
      <c r="Q106" s="14" t="n"/>
      <c r="R106" s="11" t="n"/>
      <c r="S106" s="12" t="n"/>
      <c r="T106" s="13" t="n"/>
      <c r="U106" s="79" t="n"/>
      <c r="V106" s="79" t="n"/>
      <c r="W106" s="10" t="n"/>
      <c r="X106" s="11" t="n"/>
      <c r="Y106" s="12" t="n"/>
      <c r="Z106" s="13" t="n"/>
      <c r="AA106" s="10" t="n"/>
      <c r="AB106" s="11" t="n"/>
      <c r="AC106" s="12" t="n"/>
      <c r="AD106" s="13" t="n"/>
      <c r="AE106" s="14" t="n"/>
      <c r="AF106" s="11" t="n"/>
      <c r="AG106" s="12" t="n"/>
      <c r="AH106" s="13" t="n"/>
      <c r="AI106" s="10" t="n"/>
      <c r="AJ106" s="11" t="n"/>
      <c r="AK106" s="12" t="n"/>
      <c r="AL106" s="13" t="n"/>
      <c r="AM106" s="10" t="n"/>
      <c r="AN106" s="11" t="n"/>
      <c r="AO106" s="12" t="n"/>
      <c r="AP106" s="13" t="n"/>
      <c r="AQ106" s="6">
        <f>IF(AND((O106)&lt;85,N106&lt;137),"NO","SI")</f>
        <v/>
      </c>
      <c r="AR106" s="7">
        <f>IF((480*(10^(7.95-(O106/10))))&lt;480,480*(10^(7.95-(O106/10))),480)</f>
        <v/>
      </c>
      <c r="AS106" s="8">
        <f>IF((480*(10^(8.45-(O106/10))))&lt;480,480*(10^(8.45-(O106/10))),480)</f>
        <v/>
      </c>
      <c r="AT106" s="9">
        <f>IF((480*(10^(8.65-(O106/10))))&lt;480,480*(10^(8.65-(O106/10))),480)</f>
        <v/>
      </c>
      <c r="AU106" s="111">
        <f>IF(O106&lt;80,"0",IF((P106-O106)&lt;=2,('DPI art.191'!$G$3-(('DPI art.191'!$F$3-'DPI art.191'!$G$3)/4)*(P106-O106-2)),('DPI art.191'!$G$3-(('DPI art.191'!$G$3-'DPI art.191'!$H$3)/8)*(P106-O106-2))))</f>
        <v/>
      </c>
      <c r="AV106" s="24">
        <f>O106-AU106</f>
        <v/>
      </c>
      <c r="AW106" s="24">
        <f>IF(N106&lt;135,N106,N106-'DPI art.191'!$I$3)</f>
        <v/>
      </c>
      <c r="AX106" s="111">
        <f>IF(I106&lt;80,"0",IF((J106-I106)&lt;=2,('DPI art.191'!$G$7-(('DPI art.191'!$F$7-'DPI art.191'!$G$7)/4)*(I106-J106-2)),('DPI art.191'!$G$7-(('DPI art.191'!$G$7-'DPI art.191'!$H$7)/8)*(J106-I106-2))))</f>
        <v/>
      </c>
      <c r="AY106" s="24">
        <f>I106-AX106</f>
        <v/>
      </c>
      <c r="AZ106" s="24">
        <f>IF(H106&lt;135,H106,H106-'DPI art.191'!$I$7)</f>
        <v/>
      </c>
      <c r="BA106" s="111">
        <f>IF(O106&lt;80,"0",IF((P106-O106)&lt;=2,('DPI art.191'!$G$5-(('DPI art.191'!$F$5-'DPI art.191'!$G$5)/4)*(P106-O106-2)),('DPI art.191'!$G$5-(('DPI art.191'!$G$5-'DPI art.191'!$H$5)/8)*(P106-O106-2))))</f>
        <v/>
      </c>
      <c r="BB106" s="24">
        <f>R106-BA106</f>
        <v/>
      </c>
      <c r="BC106" s="24">
        <f>IF(N106&lt;135,N106,N106-'DPI art.191'!$I$5)</f>
        <v/>
      </c>
      <c r="BD106" s="111">
        <f>IF(O106&lt;80,"0",IF((P106-O106)&lt;=2,('DPI art.191'!$G$7-(('DPI art.191'!$F$7-'DPI art.191'!$G$7)/4)*(O106-P106-2)),('DPI art.191'!$G$7-(('DPI art.191'!$G$7-'DPI art.191'!$H$7)/8)*(P106-O106-2))))</f>
        <v/>
      </c>
      <c r="BE106" s="24">
        <f>O106-BD106</f>
        <v/>
      </c>
      <c r="BF106" s="24">
        <f>IF(N106&lt;135,N106,N106-'DPI art.191'!$I$7)</f>
        <v/>
      </c>
      <c r="BG106" s="108">
        <f>10^(0.1*R106)</f>
        <v/>
      </c>
      <c r="BH106" s="108">
        <f>10^(0.1*X106)</f>
        <v/>
      </c>
      <c r="BI106" s="108">
        <f>10^(0.1*AB106)</f>
        <v/>
      </c>
      <c r="BJ106" s="108">
        <f>10^(0.1*AF106)</f>
        <v/>
      </c>
      <c r="BK106" s="108">
        <f>10^(0.1*AJ106)</f>
        <v/>
      </c>
      <c r="BL106" s="108">
        <f>10^(0.1*AN106)</f>
        <v/>
      </c>
      <c r="BM106" s="106">
        <f>IF(R106&gt;0,(O106-R106),"")</f>
        <v/>
      </c>
      <c r="BN106" s="106">
        <f>IF(X106&gt;0,(O106-X106),"")</f>
        <v/>
      </c>
      <c r="BO106" s="106">
        <f>IF(AB106&gt;0,(O106-AB106),"")</f>
        <v/>
      </c>
      <c r="BP106" s="106">
        <f>IF(AF106&gt;0,(O106-AF106),"")</f>
        <v/>
      </c>
      <c r="BQ106" s="106">
        <f>IF(AJ106&gt;0,(O106-AJ106),"")</f>
        <v/>
      </c>
      <c r="BR106" s="106">
        <f>IF(AN106&gt;0,(O106-AN106),"")</f>
        <v/>
      </c>
      <c r="BS106" s="106">
        <f>COUNT(BM106:BR106)</f>
        <v/>
      </c>
      <c r="BT106" s="464">
        <f>IF(BS106=0,0,IF(BS106=1,0,1/(BS106*(BS106-1))))</f>
        <v/>
      </c>
      <c r="BU106" s="136">
        <f>IF(R106&gt;0,(BM106^2),"")</f>
        <v/>
      </c>
      <c r="BV106" s="136">
        <f>IF(X106&gt;0,(BN106^2),"")</f>
        <v/>
      </c>
      <c r="BW106" s="136">
        <f>IF(AB106&gt;0,(BO106^2),"")</f>
        <v/>
      </c>
      <c r="BX106" s="136">
        <f>IF(AF106&gt;0,(BP106^2),"")</f>
        <v/>
      </c>
      <c r="BY106" s="136">
        <f>IF(AJ106&gt;0,(BQ106^2),"")</f>
        <v/>
      </c>
      <c r="BZ106" s="136">
        <f>IF(AN106&gt;0,(BR106^2),"")</f>
        <v/>
      </c>
    </row>
    <row r="107" ht="18.75" customHeight="1" s="444">
      <c r="A107" s="340" t="inlineStr">
        <is>
          <t>/</t>
        </is>
      </c>
      <c r="B107" s="65">
        <f>B106+1</f>
        <v/>
      </c>
      <c r="C107" s="78" t="n"/>
      <c r="D107" s="83" t="n"/>
      <c r="E107" s="83" t="n"/>
      <c r="F107" s="329" t="n"/>
      <c r="G107" s="71" t="n">
        <v>40725</v>
      </c>
      <c r="H107" s="77" t="inlineStr">
        <is>
          <t>Compito</t>
        </is>
      </c>
      <c r="I107" s="77">
        <f>IF((V107-R107)&gt;3,"SI","")</f>
        <v/>
      </c>
      <c r="J107" s="77">
        <f>IF((U107-R107)&gt;3,"SI","")</f>
        <v/>
      </c>
      <c r="K107" s="77" t="n"/>
      <c r="L107" s="77" t="n"/>
      <c r="M107" s="137">
        <f>IF(R107&gt;0,(SQRT(BT107*(SUM(BU107:BZ107)))),"")</f>
        <v/>
      </c>
      <c r="N107" s="4">
        <f>IF(T107&gt;0,(MAX(T107,Z107,AD107,AH107,AL107,AP107))+SQRT(1.2^2+1^2),"")</f>
        <v/>
      </c>
      <c r="O107" s="3">
        <f>IF(R107="",0,10*LOG10(SUM(BG107:BL107)/(COUNT(R107,X107,AB107,AF107,AJ107,AN107))))</f>
        <v/>
      </c>
      <c r="P107" s="5">
        <f>IF(AND(Y107="",AC107="",AG107="",AK107="",AO107=""),S107,AVERAGE(S107,Y107,AC107,AG107,AK107,AO107)+STDEV(S107,Y107,AC107,AG107,AK107,AO107))</f>
        <v/>
      </c>
      <c r="Q107" s="14" t="n"/>
      <c r="R107" s="11" t="n"/>
      <c r="S107" s="12" t="n"/>
      <c r="T107" s="13" t="n"/>
      <c r="U107" s="79" t="n"/>
      <c r="V107" s="79" t="n"/>
      <c r="W107" s="10" t="n"/>
      <c r="X107" s="11" t="n"/>
      <c r="Y107" s="12" t="n"/>
      <c r="Z107" s="13" t="n"/>
      <c r="AA107" s="10" t="n"/>
      <c r="AB107" s="11" t="n"/>
      <c r="AC107" s="12" t="n"/>
      <c r="AD107" s="13" t="n"/>
      <c r="AE107" s="14" t="n"/>
      <c r="AF107" s="11" t="n"/>
      <c r="AG107" s="12" t="n"/>
      <c r="AH107" s="13" t="n"/>
      <c r="AI107" s="10" t="n"/>
      <c r="AJ107" s="11" t="n"/>
      <c r="AK107" s="12" t="n"/>
      <c r="AL107" s="13" t="n"/>
      <c r="AM107" s="10" t="n"/>
      <c r="AN107" s="11" t="n"/>
      <c r="AO107" s="12" t="n"/>
      <c r="AP107" s="13" t="n"/>
      <c r="AQ107" s="6">
        <f>IF(AND((O107)&lt;85,N107&lt;137),"NO","SI")</f>
        <v/>
      </c>
      <c r="AR107" s="7">
        <f>IF((480*(10^(7.95-(O107/10))))&lt;480,480*(10^(7.95-(O107/10))),480)</f>
        <v/>
      </c>
      <c r="AS107" s="8">
        <f>IF((480*(10^(8.45-(O107/10))))&lt;480,480*(10^(8.45-(O107/10))),480)</f>
        <v/>
      </c>
      <c r="AT107" s="9">
        <f>IF((480*(10^(8.65-(O107/10))))&lt;480,480*(10^(8.65-(O107/10))),480)</f>
        <v/>
      </c>
      <c r="AU107" s="111">
        <f>IF(O107&lt;80,"0",IF((P107-O107)&lt;=2,('DPI art.191'!$G$3-(('DPI art.191'!$F$3-'DPI art.191'!$G$3)/4)*(P107-O107-2)),('DPI art.191'!$G$3-(('DPI art.191'!$G$3-'DPI art.191'!$H$3)/8)*(P107-O107-2))))</f>
        <v/>
      </c>
      <c r="AV107" s="24">
        <f>O107-AU107</f>
        <v/>
      </c>
      <c r="AW107" s="24">
        <f>IF(N107&lt;135,N107,N107-'DPI art.191'!$I$3)</f>
        <v/>
      </c>
      <c r="AX107" s="111">
        <f>IF(I107&lt;80,"0",IF((J107-I107)&lt;=2,('DPI art.191'!$G$7-(('DPI art.191'!$F$7-'DPI art.191'!$G$7)/4)*(I107-J107-2)),('DPI art.191'!$G$7-(('DPI art.191'!$G$7-'DPI art.191'!$H$7)/8)*(J107-I107-2))))</f>
        <v/>
      </c>
      <c r="AY107" s="24">
        <f>I107-AX107</f>
        <v/>
      </c>
      <c r="AZ107" s="24">
        <f>IF(H107&lt;135,H107,H107-'DPI art.191'!$I$7)</f>
        <v/>
      </c>
      <c r="BA107" s="111">
        <f>IF(O107&lt;80,"0",IF((P107-O107)&lt;=2,('DPI art.191'!$G$5-(('DPI art.191'!$F$5-'DPI art.191'!$G$5)/4)*(P107-O107-2)),('DPI art.191'!$G$5-(('DPI art.191'!$G$5-'DPI art.191'!$H$5)/8)*(P107-O107-2))))</f>
        <v/>
      </c>
      <c r="BB107" s="24">
        <f>R107-BA107</f>
        <v/>
      </c>
      <c r="BC107" s="24">
        <f>IF(N107&lt;135,N107,N107-'DPI art.191'!$I$5)</f>
        <v/>
      </c>
      <c r="BD107" s="111">
        <f>IF(O107&lt;80,"0",IF((P107-O107)&lt;=2,('DPI art.191'!$G$7-(('DPI art.191'!$F$7-'DPI art.191'!$G$7)/4)*(O107-P107-2)),('DPI art.191'!$G$7-(('DPI art.191'!$G$7-'DPI art.191'!$H$7)/8)*(P107-O107-2))))</f>
        <v/>
      </c>
      <c r="BE107" s="24">
        <f>O107-BD107</f>
        <v/>
      </c>
      <c r="BF107" s="24">
        <f>IF(N107&lt;135,N107,N107-'DPI art.191'!$I$7)</f>
        <v/>
      </c>
      <c r="BG107" s="108">
        <f>10^(0.1*R107)</f>
        <v/>
      </c>
      <c r="BH107" s="108">
        <f>10^(0.1*X107)</f>
        <v/>
      </c>
      <c r="BI107" s="108">
        <f>10^(0.1*AB107)</f>
        <v/>
      </c>
      <c r="BJ107" s="108">
        <f>10^(0.1*AF107)</f>
        <v/>
      </c>
      <c r="BK107" s="108">
        <f>10^(0.1*AJ107)</f>
        <v/>
      </c>
      <c r="BL107" s="108">
        <f>10^(0.1*AN107)</f>
        <v/>
      </c>
      <c r="BM107" s="106">
        <f>IF(R107&gt;0,(O107-R107),"")</f>
        <v/>
      </c>
      <c r="BN107" s="106">
        <f>IF(X107&gt;0,(O107-X107),"")</f>
        <v/>
      </c>
      <c r="BO107" s="106">
        <f>IF(AB107&gt;0,(O107-AB107),"")</f>
        <v/>
      </c>
      <c r="BP107" s="106">
        <f>IF(AF107&gt;0,(O107-AF107),"")</f>
        <v/>
      </c>
      <c r="BQ107" s="106">
        <f>IF(AJ107&gt;0,(O107-AJ107),"")</f>
        <v/>
      </c>
      <c r="BR107" s="106">
        <f>IF(AN107&gt;0,(O107-AN107),"")</f>
        <v/>
      </c>
      <c r="BS107" s="106">
        <f>COUNT(BM107:BR107)</f>
        <v/>
      </c>
      <c r="BT107" s="464">
        <f>IF(BS107=0,0,IF(BS107=1,0,1/(BS107*(BS107-1))))</f>
        <v/>
      </c>
      <c r="BU107" s="136">
        <f>IF(R107&gt;0,(BM107^2),"")</f>
        <v/>
      </c>
      <c r="BV107" s="136">
        <f>IF(X107&gt;0,(BN107^2),"")</f>
        <v/>
      </c>
      <c r="BW107" s="136">
        <f>IF(AB107&gt;0,(BO107^2),"")</f>
        <v/>
      </c>
      <c r="BX107" s="136">
        <f>IF(AF107&gt;0,(BP107^2),"")</f>
        <v/>
      </c>
      <c r="BY107" s="136">
        <f>IF(AJ107&gt;0,(BQ107^2),"")</f>
        <v/>
      </c>
      <c r="BZ107" s="136">
        <f>IF(AN107&gt;0,(BR107^2),"")</f>
        <v/>
      </c>
    </row>
    <row r="108" ht="18.75" customHeight="1" s="444">
      <c r="A108" s="340" t="inlineStr">
        <is>
          <t>/</t>
        </is>
      </c>
      <c r="B108" s="65">
        <f>B107+1</f>
        <v/>
      </c>
      <c r="C108" s="78" t="n"/>
      <c r="D108" s="83" t="n"/>
      <c r="E108" s="83" t="n"/>
      <c r="F108" s="329" t="n"/>
      <c r="G108" s="71" t="n">
        <v>40725</v>
      </c>
      <c r="H108" s="77" t="inlineStr">
        <is>
          <t>Compito</t>
        </is>
      </c>
      <c r="I108" s="77">
        <f>IF((V108-R108)&gt;3,"SI","")</f>
        <v/>
      </c>
      <c r="J108" s="77">
        <f>IF((U108-R108)&gt;3,"SI","")</f>
        <v/>
      </c>
      <c r="K108" s="77" t="n"/>
      <c r="L108" s="77" t="n"/>
      <c r="M108" s="137">
        <f>IF(R108&gt;0,(SQRT(BT108*(SUM(BU108:BZ108)))),"")</f>
        <v/>
      </c>
      <c r="N108" s="4">
        <f>IF(T108&gt;0,(MAX(T108,Z108,AD108,AH108,AL108,AP108))+SQRT(1.2^2+1^2),"")</f>
        <v/>
      </c>
      <c r="O108" s="3">
        <f>IF(R108="",0,10*LOG10(SUM(BG108:BL108)/(COUNT(R108,X108,AB108,AF108,AJ108,AN108))))</f>
        <v/>
      </c>
      <c r="P108" s="5">
        <f>IF(AND(Y108="",AC108="",AG108="",AK108="",AO108=""),S108,AVERAGE(S108,Y108,AC108,AG108,AK108,AO108)+STDEV(S108,Y108,AC108,AG108,AK108,AO108))</f>
        <v/>
      </c>
      <c r="Q108" s="14" t="n"/>
      <c r="R108" s="11" t="n"/>
      <c r="S108" s="12" t="n"/>
      <c r="T108" s="13" t="n"/>
      <c r="U108" s="79" t="n"/>
      <c r="V108" s="79" t="n"/>
      <c r="W108" s="10" t="n"/>
      <c r="X108" s="11" t="n"/>
      <c r="Y108" s="12" t="n"/>
      <c r="Z108" s="13" t="n"/>
      <c r="AA108" s="10" t="n"/>
      <c r="AB108" s="11" t="n"/>
      <c r="AC108" s="12" t="n"/>
      <c r="AD108" s="13" t="n"/>
      <c r="AE108" s="14" t="n"/>
      <c r="AF108" s="11" t="n"/>
      <c r="AG108" s="12" t="n"/>
      <c r="AH108" s="13" t="n"/>
      <c r="AI108" s="10" t="n"/>
      <c r="AJ108" s="11" t="n"/>
      <c r="AK108" s="12" t="n"/>
      <c r="AL108" s="13" t="n"/>
      <c r="AM108" s="10" t="n"/>
      <c r="AN108" s="11" t="n"/>
      <c r="AO108" s="12" t="n"/>
      <c r="AP108" s="13" t="n"/>
      <c r="AQ108" s="6">
        <f>IF(AND((O108)&lt;85,N108&lt;137),"NO","SI")</f>
        <v/>
      </c>
      <c r="AR108" s="7">
        <f>IF((480*(10^(7.95-(O108/10))))&lt;480,480*(10^(7.95-(O108/10))),480)</f>
        <v/>
      </c>
      <c r="AS108" s="8">
        <f>IF((480*(10^(8.45-(O108/10))))&lt;480,480*(10^(8.45-(O108/10))),480)</f>
        <v/>
      </c>
      <c r="AT108" s="9">
        <f>IF((480*(10^(8.65-(O108/10))))&lt;480,480*(10^(8.65-(O108/10))),480)</f>
        <v/>
      </c>
      <c r="AU108" s="111">
        <f>IF(O108&lt;80,"0",IF((P108-O108)&lt;=2,('DPI art.191'!$G$3-(('DPI art.191'!$F$3-'DPI art.191'!$G$3)/4)*(P108-O108-2)),('DPI art.191'!$G$3-(('DPI art.191'!$G$3-'DPI art.191'!$H$3)/8)*(P108-O108-2))))</f>
        <v/>
      </c>
      <c r="AV108" s="24">
        <f>O108-AU108</f>
        <v/>
      </c>
      <c r="AW108" s="24">
        <f>IF(N108&lt;135,N108,N108-'DPI art.191'!$I$3)</f>
        <v/>
      </c>
      <c r="AX108" s="111">
        <f>IF(I108&lt;80,"0",IF((J108-I108)&lt;=2,('DPI art.191'!$G$7-(('DPI art.191'!$F$7-'DPI art.191'!$G$7)/4)*(I108-J108-2)),('DPI art.191'!$G$7-(('DPI art.191'!$G$7-'DPI art.191'!$H$7)/8)*(J108-I108-2))))</f>
        <v/>
      </c>
      <c r="AY108" s="24">
        <f>I108-AX108</f>
        <v/>
      </c>
      <c r="AZ108" s="24">
        <f>IF(H108&lt;135,H108,H108-'DPI art.191'!$I$7)</f>
        <v/>
      </c>
      <c r="BA108" s="111">
        <f>IF(O108&lt;80,"0",IF((P108-O108)&lt;=2,('DPI art.191'!$G$5-(('DPI art.191'!$F$5-'DPI art.191'!$G$5)/4)*(P108-O108-2)),('DPI art.191'!$G$5-(('DPI art.191'!$G$5-'DPI art.191'!$H$5)/8)*(P108-O108-2))))</f>
        <v/>
      </c>
      <c r="BB108" s="24">
        <f>R108-BA108</f>
        <v/>
      </c>
      <c r="BC108" s="24">
        <f>IF(N108&lt;135,N108,N108-'DPI art.191'!$I$5)</f>
        <v/>
      </c>
      <c r="BD108" s="111">
        <f>IF(O108&lt;80,"0",IF((P108-O108)&lt;=2,('DPI art.191'!$G$7-(('DPI art.191'!$F$7-'DPI art.191'!$G$7)/4)*(O108-P108-2)),('DPI art.191'!$G$7-(('DPI art.191'!$G$7-'DPI art.191'!$H$7)/8)*(P108-O108-2))))</f>
        <v/>
      </c>
      <c r="BE108" s="24">
        <f>O108-BD108</f>
        <v/>
      </c>
      <c r="BF108" s="24">
        <f>IF(N108&lt;135,N108,N108-'DPI art.191'!$I$7)</f>
        <v/>
      </c>
      <c r="BG108" s="108">
        <f>10^(0.1*R108)</f>
        <v/>
      </c>
      <c r="BH108" s="108">
        <f>10^(0.1*X108)</f>
        <v/>
      </c>
      <c r="BI108" s="108">
        <f>10^(0.1*AB108)</f>
        <v/>
      </c>
      <c r="BJ108" s="108">
        <f>10^(0.1*AF108)</f>
        <v/>
      </c>
      <c r="BK108" s="108">
        <f>10^(0.1*AJ108)</f>
        <v/>
      </c>
      <c r="BL108" s="108">
        <f>10^(0.1*AN108)</f>
        <v/>
      </c>
      <c r="BM108" s="106">
        <f>IF(R108&gt;0,(O108-R108),"")</f>
        <v/>
      </c>
      <c r="BN108" s="106">
        <f>IF(X108&gt;0,(O108-X108),"")</f>
        <v/>
      </c>
      <c r="BO108" s="106">
        <f>IF(AB108&gt;0,(O108-AB108),"")</f>
        <v/>
      </c>
      <c r="BP108" s="106">
        <f>IF(AF108&gt;0,(O108-AF108),"")</f>
        <v/>
      </c>
      <c r="BQ108" s="106">
        <f>IF(AJ108&gt;0,(O108-AJ108),"")</f>
        <v/>
      </c>
      <c r="BR108" s="106">
        <f>IF(AN108&gt;0,(O108-AN108),"")</f>
        <v/>
      </c>
      <c r="BS108" s="106">
        <f>COUNT(BM108:BR108)</f>
        <v/>
      </c>
      <c r="BT108" s="464">
        <f>IF(BS108=0,0,IF(BS108=1,0,1/(BS108*(BS108-1))))</f>
        <v/>
      </c>
      <c r="BU108" s="136">
        <f>IF(R108&gt;0,(BM108^2),"")</f>
        <v/>
      </c>
      <c r="BV108" s="136">
        <f>IF(X108&gt;0,(BN108^2),"")</f>
        <v/>
      </c>
      <c r="BW108" s="136">
        <f>IF(AB108&gt;0,(BO108^2),"")</f>
        <v/>
      </c>
      <c r="BX108" s="136">
        <f>IF(AF108&gt;0,(BP108^2),"")</f>
        <v/>
      </c>
      <c r="BY108" s="136">
        <f>IF(AJ108&gt;0,(BQ108^2),"")</f>
        <v/>
      </c>
      <c r="BZ108" s="136">
        <f>IF(AN108&gt;0,(BR108^2),"")</f>
        <v/>
      </c>
    </row>
    <row r="109" ht="18.75" customHeight="1" s="444">
      <c r="A109" s="340" t="inlineStr">
        <is>
          <t>/</t>
        </is>
      </c>
      <c r="B109" s="65">
        <f>B108+1</f>
        <v/>
      </c>
      <c r="C109" s="78" t="n"/>
      <c r="D109" s="83" t="n"/>
      <c r="E109" s="83" t="n"/>
      <c r="F109" s="329" t="n"/>
      <c r="G109" s="71" t="n">
        <v>40725</v>
      </c>
      <c r="H109" s="77" t="inlineStr">
        <is>
          <t>Compito</t>
        </is>
      </c>
      <c r="I109" s="77">
        <f>IF((V109-R109)&gt;3,"SI","")</f>
        <v/>
      </c>
      <c r="J109" s="77">
        <f>IF((U109-R109)&gt;3,"SI","")</f>
        <v/>
      </c>
      <c r="K109" s="77" t="n"/>
      <c r="L109" s="77" t="n"/>
      <c r="M109" s="137">
        <f>IF(R109&gt;0,(SQRT(BT109*(SUM(BU109:BZ109)))),"")</f>
        <v/>
      </c>
      <c r="N109" s="4">
        <f>IF(T109&gt;0,(MAX(T109,Z109,AD109,AH109,AL109,AP109))+SQRT(1.2^2+1^2),"")</f>
        <v/>
      </c>
      <c r="O109" s="3">
        <f>IF(R109="",0,10*LOG10(SUM(BG109:BL109)/(COUNT(R109,X109,AB109,AF109,AJ109,AN109))))</f>
        <v/>
      </c>
      <c r="P109" s="5">
        <f>IF(AND(Y109="",AC109="",AG109="",AK109="",AO109=""),S109,AVERAGE(S109,Y109,AC109,AG109,AK109,AO109)+STDEV(S109,Y109,AC109,AG109,AK109,AO109))</f>
        <v/>
      </c>
      <c r="Q109" s="14" t="n"/>
      <c r="R109" s="11" t="n"/>
      <c r="S109" s="12" t="n"/>
      <c r="T109" s="13" t="n"/>
      <c r="U109" s="79" t="n"/>
      <c r="V109" s="79" t="n"/>
      <c r="W109" s="10" t="n"/>
      <c r="X109" s="11" t="n"/>
      <c r="Y109" s="12" t="n"/>
      <c r="Z109" s="13" t="n"/>
      <c r="AA109" s="10" t="n"/>
      <c r="AB109" s="11" t="n"/>
      <c r="AC109" s="12" t="n"/>
      <c r="AD109" s="13" t="n"/>
      <c r="AE109" s="14" t="n"/>
      <c r="AF109" s="11" t="n"/>
      <c r="AG109" s="12" t="n"/>
      <c r="AH109" s="13" t="n"/>
      <c r="AI109" s="10" t="n"/>
      <c r="AJ109" s="11" t="n"/>
      <c r="AK109" s="12" t="n"/>
      <c r="AL109" s="13" t="n"/>
      <c r="AM109" s="10" t="n"/>
      <c r="AN109" s="11" t="n"/>
      <c r="AO109" s="12" t="n"/>
      <c r="AP109" s="13" t="n"/>
      <c r="AQ109" s="6">
        <f>IF(AND((O109)&lt;85,N109&lt;137),"NO","SI")</f>
        <v/>
      </c>
      <c r="AR109" s="7">
        <f>IF((480*(10^(7.95-(O109/10))))&lt;480,480*(10^(7.95-(O109/10))),480)</f>
        <v/>
      </c>
      <c r="AS109" s="8">
        <f>IF((480*(10^(8.45-(O109/10))))&lt;480,480*(10^(8.45-(O109/10))),480)</f>
        <v/>
      </c>
      <c r="AT109" s="9">
        <f>IF((480*(10^(8.65-(O109/10))))&lt;480,480*(10^(8.65-(O109/10))),480)</f>
        <v/>
      </c>
      <c r="AU109" s="111">
        <f>IF(O109&lt;80,"0",IF((P109-O109)&lt;=2,('DPI art.191'!$G$3-(('DPI art.191'!$F$3-'DPI art.191'!$G$3)/4)*(P109-O109-2)),('DPI art.191'!$G$3-(('DPI art.191'!$G$3-'DPI art.191'!$H$3)/8)*(P109-O109-2))))</f>
        <v/>
      </c>
      <c r="AV109" s="24">
        <f>O109-AU109</f>
        <v/>
      </c>
      <c r="AW109" s="24">
        <f>IF(N109&lt;135,N109,N109-'DPI art.191'!$I$3)</f>
        <v/>
      </c>
      <c r="AX109" s="111">
        <f>IF(I109&lt;80,"0",IF((J109-I109)&lt;=2,('DPI art.191'!$G$7-(('DPI art.191'!$F$7-'DPI art.191'!$G$7)/4)*(I109-J109-2)),('DPI art.191'!$G$7-(('DPI art.191'!$G$7-'DPI art.191'!$H$7)/8)*(J109-I109-2))))</f>
        <v/>
      </c>
      <c r="AY109" s="24">
        <f>I109-AX109</f>
        <v/>
      </c>
      <c r="AZ109" s="24">
        <f>IF(H109&lt;135,H109,H109-'DPI art.191'!$I$7)</f>
        <v/>
      </c>
      <c r="BA109" s="111">
        <f>IF(O109&lt;80,"0",IF((P109-O109)&lt;=2,('DPI art.191'!$G$5-(('DPI art.191'!$F$5-'DPI art.191'!$G$5)/4)*(P109-O109-2)),('DPI art.191'!$G$5-(('DPI art.191'!$G$5-'DPI art.191'!$H$5)/8)*(P109-O109-2))))</f>
        <v/>
      </c>
      <c r="BB109" s="24">
        <f>R109-BA109</f>
        <v/>
      </c>
      <c r="BC109" s="24">
        <f>IF(N109&lt;135,N109,N109-'DPI art.191'!$I$5)</f>
        <v/>
      </c>
      <c r="BD109" s="111">
        <f>IF(O109&lt;80,"0",IF((P109-O109)&lt;=2,('DPI art.191'!$G$7-(('DPI art.191'!$F$7-'DPI art.191'!$G$7)/4)*(O109-P109-2)),('DPI art.191'!$G$7-(('DPI art.191'!$G$7-'DPI art.191'!$H$7)/8)*(P109-O109-2))))</f>
        <v/>
      </c>
      <c r="BE109" s="24">
        <f>O109-BD109</f>
        <v/>
      </c>
      <c r="BF109" s="24">
        <f>IF(N109&lt;135,N109,N109-'DPI art.191'!$I$7)</f>
        <v/>
      </c>
      <c r="BG109" s="108">
        <f>10^(0.1*R109)</f>
        <v/>
      </c>
      <c r="BH109" s="108">
        <f>10^(0.1*X109)</f>
        <v/>
      </c>
      <c r="BI109" s="108">
        <f>10^(0.1*AB109)</f>
        <v/>
      </c>
      <c r="BJ109" s="108">
        <f>10^(0.1*AF109)</f>
        <v/>
      </c>
      <c r="BK109" s="108">
        <f>10^(0.1*AJ109)</f>
        <v/>
      </c>
      <c r="BL109" s="108">
        <f>10^(0.1*AN109)</f>
        <v/>
      </c>
      <c r="BM109" s="106">
        <f>IF(R109&gt;0,(O109-R109),"")</f>
        <v/>
      </c>
      <c r="BN109" s="106">
        <f>IF(X109&gt;0,(O109-X109),"")</f>
        <v/>
      </c>
      <c r="BO109" s="106">
        <f>IF(AB109&gt;0,(O109-AB109),"")</f>
        <v/>
      </c>
      <c r="BP109" s="106">
        <f>IF(AF109&gt;0,(O109-AF109),"")</f>
        <v/>
      </c>
      <c r="BQ109" s="106">
        <f>IF(AJ109&gt;0,(O109-AJ109),"")</f>
        <v/>
      </c>
      <c r="BR109" s="106">
        <f>IF(AN109&gt;0,(O109-AN109),"")</f>
        <v/>
      </c>
      <c r="BS109" s="106">
        <f>COUNT(BM109:BR109)</f>
        <v/>
      </c>
      <c r="BT109" s="464">
        <f>IF(BS109=0,0,IF(BS109=1,0,1/(BS109*(BS109-1))))</f>
        <v/>
      </c>
      <c r="BU109" s="136">
        <f>IF(R109&gt;0,(BM109^2),"")</f>
        <v/>
      </c>
      <c r="BV109" s="136">
        <f>IF(X109&gt;0,(BN109^2),"")</f>
        <v/>
      </c>
      <c r="BW109" s="136">
        <f>IF(AB109&gt;0,(BO109^2),"")</f>
        <v/>
      </c>
      <c r="BX109" s="136">
        <f>IF(AF109&gt;0,(BP109^2),"")</f>
        <v/>
      </c>
      <c r="BY109" s="136">
        <f>IF(AJ109&gt;0,(BQ109^2),"")</f>
        <v/>
      </c>
      <c r="BZ109" s="136">
        <f>IF(AN109&gt;0,(BR109^2),"")</f>
        <v/>
      </c>
    </row>
    <row r="110" ht="18.75" customHeight="1" s="444">
      <c r="A110" s="340" t="inlineStr">
        <is>
          <t>/</t>
        </is>
      </c>
      <c r="B110" s="65">
        <f>B109+1</f>
        <v/>
      </c>
      <c r="C110" s="78" t="n"/>
      <c r="D110" s="83" t="n"/>
      <c r="E110" s="83" t="n"/>
      <c r="F110" s="329" t="n"/>
      <c r="G110" s="71" t="n">
        <v>40725</v>
      </c>
      <c r="H110" s="77" t="inlineStr">
        <is>
          <t>Compito</t>
        </is>
      </c>
      <c r="I110" s="77">
        <f>IF((V110-R110)&gt;3,"SI","")</f>
        <v/>
      </c>
      <c r="J110" s="77">
        <f>IF((U110-R110)&gt;3,"SI","")</f>
        <v/>
      </c>
      <c r="K110" s="77" t="n"/>
      <c r="L110" s="77" t="n"/>
      <c r="M110" s="137">
        <f>IF(R110&gt;0,(SQRT(BT110*(SUM(BU110:BZ110)))),"")</f>
        <v/>
      </c>
      <c r="N110" s="4">
        <f>IF(T110&gt;0,(MAX(T110,Z110,AD110,AH110,AL110,AP110))+SQRT(1.2^2+1^2),"")</f>
        <v/>
      </c>
      <c r="O110" s="3">
        <f>IF(R110="",0,10*LOG10(SUM(BG110:BL110)/(COUNT(R110,X110,AB110,AF110,AJ110,AN110))))</f>
        <v/>
      </c>
      <c r="P110" s="5">
        <f>IF(AND(Y110="",AC110="",AG110="",AK110="",AO110=""),S110,AVERAGE(S110,Y110,AC110,AG110,AK110,AO110)+STDEV(S110,Y110,AC110,AG110,AK110,AO110))</f>
        <v/>
      </c>
      <c r="Q110" s="14" t="n"/>
      <c r="R110" s="11" t="n"/>
      <c r="S110" s="12" t="n"/>
      <c r="T110" s="13" t="n"/>
      <c r="U110" s="79" t="n"/>
      <c r="V110" s="79" t="n"/>
      <c r="W110" s="10" t="n"/>
      <c r="X110" s="11" t="n"/>
      <c r="Y110" s="12" t="n"/>
      <c r="Z110" s="13" t="n"/>
      <c r="AA110" s="10" t="n"/>
      <c r="AB110" s="11" t="n"/>
      <c r="AC110" s="12" t="n"/>
      <c r="AD110" s="13" t="n"/>
      <c r="AE110" s="14" t="n"/>
      <c r="AF110" s="11" t="n"/>
      <c r="AG110" s="12" t="n"/>
      <c r="AH110" s="13" t="n"/>
      <c r="AI110" s="10" t="n"/>
      <c r="AJ110" s="11" t="n"/>
      <c r="AK110" s="12" t="n"/>
      <c r="AL110" s="13" t="n"/>
      <c r="AM110" s="10" t="n"/>
      <c r="AN110" s="11" t="n"/>
      <c r="AO110" s="12" t="n"/>
      <c r="AP110" s="13" t="n"/>
      <c r="AQ110" s="6">
        <f>IF(AND((O110)&lt;85,N110&lt;137),"NO","SI")</f>
        <v/>
      </c>
      <c r="AR110" s="7">
        <f>IF((480*(10^(7.95-(O110/10))))&lt;480,480*(10^(7.95-(O110/10))),480)</f>
        <v/>
      </c>
      <c r="AS110" s="8">
        <f>IF((480*(10^(8.45-(O110/10))))&lt;480,480*(10^(8.45-(O110/10))),480)</f>
        <v/>
      </c>
      <c r="AT110" s="9">
        <f>IF((480*(10^(8.65-(O110/10))))&lt;480,480*(10^(8.65-(O110/10))),480)</f>
        <v/>
      </c>
      <c r="AU110" s="111">
        <f>IF(O110&lt;80,"0",IF((P110-O110)&lt;=2,('DPI art.191'!$G$3-(('DPI art.191'!$F$3-'DPI art.191'!$G$3)/4)*(P110-O110-2)),('DPI art.191'!$G$3-(('DPI art.191'!$G$3-'DPI art.191'!$H$3)/8)*(P110-O110-2))))</f>
        <v/>
      </c>
      <c r="AV110" s="24">
        <f>O110-AU110</f>
        <v/>
      </c>
      <c r="AW110" s="24">
        <f>IF(N110&lt;135,N110,N110-'DPI art.191'!$I$3)</f>
        <v/>
      </c>
      <c r="AX110" s="111">
        <f>IF(I110&lt;80,"0",IF((J110-I110)&lt;=2,('DPI art.191'!$G$7-(('DPI art.191'!$F$7-'DPI art.191'!$G$7)/4)*(I110-J110-2)),('DPI art.191'!$G$7-(('DPI art.191'!$G$7-'DPI art.191'!$H$7)/8)*(J110-I110-2))))</f>
        <v/>
      </c>
      <c r="AY110" s="24">
        <f>I110-AX110</f>
        <v/>
      </c>
      <c r="AZ110" s="24">
        <f>IF(H110&lt;135,H110,H110-'DPI art.191'!$I$7)</f>
        <v/>
      </c>
      <c r="BA110" s="111">
        <f>IF(O110&lt;80,"0",IF((P110-O110)&lt;=2,('DPI art.191'!$G$5-(('DPI art.191'!$F$5-'DPI art.191'!$G$5)/4)*(P110-O110-2)),('DPI art.191'!$G$5-(('DPI art.191'!$G$5-'DPI art.191'!$H$5)/8)*(P110-O110-2))))</f>
        <v/>
      </c>
      <c r="BB110" s="24">
        <f>R110-BA110</f>
        <v/>
      </c>
      <c r="BC110" s="24">
        <f>IF(N110&lt;135,N110,N110-'DPI art.191'!$I$5)</f>
        <v/>
      </c>
      <c r="BD110" s="111">
        <f>IF(O110&lt;80,"0",IF((P110-O110)&lt;=2,('DPI art.191'!$G$7-(('DPI art.191'!$F$7-'DPI art.191'!$G$7)/4)*(O110-P110-2)),('DPI art.191'!$G$7-(('DPI art.191'!$G$7-'DPI art.191'!$H$7)/8)*(P110-O110-2))))</f>
        <v/>
      </c>
      <c r="BE110" s="24">
        <f>O110-BD110</f>
        <v/>
      </c>
      <c r="BF110" s="24">
        <f>IF(N110&lt;135,N110,N110-'DPI art.191'!$I$7)</f>
        <v/>
      </c>
      <c r="BG110" s="108">
        <f>10^(0.1*R110)</f>
        <v/>
      </c>
      <c r="BH110" s="108">
        <f>10^(0.1*X110)</f>
        <v/>
      </c>
      <c r="BI110" s="108">
        <f>10^(0.1*AB110)</f>
        <v/>
      </c>
      <c r="BJ110" s="108">
        <f>10^(0.1*AF110)</f>
        <v/>
      </c>
      <c r="BK110" s="108">
        <f>10^(0.1*AJ110)</f>
        <v/>
      </c>
      <c r="BL110" s="108">
        <f>10^(0.1*AN110)</f>
        <v/>
      </c>
      <c r="BM110" s="106">
        <f>IF(R110&gt;0,(O110-R110),"")</f>
        <v/>
      </c>
      <c r="BN110" s="106">
        <f>IF(X110&gt;0,(O110-X110),"")</f>
        <v/>
      </c>
      <c r="BO110" s="106">
        <f>IF(AB110&gt;0,(O110-AB110),"")</f>
        <v/>
      </c>
      <c r="BP110" s="106">
        <f>IF(AF110&gt;0,(O110-AF110),"")</f>
        <v/>
      </c>
      <c r="BQ110" s="106">
        <f>IF(AJ110&gt;0,(O110-AJ110),"")</f>
        <v/>
      </c>
      <c r="BR110" s="106">
        <f>IF(AN110&gt;0,(O110-AN110),"")</f>
        <v/>
      </c>
      <c r="BS110" s="106">
        <f>COUNT(BM110:BR110)</f>
        <v/>
      </c>
      <c r="BT110" s="464">
        <f>IF(BS110=0,0,IF(BS110=1,0,1/(BS110*(BS110-1))))</f>
        <v/>
      </c>
      <c r="BU110" s="136">
        <f>IF(R110&gt;0,(BM110^2),"")</f>
        <v/>
      </c>
      <c r="BV110" s="136">
        <f>IF(X110&gt;0,(BN110^2),"")</f>
        <v/>
      </c>
      <c r="BW110" s="136">
        <f>IF(AB110&gt;0,(BO110^2),"")</f>
        <v/>
      </c>
      <c r="BX110" s="136">
        <f>IF(AF110&gt;0,(BP110^2),"")</f>
        <v/>
      </c>
      <c r="BY110" s="136">
        <f>IF(AJ110&gt;0,(BQ110^2),"")</f>
        <v/>
      </c>
      <c r="BZ110" s="136">
        <f>IF(AN110&gt;0,(BR110^2),"")</f>
        <v/>
      </c>
    </row>
    <row r="111" ht="18.75" customHeight="1" s="444">
      <c r="A111" s="340" t="inlineStr">
        <is>
          <t>/</t>
        </is>
      </c>
      <c r="B111" s="65">
        <f>B110+1</f>
        <v/>
      </c>
      <c r="C111" s="78" t="n"/>
      <c r="D111" s="83" t="n"/>
      <c r="E111" s="83" t="n"/>
      <c r="F111" s="329" t="n"/>
      <c r="G111" s="71" t="n">
        <v>40725</v>
      </c>
      <c r="H111" s="77" t="inlineStr">
        <is>
          <t>Compito</t>
        </is>
      </c>
      <c r="I111" s="77">
        <f>IF((V111-R111)&gt;3,"SI","")</f>
        <v/>
      </c>
      <c r="J111" s="77">
        <f>IF((U111-R111)&gt;3,"SI","")</f>
        <v/>
      </c>
      <c r="K111" s="77" t="n"/>
      <c r="L111" s="77" t="n"/>
      <c r="M111" s="137">
        <f>IF(R111&gt;0,(SQRT(BT111*(SUM(BU111:BZ111)))),"")</f>
        <v/>
      </c>
      <c r="N111" s="4">
        <f>IF(T111&gt;0,(MAX(T111,Z111,AD111,AH111,AL111,AP111))+SQRT(1.2^2+1^2),"")</f>
        <v/>
      </c>
      <c r="O111" s="3">
        <f>IF(R111="",0,10*LOG10(SUM(BG111:BL111)/(COUNT(R111,X111,AB111,AF111,AJ111,AN111))))</f>
        <v/>
      </c>
      <c r="P111" s="5">
        <f>IF(AND(Y111="",AC111="",AG111="",AK111="",AO111=""),S111,AVERAGE(S111,Y111,AC111,AG111,AK111,AO111)+STDEV(S111,Y111,AC111,AG111,AK111,AO111))</f>
        <v/>
      </c>
      <c r="Q111" s="14" t="n"/>
      <c r="R111" s="11" t="n"/>
      <c r="S111" s="12" t="n"/>
      <c r="T111" s="13" t="n"/>
      <c r="U111" s="79" t="n"/>
      <c r="V111" s="79" t="n"/>
      <c r="W111" s="10" t="n"/>
      <c r="X111" s="11" t="n"/>
      <c r="Y111" s="12" t="n"/>
      <c r="Z111" s="13" t="n"/>
      <c r="AA111" s="10" t="n"/>
      <c r="AB111" s="11" t="n"/>
      <c r="AC111" s="12" t="n"/>
      <c r="AD111" s="13" t="n"/>
      <c r="AE111" s="14" t="n"/>
      <c r="AF111" s="11" t="n"/>
      <c r="AG111" s="12" t="n"/>
      <c r="AH111" s="13" t="n"/>
      <c r="AI111" s="10" t="n"/>
      <c r="AJ111" s="11" t="n"/>
      <c r="AK111" s="12" t="n"/>
      <c r="AL111" s="13" t="n"/>
      <c r="AM111" s="10" t="n"/>
      <c r="AN111" s="11" t="n"/>
      <c r="AO111" s="12" t="n"/>
      <c r="AP111" s="13" t="n"/>
      <c r="AQ111" s="6">
        <f>IF(AND((O111)&lt;85,N111&lt;137),"NO","SI")</f>
        <v/>
      </c>
      <c r="AR111" s="7">
        <f>IF((480*(10^(7.95-(O111/10))))&lt;480,480*(10^(7.95-(O111/10))),480)</f>
        <v/>
      </c>
      <c r="AS111" s="8">
        <f>IF((480*(10^(8.45-(O111/10))))&lt;480,480*(10^(8.45-(O111/10))),480)</f>
        <v/>
      </c>
      <c r="AT111" s="9">
        <f>IF((480*(10^(8.65-(O111/10))))&lt;480,480*(10^(8.65-(O111/10))),480)</f>
        <v/>
      </c>
      <c r="AU111" s="111">
        <f>IF(O111&lt;80,"0",IF((P111-O111)&lt;=2,('DPI art.191'!$G$3-(('DPI art.191'!$F$3-'DPI art.191'!$G$3)/4)*(P111-O111-2)),('DPI art.191'!$G$3-(('DPI art.191'!$G$3-'DPI art.191'!$H$3)/8)*(P111-O111-2))))</f>
        <v/>
      </c>
      <c r="AV111" s="24">
        <f>O111-AU111</f>
        <v/>
      </c>
      <c r="AW111" s="24">
        <f>IF(N111&lt;135,N111,N111-'DPI art.191'!$I$3)</f>
        <v/>
      </c>
      <c r="AX111" s="111">
        <f>IF(I111&lt;80,"0",IF((J111-I111)&lt;=2,('DPI art.191'!$G$7-(('DPI art.191'!$F$7-'DPI art.191'!$G$7)/4)*(I111-J111-2)),('DPI art.191'!$G$7-(('DPI art.191'!$G$7-'DPI art.191'!$H$7)/8)*(J111-I111-2))))</f>
        <v/>
      </c>
      <c r="AY111" s="24">
        <f>I111-AX111</f>
        <v/>
      </c>
      <c r="AZ111" s="24">
        <f>IF(H111&lt;135,H111,H111-'DPI art.191'!$I$7)</f>
        <v/>
      </c>
      <c r="BA111" s="111">
        <f>IF(O111&lt;80,"0",IF((P111-O111)&lt;=2,('DPI art.191'!$G$5-(('DPI art.191'!$F$5-'DPI art.191'!$G$5)/4)*(P111-O111-2)),('DPI art.191'!$G$5-(('DPI art.191'!$G$5-'DPI art.191'!$H$5)/8)*(P111-O111-2))))</f>
        <v/>
      </c>
      <c r="BB111" s="24">
        <f>R111-BA111</f>
        <v/>
      </c>
      <c r="BC111" s="24">
        <f>IF(N111&lt;135,N111,N111-'DPI art.191'!$I$5)</f>
        <v/>
      </c>
      <c r="BD111" s="111">
        <f>IF(O111&lt;80,"0",IF((P111-O111)&lt;=2,('DPI art.191'!$G$7-(('DPI art.191'!$F$7-'DPI art.191'!$G$7)/4)*(O111-P111-2)),('DPI art.191'!$G$7-(('DPI art.191'!$G$7-'DPI art.191'!$H$7)/8)*(P111-O111-2))))</f>
        <v/>
      </c>
      <c r="BE111" s="24">
        <f>O111-BD111</f>
        <v/>
      </c>
      <c r="BF111" s="24">
        <f>IF(N111&lt;135,N111,N111-'DPI art.191'!$I$7)</f>
        <v/>
      </c>
      <c r="BG111" s="108">
        <f>10^(0.1*R111)</f>
        <v/>
      </c>
      <c r="BH111" s="108">
        <f>10^(0.1*X111)</f>
        <v/>
      </c>
      <c r="BI111" s="108">
        <f>10^(0.1*AB111)</f>
        <v/>
      </c>
      <c r="BJ111" s="108">
        <f>10^(0.1*AF111)</f>
        <v/>
      </c>
      <c r="BK111" s="108">
        <f>10^(0.1*AJ111)</f>
        <v/>
      </c>
      <c r="BL111" s="108">
        <f>10^(0.1*AN111)</f>
        <v/>
      </c>
      <c r="BM111" s="106">
        <f>IF(R111&gt;0,(O111-R111),"")</f>
        <v/>
      </c>
      <c r="BN111" s="106">
        <f>IF(X111&gt;0,(O111-X111),"")</f>
        <v/>
      </c>
      <c r="BO111" s="106">
        <f>IF(AB111&gt;0,(O111-AB111),"")</f>
        <v/>
      </c>
      <c r="BP111" s="106">
        <f>IF(AF111&gt;0,(O111-AF111),"")</f>
        <v/>
      </c>
      <c r="BQ111" s="106">
        <f>IF(AJ111&gt;0,(O111-AJ111),"")</f>
        <v/>
      </c>
      <c r="BR111" s="106">
        <f>IF(AN111&gt;0,(O111-AN111),"")</f>
        <v/>
      </c>
      <c r="BS111" s="106">
        <f>COUNT(BM111:BR111)</f>
        <v/>
      </c>
      <c r="BT111" s="464">
        <f>IF(BS111=0,0,IF(BS111=1,0,1/(BS111*(BS111-1))))</f>
        <v/>
      </c>
      <c r="BU111" s="136">
        <f>IF(R111&gt;0,(BM111^2),"")</f>
        <v/>
      </c>
      <c r="BV111" s="136">
        <f>IF(X111&gt;0,(BN111^2),"")</f>
        <v/>
      </c>
      <c r="BW111" s="136">
        <f>IF(AB111&gt;0,(BO111^2),"")</f>
        <v/>
      </c>
      <c r="BX111" s="136">
        <f>IF(AF111&gt;0,(BP111^2),"")</f>
        <v/>
      </c>
      <c r="BY111" s="136">
        <f>IF(AJ111&gt;0,(BQ111^2),"")</f>
        <v/>
      </c>
      <c r="BZ111" s="136">
        <f>IF(AN111&gt;0,(BR111^2),"")</f>
        <v/>
      </c>
    </row>
    <row r="112" ht="18.75" customHeight="1" s="444">
      <c r="A112" s="340" t="inlineStr">
        <is>
          <t>/</t>
        </is>
      </c>
      <c r="B112" s="65">
        <f>B111+1</f>
        <v/>
      </c>
      <c r="C112" s="78" t="n"/>
      <c r="D112" s="83" t="n"/>
      <c r="E112" s="83" t="n"/>
      <c r="F112" s="329" t="n"/>
      <c r="G112" s="71" t="n">
        <v>40725</v>
      </c>
      <c r="H112" s="77" t="inlineStr">
        <is>
          <t>Compito</t>
        </is>
      </c>
      <c r="I112" s="77">
        <f>IF((V112-R112)&gt;3,"SI","")</f>
        <v/>
      </c>
      <c r="J112" s="77">
        <f>IF((U112-R112)&gt;3,"SI","")</f>
        <v/>
      </c>
      <c r="K112" s="77" t="n"/>
      <c r="L112" s="77" t="n"/>
      <c r="M112" s="137">
        <f>IF(R112&gt;0,(SQRT(BT112*(SUM(BU112:BZ112)))),"")</f>
        <v/>
      </c>
      <c r="N112" s="4">
        <f>IF(T112&gt;0,(MAX(T112,Z112,AD112,AH112,AL112,AP112))+SQRT(1.2^2+1^2),"")</f>
        <v/>
      </c>
      <c r="O112" s="3">
        <f>IF(R112="",0,10*LOG10(SUM(BG112:BL112)/(COUNT(R112,X112,AB112,AF112,AJ112,AN112))))</f>
        <v/>
      </c>
      <c r="P112" s="5">
        <f>IF(AND(Y112="",AC112="",AG112="",AK112="",AO112=""),S112,AVERAGE(S112,Y112,AC112,AG112,AK112,AO112)+STDEV(S112,Y112,AC112,AG112,AK112,AO112))</f>
        <v/>
      </c>
      <c r="Q112" s="14" t="n"/>
      <c r="R112" s="11" t="n"/>
      <c r="S112" s="12" t="n"/>
      <c r="T112" s="13" t="n"/>
      <c r="U112" s="79" t="n"/>
      <c r="V112" s="79" t="n"/>
      <c r="W112" s="10" t="n"/>
      <c r="X112" s="11" t="n"/>
      <c r="Y112" s="12" t="n"/>
      <c r="Z112" s="13" t="n"/>
      <c r="AA112" s="10" t="n"/>
      <c r="AB112" s="11" t="n"/>
      <c r="AC112" s="12" t="n"/>
      <c r="AD112" s="13" t="n"/>
      <c r="AE112" s="14" t="n"/>
      <c r="AF112" s="11" t="n"/>
      <c r="AG112" s="12" t="n"/>
      <c r="AH112" s="13" t="n"/>
      <c r="AI112" s="10" t="n"/>
      <c r="AJ112" s="11" t="n"/>
      <c r="AK112" s="12" t="n"/>
      <c r="AL112" s="13" t="n"/>
      <c r="AM112" s="10" t="n"/>
      <c r="AN112" s="11" t="n"/>
      <c r="AO112" s="12" t="n"/>
      <c r="AP112" s="13" t="n"/>
      <c r="AQ112" s="6">
        <f>IF(AND((O112)&lt;85,N112&lt;137),"NO","SI")</f>
        <v/>
      </c>
      <c r="AR112" s="7">
        <f>IF((480*(10^(7.95-(O112/10))))&lt;480,480*(10^(7.95-(O112/10))),480)</f>
        <v/>
      </c>
      <c r="AS112" s="8">
        <f>IF((480*(10^(8.45-(O112/10))))&lt;480,480*(10^(8.45-(O112/10))),480)</f>
        <v/>
      </c>
      <c r="AT112" s="9">
        <f>IF((480*(10^(8.65-(O112/10))))&lt;480,480*(10^(8.65-(O112/10))),480)</f>
        <v/>
      </c>
      <c r="AU112" s="111">
        <f>IF(O112&lt;80,"0",IF((P112-O112)&lt;=2,('DPI art.191'!$G$3-(('DPI art.191'!$F$3-'DPI art.191'!$G$3)/4)*(P112-O112-2)),('DPI art.191'!$G$3-(('DPI art.191'!$G$3-'DPI art.191'!$H$3)/8)*(P112-O112-2))))</f>
        <v/>
      </c>
      <c r="AV112" s="24">
        <f>O112-AU112</f>
        <v/>
      </c>
      <c r="AW112" s="24">
        <f>IF(N112&lt;135,N112,N112-'DPI art.191'!$I$3)</f>
        <v/>
      </c>
      <c r="AX112" s="111">
        <f>IF(I112&lt;80,"0",IF((J112-I112)&lt;=2,('DPI art.191'!$G$7-(('DPI art.191'!$F$7-'DPI art.191'!$G$7)/4)*(I112-J112-2)),('DPI art.191'!$G$7-(('DPI art.191'!$G$7-'DPI art.191'!$H$7)/8)*(J112-I112-2))))</f>
        <v/>
      </c>
      <c r="AY112" s="24">
        <f>I112-AX112</f>
        <v/>
      </c>
      <c r="AZ112" s="24">
        <f>IF(H112&lt;135,H112,H112-'DPI art.191'!$I$7)</f>
        <v/>
      </c>
      <c r="BA112" s="111">
        <f>IF(O112&lt;80,"0",IF((P112-O112)&lt;=2,('DPI art.191'!$G$5-(('DPI art.191'!$F$5-'DPI art.191'!$G$5)/4)*(P112-O112-2)),('DPI art.191'!$G$5-(('DPI art.191'!$G$5-'DPI art.191'!$H$5)/8)*(P112-O112-2))))</f>
        <v/>
      </c>
      <c r="BB112" s="24">
        <f>R112-BA112</f>
        <v/>
      </c>
      <c r="BC112" s="24">
        <f>IF(N112&lt;135,N112,N112-'DPI art.191'!$I$5)</f>
        <v/>
      </c>
      <c r="BD112" s="111">
        <f>IF(O112&lt;80,"0",IF((P112-O112)&lt;=2,('DPI art.191'!$G$7-(('DPI art.191'!$F$7-'DPI art.191'!$G$7)/4)*(O112-P112-2)),('DPI art.191'!$G$7-(('DPI art.191'!$G$7-'DPI art.191'!$H$7)/8)*(P112-O112-2))))</f>
        <v/>
      </c>
      <c r="BE112" s="24">
        <f>O112-BD112</f>
        <v/>
      </c>
      <c r="BF112" s="24">
        <f>IF(N112&lt;135,N112,N112-'DPI art.191'!$I$7)</f>
        <v/>
      </c>
      <c r="BG112" s="108">
        <f>10^(0.1*R112)</f>
        <v/>
      </c>
      <c r="BH112" s="108">
        <f>10^(0.1*X112)</f>
        <v/>
      </c>
      <c r="BI112" s="108">
        <f>10^(0.1*AB112)</f>
        <v/>
      </c>
      <c r="BJ112" s="108">
        <f>10^(0.1*AF112)</f>
        <v/>
      </c>
      <c r="BK112" s="108">
        <f>10^(0.1*AJ112)</f>
        <v/>
      </c>
      <c r="BL112" s="108">
        <f>10^(0.1*AN112)</f>
        <v/>
      </c>
      <c r="BM112" s="106">
        <f>IF(R112&gt;0,(O112-R112),"")</f>
        <v/>
      </c>
      <c r="BN112" s="106">
        <f>IF(X112&gt;0,(O112-X112),"")</f>
        <v/>
      </c>
      <c r="BO112" s="106">
        <f>IF(AB112&gt;0,(O112-AB112),"")</f>
        <v/>
      </c>
      <c r="BP112" s="106">
        <f>IF(AF112&gt;0,(O112-AF112),"")</f>
        <v/>
      </c>
      <c r="BQ112" s="106">
        <f>IF(AJ112&gt;0,(O112-AJ112),"")</f>
        <v/>
      </c>
      <c r="BR112" s="106">
        <f>IF(AN112&gt;0,(O112-AN112),"")</f>
        <v/>
      </c>
      <c r="BS112" s="106">
        <f>COUNT(BM112:BR112)</f>
        <v/>
      </c>
      <c r="BT112" s="464">
        <f>IF(BS112=0,0,IF(BS112=1,0,1/(BS112*(BS112-1))))</f>
        <v/>
      </c>
      <c r="BU112" s="136">
        <f>IF(R112&gt;0,(BM112^2),"")</f>
        <v/>
      </c>
      <c r="BV112" s="136">
        <f>IF(X112&gt;0,(BN112^2),"")</f>
        <v/>
      </c>
      <c r="BW112" s="136">
        <f>IF(AB112&gt;0,(BO112^2),"")</f>
        <v/>
      </c>
      <c r="BX112" s="136">
        <f>IF(AF112&gt;0,(BP112^2),"")</f>
        <v/>
      </c>
      <c r="BY112" s="136">
        <f>IF(AJ112&gt;0,(BQ112^2),"")</f>
        <v/>
      </c>
      <c r="BZ112" s="136">
        <f>IF(AN112&gt;0,(BR112^2),"")</f>
        <v/>
      </c>
    </row>
    <row r="113" ht="18.75" customHeight="1" s="444">
      <c r="A113" s="340" t="inlineStr">
        <is>
          <t>/</t>
        </is>
      </c>
      <c r="B113" s="65">
        <f>B112+1</f>
        <v/>
      </c>
      <c r="C113" s="78" t="n"/>
      <c r="D113" s="83" t="n"/>
      <c r="E113" s="83" t="n"/>
      <c r="F113" s="329" t="n"/>
      <c r="G113" s="71" t="n">
        <v>40725</v>
      </c>
      <c r="H113" s="77" t="inlineStr">
        <is>
          <t>Compito</t>
        </is>
      </c>
      <c r="I113" s="77">
        <f>IF((V113-R113)&gt;3,"SI","")</f>
        <v/>
      </c>
      <c r="J113" s="77">
        <f>IF((U113-R113)&gt;3,"SI","")</f>
        <v/>
      </c>
      <c r="K113" s="77" t="n"/>
      <c r="L113" s="77" t="n"/>
      <c r="M113" s="137">
        <f>IF(R113&gt;0,(SQRT(BT113*(SUM(BU113:BZ113)))),"")</f>
        <v/>
      </c>
      <c r="N113" s="4">
        <f>IF(T113&gt;0,(MAX(T113,Z113,AD113,AH113,AL113,AP113))+SQRT(1.2^2+1^2),"")</f>
        <v/>
      </c>
      <c r="O113" s="3">
        <f>IF(R113="",0,10*LOG10(SUM(BG113:BL113)/(COUNT(R113,X113,AB113,AF113,AJ113,AN113))))</f>
        <v/>
      </c>
      <c r="P113" s="5">
        <f>IF(AND(Y113="",AC113="",AG113="",AK113="",AO113=""),S113,AVERAGE(S113,Y113,AC113,AG113,AK113,AO113)+STDEV(S113,Y113,AC113,AG113,AK113,AO113))</f>
        <v/>
      </c>
      <c r="Q113" s="14" t="n"/>
      <c r="R113" s="11" t="n"/>
      <c r="S113" s="12" t="n"/>
      <c r="T113" s="13" t="n"/>
      <c r="U113" s="79" t="n"/>
      <c r="V113" s="79" t="n"/>
      <c r="W113" s="10" t="n"/>
      <c r="X113" s="11" t="n"/>
      <c r="Y113" s="12" t="n"/>
      <c r="Z113" s="13" t="n"/>
      <c r="AA113" s="10" t="n"/>
      <c r="AB113" s="11" t="n"/>
      <c r="AC113" s="12" t="n"/>
      <c r="AD113" s="13" t="n"/>
      <c r="AE113" s="14" t="n"/>
      <c r="AF113" s="11" t="n"/>
      <c r="AG113" s="12" t="n"/>
      <c r="AH113" s="13" t="n"/>
      <c r="AI113" s="10" t="n"/>
      <c r="AJ113" s="11" t="n"/>
      <c r="AK113" s="12" t="n"/>
      <c r="AL113" s="13" t="n"/>
      <c r="AM113" s="10" t="n"/>
      <c r="AN113" s="11" t="n"/>
      <c r="AO113" s="12" t="n"/>
      <c r="AP113" s="13" t="n"/>
      <c r="AQ113" s="6">
        <f>IF(AND((O113)&lt;85,N113&lt;137),"NO","SI")</f>
        <v/>
      </c>
      <c r="AR113" s="7">
        <f>IF((480*(10^(7.95-(O113/10))))&lt;480,480*(10^(7.95-(O113/10))),480)</f>
        <v/>
      </c>
      <c r="AS113" s="8">
        <f>IF((480*(10^(8.45-(O113/10))))&lt;480,480*(10^(8.45-(O113/10))),480)</f>
        <v/>
      </c>
      <c r="AT113" s="9">
        <f>IF((480*(10^(8.65-(O113/10))))&lt;480,480*(10^(8.65-(O113/10))),480)</f>
        <v/>
      </c>
      <c r="AU113" s="111">
        <f>IF(O113&lt;80,"0",IF((P113-O113)&lt;=2,('DPI art.191'!$G$3-(('DPI art.191'!$F$3-'DPI art.191'!$G$3)/4)*(P113-O113-2)),('DPI art.191'!$G$3-(('DPI art.191'!$G$3-'DPI art.191'!$H$3)/8)*(P113-O113-2))))</f>
        <v/>
      </c>
      <c r="AV113" s="24">
        <f>O113-AU113</f>
        <v/>
      </c>
      <c r="AW113" s="24">
        <f>IF(N113&lt;135,N113,N113-'DPI art.191'!$I$3)</f>
        <v/>
      </c>
      <c r="AX113" s="111">
        <f>IF(I113&lt;80,"0",IF((J113-I113)&lt;=2,('DPI art.191'!$G$7-(('DPI art.191'!$F$7-'DPI art.191'!$G$7)/4)*(I113-J113-2)),('DPI art.191'!$G$7-(('DPI art.191'!$G$7-'DPI art.191'!$H$7)/8)*(J113-I113-2))))</f>
        <v/>
      </c>
      <c r="AY113" s="24">
        <f>I113-AX113</f>
        <v/>
      </c>
      <c r="AZ113" s="24">
        <f>IF(H113&lt;135,H113,H113-'DPI art.191'!$I$7)</f>
        <v/>
      </c>
      <c r="BA113" s="111">
        <f>IF(O113&lt;80,"0",IF((P113-O113)&lt;=2,('DPI art.191'!$G$5-(('DPI art.191'!$F$5-'DPI art.191'!$G$5)/4)*(P113-O113-2)),('DPI art.191'!$G$5-(('DPI art.191'!$G$5-'DPI art.191'!$H$5)/8)*(P113-O113-2))))</f>
        <v/>
      </c>
      <c r="BB113" s="24">
        <f>R113-BA113</f>
        <v/>
      </c>
      <c r="BC113" s="24">
        <f>IF(N113&lt;135,N113,N113-'DPI art.191'!$I$5)</f>
        <v/>
      </c>
      <c r="BD113" s="111">
        <f>IF(O113&lt;80,"0",IF((P113-O113)&lt;=2,('DPI art.191'!$G$7-(('DPI art.191'!$F$7-'DPI art.191'!$G$7)/4)*(O113-P113-2)),('DPI art.191'!$G$7-(('DPI art.191'!$G$7-'DPI art.191'!$H$7)/8)*(P113-O113-2))))</f>
        <v/>
      </c>
      <c r="BE113" s="24">
        <f>O113-BD113</f>
        <v/>
      </c>
      <c r="BF113" s="24">
        <f>IF(N113&lt;135,N113,N113-'DPI art.191'!$I$7)</f>
        <v/>
      </c>
      <c r="BG113" s="108">
        <f>10^(0.1*R113)</f>
        <v/>
      </c>
      <c r="BH113" s="108">
        <f>10^(0.1*X113)</f>
        <v/>
      </c>
      <c r="BI113" s="108">
        <f>10^(0.1*AB113)</f>
        <v/>
      </c>
      <c r="BJ113" s="108">
        <f>10^(0.1*AF113)</f>
        <v/>
      </c>
      <c r="BK113" s="108">
        <f>10^(0.1*AJ113)</f>
        <v/>
      </c>
      <c r="BL113" s="108">
        <f>10^(0.1*AN113)</f>
        <v/>
      </c>
      <c r="BM113" s="106">
        <f>IF(R113&gt;0,(O113-R113),"")</f>
        <v/>
      </c>
      <c r="BN113" s="106">
        <f>IF(X113&gt;0,(O113-X113),"")</f>
        <v/>
      </c>
      <c r="BO113" s="106">
        <f>IF(AB113&gt;0,(O113-AB113),"")</f>
        <v/>
      </c>
      <c r="BP113" s="106">
        <f>IF(AF113&gt;0,(O113-AF113),"")</f>
        <v/>
      </c>
      <c r="BQ113" s="106">
        <f>IF(AJ113&gt;0,(O113-AJ113),"")</f>
        <v/>
      </c>
      <c r="BR113" s="106">
        <f>IF(AN113&gt;0,(O113-AN113),"")</f>
        <v/>
      </c>
      <c r="BS113" s="106">
        <f>COUNT(BM113:BR113)</f>
        <v/>
      </c>
      <c r="BT113" s="464">
        <f>IF(BS113=0,0,IF(BS113=1,0,1/(BS113*(BS113-1))))</f>
        <v/>
      </c>
      <c r="BU113" s="136">
        <f>IF(R113&gt;0,(BM113^2),"")</f>
        <v/>
      </c>
      <c r="BV113" s="136">
        <f>IF(X113&gt;0,(BN113^2),"")</f>
        <v/>
      </c>
      <c r="BW113" s="136">
        <f>IF(AB113&gt;0,(BO113^2),"")</f>
        <v/>
      </c>
      <c r="BX113" s="136">
        <f>IF(AF113&gt;0,(BP113^2),"")</f>
        <v/>
      </c>
      <c r="BY113" s="136">
        <f>IF(AJ113&gt;0,(BQ113^2),"")</f>
        <v/>
      </c>
      <c r="BZ113" s="136">
        <f>IF(AN113&gt;0,(BR113^2),"")</f>
        <v/>
      </c>
    </row>
    <row r="114" ht="18.75" customHeight="1" s="444">
      <c r="A114" s="340" t="inlineStr">
        <is>
          <t>/</t>
        </is>
      </c>
      <c r="B114" s="65">
        <f>B113+1</f>
        <v/>
      </c>
      <c r="C114" s="78" t="n"/>
      <c r="D114" s="83" t="n"/>
      <c r="E114" s="83" t="n"/>
      <c r="F114" s="329" t="n"/>
      <c r="G114" s="71" t="n">
        <v>40725</v>
      </c>
      <c r="H114" s="77" t="inlineStr">
        <is>
          <t>Compito</t>
        </is>
      </c>
      <c r="I114" s="77">
        <f>IF((V114-R114)&gt;3,"SI","")</f>
        <v/>
      </c>
      <c r="J114" s="77">
        <f>IF((U114-R114)&gt;3,"SI","")</f>
        <v/>
      </c>
      <c r="K114" s="77" t="n"/>
      <c r="L114" s="77" t="n"/>
      <c r="M114" s="137">
        <f>IF(R114&gt;0,(SQRT(BT114*(SUM(BU114:BZ114)))),"")</f>
        <v/>
      </c>
      <c r="N114" s="4">
        <f>IF(T114&gt;0,(MAX(T114,Z114,AD114,AH114,AL114,AP114))+SQRT(1.2^2+1^2),"")</f>
        <v/>
      </c>
      <c r="O114" s="3">
        <f>IF(R114="",0,10*LOG10(SUM(BG114:BL114)/(COUNT(R114,X114,AB114,AF114,AJ114,AN114))))</f>
        <v/>
      </c>
      <c r="P114" s="5">
        <f>IF(AND(Y114="",AC114="",AG114="",AK114="",AO114=""),S114,AVERAGE(S114,Y114,AC114,AG114,AK114,AO114)+STDEV(S114,Y114,AC114,AG114,AK114,AO114))</f>
        <v/>
      </c>
      <c r="Q114" s="14" t="n"/>
      <c r="R114" s="11" t="n"/>
      <c r="S114" s="12" t="n"/>
      <c r="T114" s="13" t="n"/>
      <c r="U114" s="79" t="n"/>
      <c r="V114" s="79" t="n"/>
      <c r="W114" s="10" t="n"/>
      <c r="X114" s="11" t="n"/>
      <c r="Y114" s="12" t="n"/>
      <c r="Z114" s="13" t="n"/>
      <c r="AA114" s="10" t="n"/>
      <c r="AB114" s="11" t="n"/>
      <c r="AC114" s="12" t="n"/>
      <c r="AD114" s="13" t="n"/>
      <c r="AE114" s="14" t="n"/>
      <c r="AF114" s="11" t="n"/>
      <c r="AG114" s="12" t="n"/>
      <c r="AH114" s="13" t="n"/>
      <c r="AI114" s="10" t="n"/>
      <c r="AJ114" s="11" t="n"/>
      <c r="AK114" s="12" t="n"/>
      <c r="AL114" s="13" t="n"/>
      <c r="AM114" s="10" t="n"/>
      <c r="AN114" s="11" t="n"/>
      <c r="AO114" s="12" t="n"/>
      <c r="AP114" s="13" t="n"/>
      <c r="AQ114" s="6">
        <f>IF(AND((O114)&lt;85,N114&lt;137),"NO","SI")</f>
        <v/>
      </c>
      <c r="AR114" s="7">
        <f>IF((480*(10^(7.95-(O114/10))))&lt;480,480*(10^(7.95-(O114/10))),480)</f>
        <v/>
      </c>
      <c r="AS114" s="8">
        <f>IF((480*(10^(8.45-(O114/10))))&lt;480,480*(10^(8.45-(O114/10))),480)</f>
        <v/>
      </c>
      <c r="AT114" s="9">
        <f>IF((480*(10^(8.65-(O114/10))))&lt;480,480*(10^(8.65-(O114/10))),480)</f>
        <v/>
      </c>
      <c r="AU114" s="111">
        <f>IF(O114&lt;80,"0",IF((P114-O114)&lt;=2,('DPI art.191'!$G$3-(('DPI art.191'!$F$3-'DPI art.191'!$G$3)/4)*(P114-O114-2)),('DPI art.191'!$G$3-(('DPI art.191'!$G$3-'DPI art.191'!$H$3)/8)*(P114-O114-2))))</f>
        <v/>
      </c>
      <c r="AV114" s="24">
        <f>O114-AU114</f>
        <v/>
      </c>
      <c r="AW114" s="24">
        <f>IF(N114&lt;135,N114,N114-'DPI art.191'!$I$3)</f>
        <v/>
      </c>
      <c r="AX114" s="111">
        <f>IF(I114&lt;80,"0",IF((J114-I114)&lt;=2,('DPI art.191'!$G$7-(('DPI art.191'!$F$7-'DPI art.191'!$G$7)/4)*(I114-J114-2)),('DPI art.191'!$G$7-(('DPI art.191'!$G$7-'DPI art.191'!$H$7)/8)*(J114-I114-2))))</f>
        <v/>
      </c>
      <c r="AY114" s="24">
        <f>I114-AX114</f>
        <v/>
      </c>
      <c r="AZ114" s="24">
        <f>IF(H114&lt;135,H114,H114-'DPI art.191'!$I$7)</f>
        <v/>
      </c>
      <c r="BA114" s="111">
        <f>IF(O114&lt;80,"0",IF((P114-O114)&lt;=2,('DPI art.191'!$G$5-(('DPI art.191'!$F$5-'DPI art.191'!$G$5)/4)*(P114-O114-2)),('DPI art.191'!$G$5-(('DPI art.191'!$G$5-'DPI art.191'!$H$5)/8)*(P114-O114-2))))</f>
        <v/>
      </c>
      <c r="BB114" s="24">
        <f>R114-BA114</f>
        <v/>
      </c>
      <c r="BC114" s="24">
        <f>IF(N114&lt;135,N114,N114-'DPI art.191'!$I$5)</f>
        <v/>
      </c>
      <c r="BD114" s="111">
        <f>IF(O114&lt;80,"0",IF((P114-O114)&lt;=2,('DPI art.191'!$G$7-(('DPI art.191'!$F$7-'DPI art.191'!$G$7)/4)*(O114-P114-2)),('DPI art.191'!$G$7-(('DPI art.191'!$G$7-'DPI art.191'!$H$7)/8)*(P114-O114-2))))</f>
        <v/>
      </c>
      <c r="BE114" s="24">
        <f>O114-BD114</f>
        <v/>
      </c>
      <c r="BF114" s="24">
        <f>IF(N114&lt;135,N114,N114-'DPI art.191'!$I$7)</f>
        <v/>
      </c>
      <c r="BG114" s="108">
        <f>10^(0.1*R114)</f>
        <v/>
      </c>
      <c r="BH114" s="108">
        <f>10^(0.1*X114)</f>
        <v/>
      </c>
      <c r="BI114" s="108">
        <f>10^(0.1*AB114)</f>
        <v/>
      </c>
      <c r="BJ114" s="108">
        <f>10^(0.1*AF114)</f>
        <v/>
      </c>
      <c r="BK114" s="108">
        <f>10^(0.1*AJ114)</f>
        <v/>
      </c>
      <c r="BL114" s="108">
        <f>10^(0.1*AN114)</f>
        <v/>
      </c>
      <c r="BM114" s="106">
        <f>IF(R114&gt;0,(O114-R114),"")</f>
        <v/>
      </c>
      <c r="BN114" s="106">
        <f>IF(X114&gt;0,(O114-X114),"")</f>
        <v/>
      </c>
      <c r="BO114" s="106">
        <f>IF(AB114&gt;0,(O114-AB114),"")</f>
        <v/>
      </c>
      <c r="BP114" s="106">
        <f>IF(AF114&gt;0,(O114-AF114),"")</f>
        <v/>
      </c>
      <c r="BQ114" s="106">
        <f>IF(AJ114&gt;0,(O114-AJ114),"")</f>
        <v/>
      </c>
      <c r="BR114" s="106">
        <f>IF(AN114&gt;0,(O114-AN114),"")</f>
        <v/>
      </c>
      <c r="BS114" s="106">
        <f>COUNT(BM114:BR114)</f>
        <v/>
      </c>
      <c r="BT114" s="464">
        <f>IF(BS114=0,0,IF(BS114=1,0,1/(BS114*(BS114-1))))</f>
        <v/>
      </c>
      <c r="BU114" s="136">
        <f>IF(R114&gt;0,(BM114^2),"")</f>
        <v/>
      </c>
      <c r="BV114" s="136">
        <f>IF(X114&gt;0,(BN114^2),"")</f>
        <v/>
      </c>
      <c r="BW114" s="136">
        <f>IF(AB114&gt;0,(BO114^2),"")</f>
        <v/>
      </c>
      <c r="BX114" s="136">
        <f>IF(AF114&gt;0,(BP114^2),"")</f>
        <v/>
      </c>
      <c r="BY114" s="136">
        <f>IF(AJ114&gt;0,(BQ114^2),"")</f>
        <v/>
      </c>
      <c r="BZ114" s="136">
        <f>IF(AN114&gt;0,(BR114^2),"")</f>
        <v/>
      </c>
    </row>
    <row r="115" ht="18.75" customHeight="1" s="444">
      <c r="A115" s="340" t="inlineStr">
        <is>
          <t>/</t>
        </is>
      </c>
      <c r="B115" s="65">
        <f>B114+1</f>
        <v/>
      </c>
      <c r="C115" s="78" t="n"/>
      <c r="D115" s="83" t="n"/>
      <c r="E115" s="83" t="n"/>
      <c r="F115" s="329" t="n"/>
      <c r="G115" s="71" t="n">
        <v>40725</v>
      </c>
      <c r="H115" s="77" t="inlineStr">
        <is>
          <t>Compito</t>
        </is>
      </c>
      <c r="I115" s="77">
        <f>IF((V115-R115)&gt;3,"SI","")</f>
        <v/>
      </c>
      <c r="J115" s="77">
        <f>IF((U115-R115)&gt;3,"SI","")</f>
        <v/>
      </c>
      <c r="K115" s="77" t="n"/>
      <c r="L115" s="77" t="n"/>
      <c r="M115" s="137">
        <f>IF(R115&gt;0,(SQRT(BT115*(SUM(BU115:BZ115)))),"")</f>
        <v/>
      </c>
      <c r="N115" s="4">
        <f>IF(T115&gt;0,(MAX(T115,Z115,AD115,AH115,AL115,AP115))+SQRT(1.2^2+1^2),"")</f>
        <v/>
      </c>
      <c r="O115" s="3">
        <f>IF(R115="",0,10*LOG10(SUM(BG115:BL115)/(COUNT(R115,X115,AB115,AF115,AJ115,AN115))))</f>
        <v/>
      </c>
      <c r="P115" s="5">
        <f>IF(AND(Y115="",AC115="",AG115="",AK115="",AO115=""),S115,AVERAGE(S115,Y115,AC115,AG115,AK115,AO115)+STDEV(S115,Y115,AC115,AG115,AK115,AO115))</f>
        <v/>
      </c>
      <c r="Q115" s="14" t="n"/>
      <c r="R115" s="11" t="n"/>
      <c r="S115" s="12" t="n"/>
      <c r="T115" s="13" t="n"/>
      <c r="U115" s="79" t="n"/>
      <c r="V115" s="79" t="n"/>
      <c r="W115" s="10" t="n"/>
      <c r="X115" s="11" t="n"/>
      <c r="Y115" s="12" t="n"/>
      <c r="Z115" s="13" t="n"/>
      <c r="AA115" s="10" t="n"/>
      <c r="AB115" s="11" t="n"/>
      <c r="AC115" s="12" t="n"/>
      <c r="AD115" s="13" t="n"/>
      <c r="AE115" s="14" t="n"/>
      <c r="AF115" s="11" t="n"/>
      <c r="AG115" s="12" t="n"/>
      <c r="AH115" s="13" t="n"/>
      <c r="AI115" s="10" t="n"/>
      <c r="AJ115" s="11" t="n"/>
      <c r="AK115" s="12" t="n"/>
      <c r="AL115" s="13" t="n"/>
      <c r="AM115" s="10" t="n"/>
      <c r="AN115" s="11" t="n"/>
      <c r="AO115" s="12" t="n"/>
      <c r="AP115" s="13" t="n"/>
      <c r="AQ115" s="6">
        <f>IF(AND((O115)&lt;85,N115&lt;137),"NO","SI")</f>
        <v/>
      </c>
      <c r="AR115" s="7">
        <f>IF((480*(10^(7.95-(O115/10))))&lt;480,480*(10^(7.95-(O115/10))),480)</f>
        <v/>
      </c>
      <c r="AS115" s="8">
        <f>IF((480*(10^(8.45-(O115/10))))&lt;480,480*(10^(8.45-(O115/10))),480)</f>
        <v/>
      </c>
      <c r="AT115" s="9">
        <f>IF((480*(10^(8.65-(O115/10))))&lt;480,480*(10^(8.65-(O115/10))),480)</f>
        <v/>
      </c>
      <c r="AU115" s="111">
        <f>IF(O115&lt;80,"0",IF((P115-O115)&lt;=2,('DPI art.191'!$G$3-(('DPI art.191'!$F$3-'DPI art.191'!$G$3)/4)*(P115-O115-2)),('DPI art.191'!$G$3-(('DPI art.191'!$G$3-'DPI art.191'!$H$3)/8)*(P115-O115-2))))</f>
        <v/>
      </c>
      <c r="AV115" s="24">
        <f>O115-AU115</f>
        <v/>
      </c>
      <c r="AW115" s="24">
        <f>IF(N115&lt;135,N115,N115-'DPI art.191'!$I$3)</f>
        <v/>
      </c>
      <c r="AX115" s="111">
        <f>IF(I115&lt;80,"0",IF((J115-I115)&lt;=2,('DPI art.191'!$G$7-(('DPI art.191'!$F$7-'DPI art.191'!$G$7)/4)*(I115-J115-2)),('DPI art.191'!$G$7-(('DPI art.191'!$G$7-'DPI art.191'!$H$7)/8)*(J115-I115-2))))</f>
        <v/>
      </c>
      <c r="AY115" s="24">
        <f>I115-AX115</f>
        <v/>
      </c>
      <c r="AZ115" s="24">
        <f>IF(H115&lt;135,H115,H115-'DPI art.191'!$I$7)</f>
        <v/>
      </c>
      <c r="BA115" s="111">
        <f>IF(O115&lt;80,"0",IF((P115-O115)&lt;=2,('DPI art.191'!$G$5-(('DPI art.191'!$F$5-'DPI art.191'!$G$5)/4)*(P115-O115-2)),('DPI art.191'!$G$5-(('DPI art.191'!$G$5-'DPI art.191'!$H$5)/8)*(P115-O115-2))))</f>
        <v/>
      </c>
      <c r="BB115" s="24">
        <f>R115-BA115</f>
        <v/>
      </c>
      <c r="BC115" s="24">
        <f>IF(N115&lt;135,N115,N115-'DPI art.191'!$I$5)</f>
        <v/>
      </c>
      <c r="BD115" s="111">
        <f>IF(O115&lt;80,"0",IF((P115-O115)&lt;=2,('DPI art.191'!$G$7-(('DPI art.191'!$F$7-'DPI art.191'!$G$7)/4)*(O115-P115-2)),('DPI art.191'!$G$7-(('DPI art.191'!$G$7-'DPI art.191'!$H$7)/8)*(P115-O115-2))))</f>
        <v/>
      </c>
      <c r="BE115" s="24">
        <f>O115-BD115</f>
        <v/>
      </c>
      <c r="BF115" s="24">
        <f>IF(N115&lt;135,N115,N115-'DPI art.191'!$I$7)</f>
        <v/>
      </c>
      <c r="BG115" s="108">
        <f>10^(0.1*R115)</f>
        <v/>
      </c>
      <c r="BH115" s="108">
        <f>10^(0.1*X115)</f>
        <v/>
      </c>
      <c r="BI115" s="108">
        <f>10^(0.1*AB115)</f>
        <v/>
      </c>
      <c r="BJ115" s="108">
        <f>10^(0.1*AF115)</f>
        <v/>
      </c>
      <c r="BK115" s="108">
        <f>10^(0.1*AJ115)</f>
        <v/>
      </c>
      <c r="BL115" s="108">
        <f>10^(0.1*AN115)</f>
        <v/>
      </c>
      <c r="BM115" s="106">
        <f>IF(R115&gt;0,(O115-R115),"")</f>
        <v/>
      </c>
      <c r="BN115" s="106">
        <f>IF(X115&gt;0,(O115-X115),"")</f>
        <v/>
      </c>
      <c r="BO115" s="106">
        <f>IF(AB115&gt;0,(O115-AB115),"")</f>
        <v/>
      </c>
      <c r="BP115" s="106">
        <f>IF(AF115&gt;0,(O115-AF115),"")</f>
        <v/>
      </c>
      <c r="BQ115" s="106">
        <f>IF(AJ115&gt;0,(O115-AJ115),"")</f>
        <v/>
      </c>
      <c r="BR115" s="106">
        <f>IF(AN115&gt;0,(O115-AN115),"")</f>
        <v/>
      </c>
      <c r="BS115" s="106">
        <f>COUNT(BM115:BR115)</f>
        <v/>
      </c>
      <c r="BT115" s="464">
        <f>IF(BS115=0,0,IF(BS115=1,0,1/(BS115*(BS115-1))))</f>
        <v/>
      </c>
      <c r="BU115" s="136">
        <f>IF(R115&gt;0,(BM115^2),"")</f>
        <v/>
      </c>
      <c r="BV115" s="136">
        <f>IF(X115&gt;0,(BN115^2),"")</f>
        <v/>
      </c>
      <c r="BW115" s="136">
        <f>IF(AB115&gt;0,(BO115^2),"")</f>
        <v/>
      </c>
      <c r="BX115" s="136">
        <f>IF(AF115&gt;0,(BP115^2),"")</f>
        <v/>
      </c>
      <c r="BY115" s="136">
        <f>IF(AJ115&gt;0,(BQ115^2),"")</f>
        <v/>
      </c>
      <c r="BZ115" s="136">
        <f>IF(AN115&gt;0,(BR115^2),"")</f>
        <v/>
      </c>
    </row>
    <row r="116" ht="18.75" customHeight="1" s="444">
      <c r="A116" s="340" t="inlineStr">
        <is>
          <t>/</t>
        </is>
      </c>
      <c r="B116" s="65">
        <f>B115+1</f>
        <v/>
      </c>
      <c r="C116" s="78" t="n"/>
      <c r="D116" s="83" t="n"/>
      <c r="E116" s="83" t="n"/>
      <c r="F116" s="329" t="n"/>
      <c r="G116" s="71" t="n">
        <v>40725</v>
      </c>
      <c r="H116" s="77" t="inlineStr">
        <is>
          <t>Compito</t>
        </is>
      </c>
      <c r="I116" s="77">
        <f>IF((V116-R116)&gt;3,"SI","")</f>
        <v/>
      </c>
      <c r="J116" s="77">
        <f>IF((U116-R116)&gt;3,"SI","")</f>
        <v/>
      </c>
      <c r="K116" s="77" t="n"/>
      <c r="L116" s="77" t="n"/>
      <c r="M116" s="137">
        <f>IF(R116&gt;0,(SQRT(BT116*(SUM(BU116:BZ116)))),"")</f>
        <v/>
      </c>
      <c r="N116" s="4">
        <f>IF(T116&gt;0,(MAX(T116,Z116,AD116,AH116,AL116,AP116))+SQRT(1.2^2+1^2),"")</f>
        <v/>
      </c>
      <c r="O116" s="3">
        <f>IF(R116="",0,10*LOG10(SUM(BG116:BL116)/(COUNT(R116,X116,AB116,AF116,AJ116,AN116))))</f>
        <v/>
      </c>
      <c r="P116" s="5">
        <f>IF(AND(Y116="",AC116="",AG116="",AK116="",AO116=""),S116,AVERAGE(S116,Y116,AC116,AG116,AK116,AO116)+STDEV(S116,Y116,AC116,AG116,AK116,AO116))</f>
        <v/>
      </c>
      <c r="Q116" s="14" t="n"/>
      <c r="R116" s="11" t="n"/>
      <c r="S116" s="12" t="n"/>
      <c r="T116" s="13" t="n"/>
      <c r="U116" s="79" t="n"/>
      <c r="V116" s="79" t="n"/>
      <c r="W116" s="10" t="n"/>
      <c r="X116" s="11" t="n"/>
      <c r="Y116" s="12" t="n"/>
      <c r="Z116" s="13" t="n"/>
      <c r="AA116" s="10" t="n"/>
      <c r="AB116" s="11" t="n"/>
      <c r="AC116" s="12" t="n"/>
      <c r="AD116" s="13" t="n"/>
      <c r="AE116" s="14" t="n"/>
      <c r="AF116" s="11" t="n"/>
      <c r="AG116" s="12" t="n"/>
      <c r="AH116" s="13" t="n"/>
      <c r="AI116" s="10" t="n"/>
      <c r="AJ116" s="11" t="n"/>
      <c r="AK116" s="12" t="n"/>
      <c r="AL116" s="13" t="n"/>
      <c r="AM116" s="10" t="n"/>
      <c r="AN116" s="11" t="n"/>
      <c r="AO116" s="12" t="n"/>
      <c r="AP116" s="13" t="n"/>
      <c r="AQ116" s="6">
        <f>IF(AND((O116)&lt;85,N116&lt;137),"NO","SI")</f>
        <v/>
      </c>
      <c r="AR116" s="7">
        <f>IF((480*(10^(7.95-(O116/10))))&lt;480,480*(10^(7.95-(O116/10))),480)</f>
        <v/>
      </c>
      <c r="AS116" s="8">
        <f>IF((480*(10^(8.45-(O116/10))))&lt;480,480*(10^(8.45-(O116/10))),480)</f>
        <v/>
      </c>
      <c r="AT116" s="9">
        <f>IF((480*(10^(8.65-(O116/10))))&lt;480,480*(10^(8.65-(O116/10))),480)</f>
        <v/>
      </c>
      <c r="AU116" s="111">
        <f>IF(O116&lt;80,"0",IF((P116-O116)&lt;=2,('DPI art.191'!$G$3-(('DPI art.191'!$F$3-'DPI art.191'!$G$3)/4)*(P116-O116-2)),('DPI art.191'!$G$3-(('DPI art.191'!$G$3-'DPI art.191'!$H$3)/8)*(P116-O116-2))))</f>
        <v/>
      </c>
      <c r="AV116" s="24">
        <f>O116-AU116</f>
        <v/>
      </c>
      <c r="AW116" s="24">
        <f>IF(N116&lt;135,N116,N116-'DPI art.191'!$I$3)</f>
        <v/>
      </c>
      <c r="AX116" s="111">
        <f>IF(I116&lt;80,"0",IF((J116-I116)&lt;=2,('DPI art.191'!$G$7-(('DPI art.191'!$F$7-'DPI art.191'!$G$7)/4)*(I116-J116-2)),('DPI art.191'!$G$7-(('DPI art.191'!$G$7-'DPI art.191'!$H$7)/8)*(J116-I116-2))))</f>
        <v/>
      </c>
      <c r="AY116" s="24">
        <f>I116-AX116</f>
        <v/>
      </c>
      <c r="AZ116" s="24">
        <f>IF(H116&lt;135,H116,H116-'DPI art.191'!$I$7)</f>
        <v/>
      </c>
      <c r="BA116" s="111">
        <f>IF(O116&lt;80,"0",IF((P116-O116)&lt;=2,('DPI art.191'!$G$5-(('DPI art.191'!$F$5-'DPI art.191'!$G$5)/4)*(P116-O116-2)),('DPI art.191'!$G$5-(('DPI art.191'!$G$5-'DPI art.191'!$H$5)/8)*(P116-O116-2))))</f>
        <v/>
      </c>
      <c r="BB116" s="24">
        <f>R116-BA116</f>
        <v/>
      </c>
      <c r="BC116" s="24">
        <f>IF(N116&lt;135,N116,N116-'DPI art.191'!$I$5)</f>
        <v/>
      </c>
      <c r="BD116" s="111">
        <f>IF(O116&lt;80,"0",IF((P116-O116)&lt;=2,('DPI art.191'!$G$7-(('DPI art.191'!$F$7-'DPI art.191'!$G$7)/4)*(O116-P116-2)),('DPI art.191'!$G$7-(('DPI art.191'!$G$7-'DPI art.191'!$H$7)/8)*(P116-O116-2))))</f>
        <v/>
      </c>
      <c r="BE116" s="24">
        <f>O116-BD116</f>
        <v/>
      </c>
      <c r="BF116" s="24">
        <f>IF(N116&lt;135,N116,N116-'DPI art.191'!$I$7)</f>
        <v/>
      </c>
      <c r="BG116" s="108">
        <f>10^(0.1*R116)</f>
        <v/>
      </c>
      <c r="BH116" s="108">
        <f>10^(0.1*X116)</f>
        <v/>
      </c>
      <c r="BI116" s="108">
        <f>10^(0.1*AB116)</f>
        <v/>
      </c>
      <c r="BJ116" s="108">
        <f>10^(0.1*AF116)</f>
        <v/>
      </c>
      <c r="BK116" s="108">
        <f>10^(0.1*AJ116)</f>
        <v/>
      </c>
      <c r="BL116" s="108">
        <f>10^(0.1*AN116)</f>
        <v/>
      </c>
      <c r="BM116" s="106">
        <f>IF(R116&gt;0,(O116-R116),"")</f>
        <v/>
      </c>
      <c r="BN116" s="106">
        <f>IF(X116&gt;0,(O116-X116),"")</f>
        <v/>
      </c>
      <c r="BO116" s="106">
        <f>IF(AB116&gt;0,(O116-AB116),"")</f>
        <v/>
      </c>
      <c r="BP116" s="106">
        <f>IF(AF116&gt;0,(O116-AF116),"")</f>
        <v/>
      </c>
      <c r="BQ116" s="106">
        <f>IF(AJ116&gt;0,(O116-AJ116),"")</f>
        <v/>
      </c>
      <c r="BR116" s="106">
        <f>IF(AN116&gt;0,(O116-AN116),"")</f>
        <v/>
      </c>
      <c r="BS116" s="106">
        <f>COUNT(BM116:BR116)</f>
        <v/>
      </c>
      <c r="BT116" s="464">
        <f>IF(BS116=0,0,IF(BS116=1,0,1/(BS116*(BS116-1))))</f>
        <v/>
      </c>
      <c r="BU116" s="136">
        <f>IF(R116&gt;0,(BM116^2),"")</f>
        <v/>
      </c>
      <c r="BV116" s="136">
        <f>IF(X116&gt;0,(BN116^2),"")</f>
        <v/>
      </c>
      <c r="BW116" s="136">
        <f>IF(AB116&gt;0,(BO116^2),"")</f>
        <v/>
      </c>
      <c r="BX116" s="136">
        <f>IF(AF116&gt;0,(BP116^2),"")</f>
        <v/>
      </c>
      <c r="BY116" s="136">
        <f>IF(AJ116&gt;0,(BQ116^2),"")</f>
        <v/>
      </c>
      <c r="BZ116" s="136">
        <f>IF(AN116&gt;0,(BR116^2),"")</f>
        <v/>
      </c>
    </row>
    <row r="117" ht="18.75" customHeight="1" s="444">
      <c r="A117" s="340" t="inlineStr">
        <is>
          <t>/</t>
        </is>
      </c>
      <c r="B117" s="65">
        <f>B116+1</f>
        <v/>
      </c>
      <c r="C117" s="78" t="n"/>
      <c r="D117" s="83" t="n"/>
      <c r="E117" s="83" t="n"/>
      <c r="F117" s="329" t="n"/>
      <c r="G117" s="71" t="n">
        <v>40725</v>
      </c>
      <c r="H117" s="77" t="inlineStr">
        <is>
          <t>Compito</t>
        </is>
      </c>
      <c r="I117" s="77">
        <f>IF((V117-R117)&gt;3,"SI","")</f>
        <v/>
      </c>
      <c r="J117" s="77">
        <f>IF((U117-R117)&gt;3,"SI","")</f>
        <v/>
      </c>
      <c r="K117" s="77" t="n"/>
      <c r="L117" s="77" t="n"/>
      <c r="M117" s="137">
        <f>IF(R117&gt;0,(SQRT(BT117*(SUM(BU117:BZ117)))),"")</f>
        <v/>
      </c>
      <c r="N117" s="4">
        <f>IF(T117&gt;0,(MAX(T117,Z117,AD117,AH117,AL117,AP117))+SQRT(1.2^2+1^2),"")</f>
        <v/>
      </c>
      <c r="O117" s="3">
        <f>IF(R117="",0,10*LOG10(SUM(BG117:BL117)/(COUNT(R117,X117,AB117,AF117,AJ117,AN117))))</f>
        <v/>
      </c>
      <c r="P117" s="5">
        <f>IF(AND(Y117="",AC117="",AG117="",AK117="",AO117=""),S117,AVERAGE(S117,Y117,AC117,AG117,AK117,AO117)+STDEV(S117,Y117,AC117,AG117,AK117,AO117))</f>
        <v/>
      </c>
      <c r="Q117" s="14" t="n"/>
      <c r="R117" s="11" t="n"/>
      <c r="S117" s="12" t="n"/>
      <c r="T117" s="13" t="n"/>
      <c r="U117" s="79" t="n"/>
      <c r="V117" s="79" t="n"/>
      <c r="W117" s="10" t="n"/>
      <c r="X117" s="11" t="n"/>
      <c r="Y117" s="12" t="n"/>
      <c r="Z117" s="13" t="n"/>
      <c r="AA117" s="10" t="n"/>
      <c r="AB117" s="11" t="n"/>
      <c r="AC117" s="12" t="n"/>
      <c r="AD117" s="13" t="n"/>
      <c r="AE117" s="14" t="n"/>
      <c r="AF117" s="11" t="n"/>
      <c r="AG117" s="12" t="n"/>
      <c r="AH117" s="13" t="n"/>
      <c r="AI117" s="10" t="n"/>
      <c r="AJ117" s="11" t="n"/>
      <c r="AK117" s="12" t="n"/>
      <c r="AL117" s="13" t="n"/>
      <c r="AM117" s="10" t="n"/>
      <c r="AN117" s="11" t="n"/>
      <c r="AO117" s="12" t="n"/>
      <c r="AP117" s="13" t="n"/>
      <c r="AQ117" s="6">
        <f>IF(AND((O117)&lt;85,N117&lt;137),"NO","SI")</f>
        <v/>
      </c>
      <c r="AR117" s="7">
        <f>IF((480*(10^(7.95-(O117/10))))&lt;480,480*(10^(7.95-(O117/10))),480)</f>
        <v/>
      </c>
      <c r="AS117" s="8">
        <f>IF((480*(10^(8.45-(O117/10))))&lt;480,480*(10^(8.45-(O117/10))),480)</f>
        <v/>
      </c>
      <c r="AT117" s="9">
        <f>IF((480*(10^(8.65-(O117/10))))&lt;480,480*(10^(8.65-(O117/10))),480)</f>
        <v/>
      </c>
      <c r="AU117" s="111">
        <f>IF(O117&lt;80,"0",IF((P117-O117)&lt;=2,('DPI art.191'!$G$3-(('DPI art.191'!$F$3-'DPI art.191'!$G$3)/4)*(P117-O117-2)),('DPI art.191'!$G$3-(('DPI art.191'!$G$3-'DPI art.191'!$H$3)/8)*(P117-O117-2))))</f>
        <v/>
      </c>
      <c r="AV117" s="24">
        <f>O117-AU117</f>
        <v/>
      </c>
      <c r="AW117" s="24">
        <f>IF(N117&lt;135,N117,N117-'DPI art.191'!$I$3)</f>
        <v/>
      </c>
      <c r="AX117" s="111">
        <f>IF(I117&lt;80,"0",IF((J117-I117)&lt;=2,('DPI art.191'!$G$7-(('DPI art.191'!$F$7-'DPI art.191'!$G$7)/4)*(I117-J117-2)),('DPI art.191'!$G$7-(('DPI art.191'!$G$7-'DPI art.191'!$H$7)/8)*(J117-I117-2))))</f>
        <v/>
      </c>
      <c r="AY117" s="24">
        <f>I117-AX117</f>
        <v/>
      </c>
      <c r="AZ117" s="24">
        <f>IF(H117&lt;135,H117,H117-'DPI art.191'!$I$7)</f>
        <v/>
      </c>
      <c r="BA117" s="111">
        <f>IF(O117&lt;80,"0",IF((P117-O117)&lt;=2,('DPI art.191'!$G$5-(('DPI art.191'!$F$5-'DPI art.191'!$G$5)/4)*(P117-O117-2)),('DPI art.191'!$G$5-(('DPI art.191'!$G$5-'DPI art.191'!$H$5)/8)*(P117-O117-2))))</f>
        <v/>
      </c>
      <c r="BB117" s="24">
        <f>R117-BA117</f>
        <v/>
      </c>
      <c r="BC117" s="24">
        <f>IF(N117&lt;135,N117,N117-'DPI art.191'!$I$5)</f>
        <v/>
      </c>
      <c r="BD117" s="111">
        <f>IF(O117&lt;80,"0",IF((P117-O117)&lt;=2,('DPI art.191'!$G$7-(('DPI art.191'!$F$7-'DPI art.191'!$G$7)/4)*(O117-P117-2)),('DPI art.191'!$G$7-(('DPI art.191'!$G$7-'DPI art.191'!$H$7)/8)*(P117-O117-2))))</f>
        <v/>
      </c>
      <c r="BE117" s="24">
        <f>O117-BD117</f>
        <v/>
      </c>
      <c r="BF117" s="24">
        <f>IF(N117&lt;135,N117,N117-'DPI art.191'!$I$7)</f>
        <v/>
      </c>
      <c r="BG117" s="108">
        <f>10^(0.1*R117)</f>
        <v/>
      </c>
      <c r="BH117" s="108">
        <f>10^(0.1*X117)</f>
        <v/>
      </c>
      <c r="BI117" s="108">
        <f>10^(0.1*AB117)</f>
        <v/>
      </c>
      <c r="BJ117" s="108">
        <f>10^(0.1*AF117)</f>
        <v/>
      </c>
      <c r="BK117" s="108">
        <f>10^(0.1*AJ117)</f>
        <v/>
      </c>
      <c r="BL117" s="108">
        <f>10^(0.1*AN117)</f>
        <v/>
      </c>
      <c r="BM117" s="106">
        <f>IF(R117&gt;0,(O117-R117),"")</f>
        <v/>
      </c>
      <c r="BN117" s="106">
        <f>IF(X117&gt;0,(O117-X117),"")</f>
        <v/>
      </c>
      <c r="BO117" s="106">
        <f>IF(AB117&gt;0,(O117-AB117),"")</f>
        <v/>
      </c>
      <c r="BP117" s="106">
        <f>IF(AF117&gt;0,(O117-AF117),"")</f>
        <v/>
      </c>
      <c r="BQ117" s="106">
        <f>IF(AJ117&gt;0,(O117-AJ117),"")</f>
        <v/>
      </c>
      <c r="BR117" s="106">
        <f>IF(AN117&gt;0,(O117-AN117),"")</f>
        <v/>
      </c>
      <c r="BS117" s="106">
        <f>COUNT(BM117:BR117)</f>
        <v/>
      </c>
      <c r="BT117" s="464">
        <f>IF(BS117=0,0,IF(BS117=1,0,1/(BS117*(BS117-1))))</f>
        <v/>
      </c>
      <c r="BU117" s="136">
        <f>IF(R117&gt;0,(BM117^2),"")</f>
        <v/>
      </c>
      <c r="BV117" s="136">
        <f>IF(X117&gt;0,(BN117^2),"")</f>
        <v/>
      </c>
      <c r="BW117" s="136">
        <f>IF(AB117&gt;0,(BO117^2),"")</f>
        <v/>
      </c>
      <c r="BX117" s="136">
        <f>IF(AF117&gt;0,(BP117^2),"")</f>
        <v/>
      </c>
      <c r="BY117" s="136">
        <f>IF(AJ117&gt;0,(BQ117^2),"")</f>
        <v/>
      </c>
      <c r="BZ117" s="136">
        <f>IF(AN117&gt;0,(BR117^2),"")</f>
        <v/>
      </c>
    </row>
    <row r="118" ht="18.75" customHeight="1" s="444">
      <c r="A118" s="340" t="inlineStr">
        <is>
          <t>/</t>
        </is>
      </c>
      <c r="B118" s="65">
        <f>B117+1</f>
        <v/>
      </c>
      <c r="C118" s="78" t="n"/>
      <c r="D118" s="83" t="n"/>
      <c r="E118" s="83" t="n"/>
      <c r="F118" s="329" t="n"/>
      <c r="G118" s="71" t="n">
        <v>40725</v>
      </c>
      <c r="H118" s="77" t="inlineStr">
        <is>
          <t>Compito</t>
        </is>
      </c>
      <c r="I118" s="77">
        <f>IF((V118-R118)&gt;3,"SI","")</f>
        <v/>
      </c>
      <c r="J118" s="77">
        <f>IF((U118-R118)&gt;3,"SI","")</f>
        <v/>
      </c>
      <c r="K118" s="77" t="n"/>
      <c r="L118" s="77" t="n"/>
      <c r="M118" s="137">
        <f>IF(R118&gt;0,(SQRT(BT118*(SUM(BU118:BZ118)))),"")</f>
        <v/>
      </c>
      <c r="N118" s="4">
        <f>IF(T118&gt;0,(MAX(T118,Z118,AD118,AH118,AL118,AP118))+SQRT(1.2^2+1^2),"")</f>
        <v/>
      </c>
      <c r="O118" s="3">
        <f>IF(R118="",0,10*LOG10(SUM(BG118:BL118)/(COUNT(R118,X118,AB118,AF118,AJ118,AN118))))</f>
        <v/>
      </c>
      <c r="P118" s="5">
        <f>IF(AND(Y118="",AC118="",AG118="",AK118="",AO118=""),S118,AVERAGE(S118,Y118,AC118,AG118,AK118,AO118)+STDEV(S118,Y118,AC118,AG118,AK118,AO118))</f>
        <v/>
      </c>
      <c r="Q118" s="14" t="n"/>
      <c r="R118" s="11" t="n"/>
      <c r="S118" s="12" t="n"/>
      <c r="T118" s="13" t="n"/>
      <c r="U118" s="79" t="n"/>
      <c r="V118" s="79" t="n"/>
      <c r="W118" s="10" t="n"/>
      <c r="X118" s="11" t="n"/>
      <c r="Y118" s="12" t="n"/>
      <c r="Z118" s="13" t="n"/>
      <c r="AA118" s="10" t="n"/>
      <c r="AB118" s="11" t="n"/>
      <c r="AC118" s="12" t="n"/>
      <c r="AD118" s="13" t="n"/>
      <c r="AE118" s="14" t="n"/>
      <c r="AF118" s="11" t="n"/>
      <c r="AG118" s="12" t="n"/>
      <c r="AH118" s="13" t="n"/>
      <c r="AI118" s="10" t="n"/>
      <c r="AJ118" s="11" t="n"/>
      <c r="AK118" s="12" t="n"/>
      <c r="AL118" s="13" t="n"/>
      <c r="AM118" s="10" t="n"/>
      <c r="AN118" s="11" t="n"/>
      <c r="AO118" s="12" t="n"/>
      <c r="AP118" s="13" t="n"/>
      <c r="AQ118" s="6">
        <f>IF(AND((O118)&lt;85,N118&lt;137),"NO","SI")</f>
        <v/>
      </c>
      <c r="AR118" s="7">
        <f>IF((480*(10^(7.95-(O118/10))))&lt;480,480*(10^(7.95-(O118/10))),480)</f>
        <v/>
      </c>
      <c r="AS118" s="8">
        <f>IF((480*(10^(8.45-(O118/10))))&lt;480,480*(10^(8.45-(O118/10))),480)</f>
        <v/>
      </c>
      <c r="AT118" s="9">
        <f>IF((480*(10^(8.65-(O118/10))))&lt;480,480*(10^(8.65-(O118/10))),480)</f>
        <v/>
      </c>
      <c r="AU118" s="111">
        <f>IF(O118&lt;80,"0",IF((P118-O118)&lt;=2,('DPI art.191'!$G$3-(('DPI art.191'!$F$3-'DPI art.191'!$G$3)/4)*(P118-O118-2)),('DPI art.191'!$G$3-(('DPI art.191'!$G$3-'DPI art.191'!$H$3)/8)*(P118-O118-2))))</f>
        <v/>
      </c>
      <c r="AV118" s="24">
        <f>O118-AU118</f>
        <v/>
      </c>
      <c r="AW118" s="24">
        <f>IF(N118&lt;135,N118,N118-'DPI art.191'!$I$3)</f>
        <v/>
      </c>
      <c r="AX118" s="111">
        <f>IF(I118&lt;80,"0",IF((J118-I118)&lt;=2,('DPI art.191'!$G$7-(('DPI art.191'!$F$7-'DPI art.191'!$G$7)/4)*(I118-J118-2)),('DPI art.191'!$G$7-(('DPI art.191'!$G$7-'DPI art.191'!$H$7)/8)*(J118-I118-2))))</f>
        <v/>
      </c>
      <c r="AY118" s="24">
        <f>I118-AX118</f>
        <v/>
      </c>
      <c r="AZ118" s="24">
        <f>IF(H118&lt;135,H118,H118-'DPI art.191'!$I$7)</f>
        <v/>
      </c>
      <c r="BA118" s="111">
        <f>IF(O118&lt;80,"0",IF((P118-O118)&lt;=2,('DPI art.191'!$G$5-(('DPI art.191'!$F$5-'DPI art.191'!$G$5)/4)*(P118-O118-2)),('DPI art.191'!$G$5-(('DPI art.191'!$G$5-'DPI art.191'!$H$5)/8)*(P118-O118-2))))</f>
        <v/>
      </c>
      <c r="BB118" s="24">
        <f>R118-BA118</f>
        <v/>
      </c>
      <c r="BC118" s="24">
        <f>IF(N118&lt;135,N118,N118-'DPI art.191'!$I$5)</f>
        <v/>
      </c>
      <c r="BD118" s="111">
        <f>IF(O118&lt;80,"0",IF((P118-O118)&lt;=2,('DPI art.191'!$G$7-(('DPI art.191'!$F$7-'DPI art.191'!$G$7)/4)*(O118-P118-2)),('DPI art.191'!$G$7-(('DPI art.191'!$G$7-'DPI art.191'!$H$7)/8)*(P118-O118-2))))</f>
        <v/>
      </c>
      <c r="BE118" s="24">
        <f>O118-BD118</f>
        <v/>
      </c>
      <c r="BF118" s="24">
        <f>IF(N118&lt;135,N118,N118-'DPI art.191'!$I$7)</f>
        <v/>
      </c>
      <c r="BG118" s="108">
        <f>10^(0.1*R118)</f>
        <v/>
      </c>
      <c r="BH118" s="108">
        <f>10^(0.1*X118)</f>
        <v/>
      </c>
      <c r="BI118" s="108">
        <f>10^(0.1*AB118)</f>
        <v/>
      </c>
      <c r="BJ118" s="108">
        <f>10^(0.1*AF118)</f>
        <v/>
      </c>
      <c r="BK118" s="108">
        <f>10^(0.1*AJ118)</f>
        <v/>
      </c>
      <c r="BL118" s="108">
        <f>10^(0.1*AN118)</f>
        <v/>
      </c>
      <c r="BM118" s="106">
        <f>IF(R118&gt;0,(O118-R118),"")</f>
        <v/>
      </c>
      <c r="BN118" s="106">
        <f>IF(X118&gt;0,(O118-X118),"")</f>
        <v/>
      </c>
      <c r="BO118" s="106">
        <f>IF(AB118&gt;0,(O118-AB118),"")</f>
        <v/>
      </c>
      <c r="BP118" s="106">
        <f>IF(AF118&gt;0,(O118-AF118),"")</f>
        <v/>
      </c>
      <c r="BQ118" s="106">
        <f>IF(AJ118&gt;0,(O118-AJ118),"")</f>
        <v/>
      </c>
      <c r="BR118" s="106">
        <f>IF(AN118&gt;0,(O118-AN118),"")</f>
        <v/>
      </c>
      <c r="BS118" s="106">
        <f>COUNT(BM118:BR118)</f>
        <v/>
      </c>
      <c r="BT118" s="464">
        <f>IF(BS118=0,0,IF(BS118=1,0,1/(BS118*(BS118-1))))</f>
        <v/>
      </c>
      <c r="BU118" s="136">
        <f>IF(R118&gt;0,(BM118^2),"")</f>
        <v/>
      </c>
      <c r="BV118" s="136">
        <f>IF(X118&gt;0,(BN118^2),"")</f>
        <v/>
      </c>
      <c r="BW118" s="136">
        <f>IF(AB118&gt;0,(BO118^2),"")</f>
        <v/>
      </c>
      <c r="BX118" s="136">
        <f>IF(AF118&gt;0,(BP118^2),"")</f>
        <v/>
      </c>
      <c r="BY118" s="136">
        <f>IF(AJ118&gt;0,(BQ118^2),"")</f>
        <v/>
      </c>
      <c r="BZ118" s="136">
        <f>IF(AN118&gt;0,(BR118^2),"")</f>
        <v/>
      </c>
    </row>
    <row r="119" ht="18.75" customHeight="1" s="444">
      <c r="A119" s="340" t="inlineStr">
        <is>
          <t>/</t>
        </is>
      </c>
      <c r="B119" s="65">
        <f>B118+1</f>
        <v/>
      </c>
      <c r="C119" s="78" t="n"/>
      <c r="D119" s="83" t="n"/>
      <c r="E119" s="83" t="n"/>
      <c r="F119" s="329" t="n"/>
      <c r="G119" s="71" t="n">
        <v>40725</v>
      </c>
      <c r="H119" s="77" t="inlineStr">
        <is>
          <t>Compito</t>
        </is>
      </c>
      <c r="I119" s="77">
        <f>IF((V119-R119)&gt;3,"SI","")</f>
        <v/>
      </c>
      <c r="J119" s="77">
        <f>IF((U119-R119)&gt;3,"SI","")</f>
        <v/>
      </c>
      <c r="K119" s="77" t="n"/>
      <c r="L119" s="77" t="n"/>
      <c r="M119" s="137">
        <f>IF(R119&gt;0,(SQRT(BT119*(SUM(BU119:BZ119)))),"")</f>
        <v/>
      </c>
      <c r="N119" s="4">
        <f>IF(T119&gt;0,(MAX(T119,Z119,AD119,AH119,AL119,AP119))+SQRT(1.2^2+1^2),"")</f>
        <v/>
      </c>
      <c r="O119" s="3">
        <f>IF(R119="",0,10*LOG10(SUM(BG119:BL119)/(COUNT(R119,X119,AB119,AF119,AJ119,AN119))))</f>
        <v/>
      </c>
      <c r="P119" s="5">
        <f>IF(AND(Y119="",AC119="",AG119="",AK119="",AO119=""),S119,AVERAGE(S119,Y119,AC119,AG119,AK119,AO119)+STDEV(S119,Y119,AC119,AG119,AK119,AO119))</f>
        <v/>
      </c>
      <c r="Q119" s="14" t="n"/>
      <c r="R119" s="11" t="n"/>
      <c r="S119" s="12" t="n"/>
      <c r="T119" s="13" t="n"/>
      <c r="U119" s="79" t="n"/>
      <c r="V119" s="79" t="n"/>
      <c r="W119" s="10" t="n"/>
      <c r="X119" s="11" t="n"/>
      <c r="Y119" s="12" t="n"/>
      <c r="Z119" s="13" t="n"/>
      <c r="AA119" s="10" t="n"/>
      <c r="AB119" s="11" t="n"/>
      <c r="AC119" s="12" t="n"/>
      <c r="AD119" s="13" t="n"/>
      <c r="AE119" s="14" t="n"/>
      <c r="AF119" s="11" t="n"/>
      <c r="AG119" s="12" t="n"/>
      <c r="AH119" s="13" t="n"/>
      <c r="AI119" s="10" t="n"/>
      <c r="AJ119" s="11" t="n"/>
      <c r="AK119" s="12" t="n"/>
      <c r="AL119" s="13" t="n"/>
      <c r="AM119" s="10" t="n"/>
      <c r="AN119" s="11" t="n"/>
      <c r="AO119" s="12" t="n"/>
      <c r="AP119" s="13" t="n"/>
      <c r="AQ119" s="6">
        <f>IF(AND((O119)&lt;85,N119&lt;137),"NO","SI")</f>
        <v/>
      </c>
      <c r="AR119" s="7">
        <f>IF((480*(10^(7.95-(O119/10))))&lt;480,480*(10^(7.95-(O119/10))),480)</f>
        <v/>
      </c>
      <c r="AS119" s="8">
        <f>IF((480*(10^(8.45-(O119/10))))&lt;480,480*(10^(8.45-(O119/10))),480)</f>
        <v/>
      </c>
      <c r="AT119" s="9">
        <f>IF((480*(10^(8.65-(O119/10))))&lt;480,480*(10^(8.65-(O119/10))),480)</f>
        <v/>
      </c>
      <c r="AU119" s="111">
        <f>IF(O119&lt;80,"0",IF((P119-O119)&lt;=2,('DPI art.191'!$G$3-(('DPI art.191'!$F$3-'DPI art.191'!$G$3)/4)*(P119-O119-2)),('DPI art.191'!$G$3-(('DPI art.191'!$G$3-'DPI art.191'!$H$3)/8)*(P119-O119-2))))</f>
        <v/>
      </c>
      <c r="AV119" s="24">
        <f>O119-AU119</f>
        <v/>
      </c>
      <c r="AW119" s="24">
        <f>IF(N119&lt;135,N119,N119-'DPI art.191'!$I$3)</f>
        <v/>
      </c>
      <c r="AX119" s="111">
        <f>IF(I119&lt;80,"0",IF((J119-I119)&lt;=2,('DPI art.191'!$G$7-(('DPI art.191'!$F$7-'DPI art.191'!$G$7)/4)*(I119-J119-2)),('DPI art.191'!$G$7-(('DPI art.191'!$G$7-'DPI art.191'!$H$7)/8)*(J119-I119-2))))</f>
        <v/>
      </c>
      <c r="AY119" s="24">
        <f>I119-AX119</f>
        <v/>
      </c>
      <c r="AZ119" s="24">
        <f>IF(H119&lt;135,H119,H119-'DPI art.191'!$I$7)</f>
        <v/>
      </c>
      <c r="BA119" s="111">
        <f>IF(O119&lt;80,"0",IF((P119-O119)&lt;=2,('DPI art.191'!$G$5-(('DPI art.191'!$F$5-'DPI art.191'!$G$5)/4)*(P119-O119-2)),('DPI art.191'!$G$5-(('DPI art.191'!$G$5-'DPI art.191'!$H$5)/8)*(P119-O119-2))))</f>
        <v/>
      </c>
      <c r="BB119" s="24">
        <f>R119-BA119</f>
        <v/>
      </c>
      <c r="BC119" s="24">
        <f>IF(N119&lt;135,N119,N119-'DPI art.191'!$I$5)</f>
        <v/>
      </c>
      <c r="BD119" s="111">
        <f>IF(O119&lt;80,"0",IF((P119-O119)&lt;=2,('DPI art.191'!$G$7-(('DPI art.191'!$F$7-'DPI art.191'!$G$7)/4)*(O119-P119-2)),('DPI art.191'!$G$7-(('DPI art.191'!$G$7-'DPI art.191'!$H$7)/8)*(P119-O119-2))))</f>
        <v/>
      </c>
      <c r="BE119" s="24">
        <f>O119-BD119</f>
        <v/>
      </c>
      <c r="BF119" s="24">
        <f>IF(N119&lt;135,N119,N119-'DPI art.191'!$I$7)</f>
        <v/>
      </c>
      <c r="BG119" s="108">
        <f>10^(0.1*R119)</f>
        <v/>
      </c>
      <c r="BH119" s="108">
        <f>10^(0.1*X119)</f>
        <v/>
      </c>
      <c r="BI119" s="108">
        <f>10^(0.1*AB119)</f>
        <v/>
      </c>
      <c r="BJ119" s="108">
        <f>10^(0.1*AF119)</f>
        <v/>
      </c>
      <c r="BK119" s="108">
        <f>10^(0.1*AJ119)</f>
        <v/>
      </c>
      <c r="BL119" s="108">
        <f>10^(0.1*AN119)</f>
        <v/>
      </c>
      <c r="BM119" s="106">
        <f>IF(R119&gt;0,(O119-R119),"")</f>
        <v/>
      </c>
      <c r="BN119" s="106">
        <f>IF(X119&gt;0,(O119-X119),"")</f>
        <v/>
      </c>
      <c r="BO119" s="106">
        <f>IF(AB119&gt;0,(O119-AB119),"")</f>
        <v/>
      </c>
      <c r="BP119" s="106">
        <f>IF(AF119&gt;0,(O119-AF119),"")</f>
        <v/>
      </c>
      <c r="BQ119" s="106">
        <f>IF(AJ119&gt;0,(O119-AJ119),"")</f>
        <v/>
      </c>
      <c r="BR119" s="106">
        <f>IF(AN119&gt;0,(O119-AN119),"")</f>
        <v/>
      </c>
      <c r="BS119" s="106">
        <f>COUNT(BM119:BR119)</f>
        <v/>
      </c>
      <c r="BT119" s="464">
        <f>IF(BS119=0,0,IF(BS119=1,0,1/(BS119*(BS119-1))))</f>
        <v/>
      </c>
      <c r="BU119" s="136">
        <f>IF(R119&gt;0,(BM119^2),"")</f>
        <v/>
      </c>
      <c r="BV119" s="136">
        <f>IF(X119&gt;0,(BN119^2),"")</f>
        <v/>
      </c>
      <c r="BW119" s="136">
        <f>IF(AB119&gt;0,(BO119^2),"")</f>
        <v/>
      </c>
      <c r="BX119" s="136">
        <f>IF(AF119&gt;0,(BP119^2),"")</f>
        <v/>
      </c>
      <c r="BY119" s="136">
        <f>IF(AJ119&gt;0,(BQ119^2),"")</f>
        <v/>
      </c>
      <c r="BZ119" s="136">
        <f>IF(AN119&gt;0,(BR119^2),"")</f>
        <v/>
      </c>
    </row>
    <row r="120" ht="18.75" customHeight="1" s="444">
      <c r="A120" s="340" t="inlineStr">
        <is>
          <t>/</t>
        </is>
      </c>
      <c r="B120" s="65">
        <f>B119+1</f>
        <v/>
      </c>
      <c r="C120" s="78" t="n"/>
      <c r="D120" s="83" t="n"/>
      <c r="E120" s="83" t="n"/>
      <c r="F120" s="329" t="n"/>
      <c r="G120" s="71" t="n">
        <v>40725</v>
      </c>
      <c r="H120" s="77" t="inlineStr">
        <is>
          <t>Compito</t>
        </is>
      </c>
      <c r="I120" s="77">
        <f>IF((V120-R120)&gt;3,"SI","")</f>
        <v/>
      </c>
      <c r="J120" s="77">
        <f>IF((U120-R120)&gt;3,"SI","")</f>
        <v/>
      </c>
      <c r="K120" s="77" t="n"/>
      <c r="L120" s="77" t="n"/>
      <c r="M120" s="137">
        <f>IF(R120&gt;0,(SQRT(BT120*(SUM(BU120:BZ120)))),"")</f>
        <v/>
      </c>
      <c r="N120" s="4">
        <f>IF(T120&gt;0,(MAX(T120,Z120,AD120,AH120,AL120,AP120))+SQRT(1.2^2+1^2),"")</f>
        <v/>
      </c>
      <c r="O120" s="3">
        <f>IF(R120="",0,10*LOG10(SUM(BG120:BL120)/(COUNT(R120,X120,AB120,AF120,AJ120,AN120))))</f>
        <v/>
      </c>
      <c r="P120" s="5">
        <f>IF(AND(Y120="",AC120="",AG120="",AK120="",AO120=""),S120,AVERAGE(S120,Y120,AC120,AG120,AK120,AO120)+STDEV(S120,Y120,AC120,AG120,AK120,AO120))</f>
        <v/>
      </c>
      <c r="Q120" s="14" t="n"/>
      <c r="R120" s="11" t="n"/>
      <c r="S120" s="12" t="n"/>
      <c r="T120" s="13" t="n"/>
      <c r="U120" s="79" t="n"/>
      <c r="V120" s="79" t="n"/>
      <c r="W120" s="10" t="n"/>
      <c r="X120" s="11" t="n"/>
      <c r="Y120" s="12" t="n"/>
      <c r="Z120" s="13" t="n"/>
      <c r="AA120" s="10" t="n"/>
      <c r="AB120" s="11" t="n"/>
      <c r="AC120" s="12" t="n"/>
      <c r="AD120" s="13" t="n"/>
      <c r="AE120" s="14" t="n"/>
      <c r="AF120" s="11" t="n"/>
      <c r="AG120" s="12" t="n"/>
      <c r="AH120" s="13" t="n"/>
      <c r="AI120" s="10" t="n"/>
      <c r="AJ120" s="11" t="n"/>
      <c r="AK120" s="12" t="n"/>
      <c r="AL120" s="13" t="n"/>
      <c r="AM120" s="10" t="n"/>
      <c r="AN120" s="11" t="n"/>
      <c r="AO120" s="12" t="n"/>
      <c r="AP120" s="13" t="n"/>
      <c r="AQ120" s="6">
        <f>IF(AND((O120)&lt;85,N120&lt;137),"NO","SI")</f>
        <v/>
      </c>
      <c r="AR120" s="7">
        <f>IF((480*(10^(7.95-(O120/10))))&lt;480,480*(10^(7.95-(O120/10))),480)</f>
        <v/>
      </c>
      <c r="AS120" s="8">
        <f>IF((480*(10^(8.45-(O120/10))))&lt;480,480*(10^(8.45-(O120/10))),480)</f>
        <v/>
      </c>
      <c r="AT120" s="9">
        <f>IF((480*(10^(8.65-(O120/10))))&lt;480,480*(10^(8.65-(O120/10))),480)</f>
        <v/>
      </c>
      <c r="AU120" s="111">
        <f>IF(O120&lt;80,"0",IF((P120-O120)&lt;=2,('DPI art.191'!$G$3-(('DPI art.191'!$F$3-'DPI art.191'!$G$3)/4)*(P120-O120-2)),('DPI art.191'!$G$3-(('DPI art.191'!$G$3-'DPI art.191'!$H$3)/8)*(P120-O120-2))))</f>
        <v/>
      </c>
      <c r="AV120" s="24">
        <f>O120-AU120</f>
        <v/>
      </c>
      <c r="AW120" s="24">
        <f>IF(N120&lt;135,N120,N120-'DPI art.191'!$I$3)</f>
        <v/>
      </c>
      <c r="AX120" s="111">
        <f>IF(I120&lt;80,"0",IF((J120-I120)&lt;=2,('DPI art.191'!$G$7-(('DPI art.191'!$F$7-'DPI art.191'!$G$7)/4)*(I120-J120-2)),('DPI art.191'!$G$7-(('DPI art.191'!$G$7-'DPI art.191'!$H$7)/8)*(J120-I120-2))))</f>
        <v/>
      </c>
      <c r="AY120" s="24">
        <f>I120-AX120</f>
        <v/>
      </c>
      <c r="AZ120" s="24">
        <f>IF(H120&lt;135,H120,H120-'DPI art.191'!$I$7)</f>
        <v/>
      </c>
      <c r="BA120" s="111">
        <f>IF(O120&lt;80,"0",IF((P120-O120)&lt;=2,('DPI art.191'!$G$5-(('DPI art.191'!$F$5-'DPI art.191'!$G$5)/4)*(P120-O120-2)),('DPI art.191'!$G$5-(('DPI art.191'!$G$5-'DPI art.191'!$H$5)/8)*(P120-O120-2))))</f>
        <v/>
      </c>
      <c r="BB120" s="24">
        <f>R120-BA120</f>
        <v/>
      </c>
      <c r="BC120" s="24">
        <f>IF(N120&lt;135,N120,N120-'DPI art.191'!$I$5)</f>
        <v/>
      </c>
      <c r="BD120" s="111">
        <f>IF(O120&lt;80,"0",IF((P120-O120)&lt;=2,('DPI art.191'!$G$7-(('DPI art.191'!$F$7-'DPI art.191'!$G$7)/4)*(O120-P120-2)),('DPI art.191'!$G$7-(('DPI art.191'!$G$7-'DPI art.191'!$H$7)/8)*(P120-O120-2))))</f>
        <v/>
      </c>
      <c r="BE120" s="24">
        <f>O120-BD120</f>
        <v/>
      </c>
      <c r="BF120" s="24">
        <f>IF(N120&lt;135,N120,N120-'DPI art.191'!$I$7)</f>
        <v/>
      </c>
      <c r="BG120" s="108">
        <f>10^(0.1*R120)</f>
        <v/>
      </c>
      <c r="BH120" s="108">
        <f>10^(0.1*X120)</f>
        <v/>
      </c>
      <c r="BI120" s="108">
        <f>10^(0.1*AB120)</f>
        <v/>
      </c>
      <c r="BJ120" s="108">
        <f>10^(0.1*AF120)</f>
        <v/>
      </c>
      <c r="BK120" s="108">
        <f>10^(0.1*AJ120)</f>
        <v/>
      </c>
      <c r="BL120" s="108">
        <f>10^(0.1*AN120)</f>
        <v/>
      </c>
      <c r="BM120" s="106">
        <f>IF(R120&gt;0,(O120-R120),"")</f>
        <v/>
      </c>
      <c r="BN120" s="106">
        <f>IF(X120&gt;0,(O120-X120),"")</f>
        <v/>
      </c>
      <c r="BO120" s="106">
        <f>IF(AB120&gt;0,(O120-AB120),"")</f>
        <v/>
      </c>
      <c r="BP120" s="106">
        <f>IF(AF120&gt;0,(O120-AF120),"")</f>
        <v/>
      </c>
      <c r="BQ120" s="106">
        <f>IF(AJ120&gt;0,(O120-AJ120),"")</f>
        <v/>
      </c>
      <c r="BR120" s="106">
        <f>IF(AN120&gt;0,(O120-AN120),"")</f>
        <v/>
      </c>
      <c r="BS120" s="106">
        <f>COUNT(BM120:BR120)</f>
        <v/>
      </c>
      <c r="BT120" s="464">
        <f>IF(BS120=0,0,IF(BS120=1,0,1/(BS120*(BS120-1))))</f>
        <v/>
      </c>
      <c r="BU120" s="136">
        <f>IF(R120&gt;0,(BM120^2),"")</f>
        <v/>
      </c>
      <c r="BV120" s="136">
        <f>IF(X120&gt;0,(BN120^2),"")</f>
        <v/>
      </c>
      <c r="BW120" s="136">
        <f>IF(AB120&gt;0,(BO120^2),"")</f>
        <v/>
      </c>
      <c r="BX120" s="136">
        <f>IF(AF120&gt;0,(BP120^2),"")</f>
        <v/>
      </c>
      <c r="BY120" s="136">
        <f>IF(AJ120&gt;0,(BQ120^2),"")</f>
        <v/>
      </c>
      <c r="BZ120" s="136">
        <f>IF(AN120&gt;0,(BR120^2),"")</f>
        <v/>
      </c>
    </row>
    <row r="121" ht="18.75" customHeight="1" s="444">
      <c r="A121" s="340" t="inlineStr">
        <is>
          <t>/</t>
        </is>
      </c>
      <c r="B121" s="65">
        <f>B120+1</f>
        <v/>
      </c>
      <c r="C121" s="78" t="n"/>
      <c r="D121" s="83" t="n"/>
      <c r="E121" s="83" t="n"/>
      <c r="F121" s="329" t="n"/>
      <c r="G121" s="71" t="n">
        <v>40725</v>
      </c>
      <c r="H121" s="77" t="inlineStr">
        <is>
          <t>Compito</t>
        </is>
      </c>
      <c r="I121" s="77">
        <f>IF((V121-R121)&gt;3,"SI","")</f>
        <v/>
      </c>
      <c r="J121" s="77">
        <f>IF((U121-R121)&gt;3,"SI","")</f>
        <v/>
      </c>
      <c r="K121" s="77" t="n"/>
      <c r="L121" s="77" t="n"/>
      <c r="M121" s="137">
        <f>IF(R121&gt;0,(SQRT(BT121*(SUM(BU121:BZ121)))),"")</f>
        <v/>
      </c>
      <c r="N121" s="4">
        <f>IF(T121&gt;0,(MAX(T121,Z121,AD121,AH121,AL121,AP121))+SQRT(1.2^2+1^2),"")</f>
        <v/>
      </c>
      <c r="O121" s="3">
        <f>IF(R121="",0,10*LOG10(SUM(BG121:BL121)/(COUNT(R121,X121,AB121,AF121,AJ121,AN121))))</f>
        <v/>
      </c>
      <c r="P121" s="5">
        <f>IF(AND(Y121="",AC121="",AG121="",AK121="",AO121=""),S121,AVERAGE(S121,Y121,AC121,AG121,AK121,AO121)+STDEV(S121,Y121,AC121,AG121,AK121,AO121))</f>
        <v/>
      </c>
      <c r="Q121" s="14" t="n"/>
      <c r="R121" s="11" t="n"/>
      <c r="S121" s="12" t="n"/>
      <c r="T121" s="13" t="n"/>
      <c r="U121" s="79" t="n"/>
      <c r="V121" s="79" t="n"/>
      <c r="W121" s="10" t="n"/>
      <c r="X121" s="11" t="n"/>
      <c r="Y121" s="12" t="n"/>
      <c r="Z121" s="13" t="n"/>
      <c r="AA121" s="10" t="n"/>
      <c r="AB121" s="11" t="n"/>
      <c r="AC121" s="12" t="n"/>
      <c r="AD121" s="13" t="n"/>
      <c r="AE121" s="14" t="n"/>
      <c r="AF121" s="11" t="n"/>
      <c r="AG121" s="12" t="n"/>
      <c r="AH121" s="13" t="n"/>
      <c r="AI121" s="10" t="n"/>
      <c r="AJ121" s="11" t="n"/>
      <c r="AK121" s="12" t="n"/>
      <c r="AL121" s="13" t="n"/>
      <c r="AM121" s="10" t="n"/>
      <c r="AN121" s="11" t="n"/>
      <c r="AO121" s="12" t="n"/>
      <c r="AP121" s="13" t="n"/>
      <c r="AQ121" s="6">
        <f>IF(AND((O121)&lt;85,N121&lt;137),"NO","SI")</f>
        <v/>
      </c>
      <c r="AR121" s="7">
        <f>IF((480*(10^(7.95-(O121/10))))&lt;480,480*(10^(7.95-(O121/10))),480)</f>
        <v/>
      </c>
      <c r="AS121" s="8">
        <f>IF((480*(10^(8.45-(O121/10))))&lt;480,480*(10^(8.45-(O121/10))),480)</f>
        <v/>
      </c>
      <c r="AT121" s="9">
        <f>IF((480*(10^(8.65-(O121/10))))&lt;480,480*(10^(8.65-(O121/10))),480)</f>
        <v/>
      </c>
      <c r="AU121" s="111">
        <f>IF(O121&lt;80,"0",IF((P121-O121)&lt;=2,('DPI art.191'!$G$3-(('DPI art.191'!$F$3-'DPI art.191'!$G$3)/4)*(P121-O121-2)),('DPI art.191'!$G$3-(('DPI art.191'!$G$3-'DPI art.191'!$H$3)/8)*(P121-O121-2))))</f>
        <v/>
      </c>
      <c r="AV121" s="24">
        <f>O121-AU121</f>
        <v/>
      </c>
      <c r="AW121" s="24">
        <f>IF(N121&lt;135,N121,N121-'DPI art.191'!$I$3)</f>
        <v/>
      </c>
      <c r="AX121" s="111">
        <f>IF(I121&lt;80,"0",IF((J121-I121)&lt;=2,('DPI art.191'!$G$7-(('DPI art.191'!$F$7-'DPI art.191'!$G$7)/4)*(I121-J121-2)),('DPI art.191'!$G$7-(('DPI art.191'!$G$7-'DPI art.191'!$H$7)/8)*(J121-I121-2))))</f>
        <v/>
      </c>
      <c r="AY121" s="24">
        <f>I121-AX121</f>
        <v/>
      </c>
      <c r="AZ121" s="24">
        <f>IF(H121&lt;135,H121,H121-'DPI art.191'!$I$7)</f>
        <v/>
      </c>
      <c r="BA121" s="111">
        <f>IF(O121&lt;80,"0",IF((P121-O121)&lt;=2,('DPI art.191'!$G$5-(('DPI art.191'!$F$5-'DPI art.191'!$G$5)/4)*(P121-O121-2)),('DPI art.191'!$G$5-(('DPI art.191'!$G$5-'DPI art.191'!$H$5)/8)*(P121-O121-2))))</f>
        <v/>
      </c>
      <c r="BB121" s="24">
        <f>R121-BA121</f>
        <v/>
      </c>
      <c r="BC121" s="24">
        <f>IF(N121&lt;135,N121,N121-'DPI art.191'!$I$5)</f>
        <v/>
      </c>
      <c r="BD121" s="111">
        <f>IF(O121&lt;80,"0",IF((P121-O121)&lt;=2,('DPI art.191'!$G$7-(('DPI art.191'!$F$7-'DPI art.191'!$G$7)/4)*(O121-P121-2)),('DPI art.191'!$G$7-(('DPI art.191'!$G$7-'DPI art.191'!$H$7)/8)*(P121-O121-2))))</f>
        <v/>
      </c>
      <c r="BE121" s="24">
        <f>O121-BD121</f>
        <v/>
      </c>
      <c r="BF121" s="24">
        <f>IF(N121&lt;135,N121,N121-'DPI art.191'!$I$7)</f>
        <v/>
      </c>
      <c r="BG121" s="108">
        <f>10^(0.1*R121)</f>
        <v/>
      </c>
      <c r="BH121" s="108">
        <f>10^(0.1*X121)</f>
        <v/>
      </c>
      <c r="BI121" s="108">
        <f>10^(0.1*AB121)</f>
        <v/>
      </c>
      <c r="BJ121" s="108">
        <f>10^(0.1*AF121)</f>
        <v/>
      </c>
      <c r="BK121" s="108">
        <f>10^(0.1*AJ121)</f>
        <v/>
      </c>
      <c r="BL121" s="108">
        <f>10^(0.1*AN121)</f>
        <v/>
      </c>
      <c r="BM121" s="106">
        <f>IF(R121&gt;0,(O121-R121),"")</f>
        <v/>
      </c>
      <c r="BN121" s="106">
        <f>IF(X121&gt;0,(O121-X121),"")</f>
        <v/>
      </c>
      <c r="BO121" s="106">
        <f>IF(AB121&gt;0,(O121-AB121),"")</f>
        <v/>
      </c>
      <c r="BP121" s="106">
        <f>IF(AF121&gt;0,(O121-AF121),"")</f>
        <v/>
      </c>
      <c r="BQ121" s="106">
        <f>IF(AJ121&gt;0,(O121-AJ121),"")</f>
        <v/>
      </c>
      <c r="BR121" s="106">
        <f>IF(AN121&gt;0,(O121-AN121),"")</f>
        <v/>
      </c>
      <c r="BS121" s="106">
        <f>COUNT(BM121:BR121)</f>
        <v/>
      </c>
      <c r="BT121" s="464">
        <f>IF(BS121=0,0,IF(BS121=1,0,1/(BS121*(BS121-1))))</f>
        <v/>
      </c>
      <c r="BU121" s="136">
        <f>IF(R121&gt;0,(BM121^2),"")</f>
        <v/>
      </c>
      <c r="BV121" s="136">
        <f>IF(X121&gt;0,(BN121^2),"")</f>
        <v/>
      </c>
      <c r="BW121" s="136">
        <f>IF(AB121&gt;0,(BO121^2),"")</f>
        <v/>
      </c>
      <c r="BX121" s="136">
        <f>IF(AF121&gt;0,(BP121^2),"")</f>
        <v/>
      </c>
      <c r="BY121" s="136">
        <f>IF(AJ121&gt;0,(BQ121^2),"")</f>
        <v/>
      </c>
      <c r="BZ121" s="136">
        <f>IF(AN121&gt;0,(BR121^2),"")</f>
        <v/>
      </c>
    </row>
    <row r="122" ht="18.75" customHeight="1" s="444">
      <c r="A122" s="340" t="inlineStr">
        <is>
          <t>/</t>
        </is>
      </c>
      <c r="B122" s="65">
        <f>B121+1</f>
        <v/>
      </c>
      <c r="C122" s="78" t="n"/>
      <c r="D122" s="83" t="n"/>
      <c r="E122" s="83" t="n"/>
      <c r="F122" s="329" t="n"/>
      <c r="G122" s="71" t="n">
        <v>40725</v>
      </c>
      <c r="H122" s="77" t="inlineStr">
        <is>
          <t>Compito</t>
        </is>
      </c>
      <c r="I122" s="77">
        <f>IF((V122-R122)&gt;3,"SI","")</f>
        <v/>
      </c>
      <c r="J122" s="77">
        <f>IF((U122-R122)&gt;3,"SI","")</f>
        <v/>
      </c>
      <c r="K122" s="77" t="n"/>
      <c r="L122" s="77" t="n"/>
      <c r="M122" s="137">
        <f>IF(R122&gt;0,(SQRT(BT122*(SUM(BU122:BZ122)))),"")</f>
        <v/>
      </c>
      <c r="N122" s="4">
        <f>IF(T122&gt;0,(MAX(T122,Z122,AD122,AH122,AL122,AP122))+SQRT(1.2^2+1^2),"")</f>
        <v/>
      </c>
      <c r="O122" s="3">
        <f>IF(R122="",0,10*LOG10(SUM(BG122:BL122)/(COUNT(R122,X122,AB122,AF122,AJ122,AN122))))</f>
        <v/>
      </c>
      <c r="P122" s="5">
        <f>IF(AND(Y122="",AC122="",AG122="",AK122="",AO122=""),S122,AVERAGE(S122,Y122,AC122,AG122,AK122,AO122)+STDEV(S122,Y122,AC122,AG122,AK122,AO122))</f>
        <v/>
      </c>
      <c r="Q122" s="14" t="n"/>
      <c r="R122" s="11" t="n"/>
      <c r="S122" s="12" t="n"/>
      <c r="T122" s="13" t="n"/>
      <c r="U122" s="79" t="n"/>
      <c r="V122" s="79" t="n"/>
      <c r="W122" s="10" t="n"/>
      <c r="X122" s="11" t="n"/>
      <c r="Y122" s="12" t="n"/>
      <c r="Z122" s="13" t="n"/>
      <c r="AA122" s="10" t="n"/>
      <c r="AB122" s="11" t="n"/>
      <c r="AC122" s="12" t="n"/>
      <c r="AD122" s="13" t="n"/>
      <c r="AE122" s="14" t="n"/>
      <c r="AF122" s="11" t="n"/>
      <c r="AG122" s="12" t="n"/>
      <c r="AH122" s="13" t="n"/>
      <c r="AI122" s="10" t="n"/>
      <c r="AJ122" s="11" t="n"/>
      <c r="AK122" s="12" t="n"/>
      <c r="AL122" s="13" t="n"/>
      <c r="AM122" s="10" t="n"/>
      <c r="AN122" s="11" t="n"/>
      <c r="AO122" s="12" t="n"/>
      <c r="AP122" s="13" t="n"/>
      <c r="AQ122" s="6">
        <f>IF(AND((O122)&lt;85,N122&lt;137),"NO","SI")</f>
        <v/>
      </c>
      <c r="AR122" s="7">
        <f>IF((480*(10^(7.95-(O122/10))))&lt;480,480*(10^(7.95-(O122/10))),480)</f>
        <v/>
      </c>
      <c r="AS122" s="8">
        <f>IF((480*(10^(8.45-(O122/10))))&lt;480,480*(10^(8.45-(O122/10))),480)</f>
        <v/>
      </c>
      <c r="AT122" s="9">
        <f>IF((480*(10^(8.65-(O122/10))))&lt;480,480*(10^(8.65-(O122/10))),480)</f>
        <v/>
      </c>
      <c r="AU122" s="111">
        <f>IF(O122&lt;80,"0",IF((P122-O122)&lt;=2,('DPI art.191'!$G$3-(('DPI art.191'!$F$3-'DPI art.191'!$G$3)/4)*(P122-O122-2)),('DPI art.191'!$G$3-(('DPI art.191'!$G$3-'DPI art.191'!$H$3)/8)*(P122-O122-2))))</f>
        <v/>
      </c>
      <c r="AV122" s="24">
        <f>O122-AU122</f>
        <v/>
      </c>
      <c r="AW122" s="24">
        <f>IF(N122&lt;135,N122,N122-'DPI art.191'!$I$3)</f>
        <v/>
      </c>
      <c r="AX122" s="111">
        <f>IF(I122&lt;80,"0",IF((J122-I122)&lt;=2,('DPI art.191'!$G$7-(('DPI art.191'!$F$7-'DPI art.191'!$G$7)/4)*(I122-J122-2)),('DPI art.191'!$G$7-(('DPI art.191'!$G$7-'DPI art.191'!$H$7)/8)*(J122-I122-2))))</f>
        <v/>
      </c>
      <c r="AY122" s="24">
        <f>I122-AX122</f>
        <v/>
      </c>
      <c r="AZ122" s="24">
        <f>IF(H122&lt;135,H122,H122-'DPI art.191'!$I$7)</f>
        <v/>
      </c>
      <c r="BA122" s="111">
        <f>IF(O122&lt;80,"0",IF((P122-O122)&lt;=2,('DPI art.191'!$G$5-(('DPI art.191'!$F$5-'DPI art.191'!$G$5)/4)*(P122-O122-2)),('DPI art.191'!$G$5-(('DPI art.191'!$G$5-'DPI art.191'!$H$5)/8)*(P122-O122-2))))</f>
        <v/>
      </c>
      <c r="BB122" s="24">
        <f>R122-BA122</f>
        <v/>
      </c>
      <c r="BC122" s="24">
        <f>IF(N122&lt;135,N122,N122-'DPI art.191'!$I$5)</f>
        <v/>
      </c>
      <c r="BD122" s="111">
        <f>IF(O122&lt;80,"0",IF((P122-O122)&lt;=2,('DPI art.191'!$G$7-(('DPI art.191'!$F$7-'DPI art.191'!$G$7)/4)*(O122-P122-2)),('DPI art.191'!$G$7-(('DPI art.191'!$G$7-'DPI art.191'!$H$7)/8)*(P122-O122-2))))</f>
        <v/>
      </c>
      <c r="BE122" s="24">
        <f>O122-BD122</f>
        <v/>
      </c>
      <c r="BF122" s="24">
        <f>IF(N122&lt;135,N122,N122-'DPI art.191'!$I$7)</f>
        <v/>
      </c>
      <c r="BG122" s="108">
        <f>10^(0.1*R122)</f>
        <v/>
      </c>
      <c r="BH122" s="108">
        <f>10^(0.1*X122)</f>
        <v/>
      </c>
      <c r="BI122" s="108">
        <f>10^(0.1*AB122)</f>
        <v/>
      </c>
      <c r="BJ122" s="108">
        <f>10^(0.1*AF122)</f>
        <v/>
      </c>
      <c r="BK122" s="108">
        <f>10^(0.1*AJ122)</f>
        <v/>
      </c>
      <c r="BL122" s="108">
        <f>10^(0.1*AN122)</f>
        <v/>
      </c>
      <c r="BM122" s="106">
        <f>IF(R122&gt;0,(O122-R122),"")</f>
        <v/>
      </c>
      <c r="BN122" s="106">
        <f>IF(X122&gt;0,(O122-X122),"")</f>
        <v/>
      </c>
      <c r="BO122" s="106">
        <f>IF(AB122&gt;0,(O122-AB122),"")</f>
        <v/>
      </c>
      <c r="BP122" s="106">
        <f>IF(AF122&gt;0,(O122-AF122),"")</f>
        <v/>
      </c>
      <c r="BQ122" s="106">
        <f>IF(AJ122&gt;0,(O122-AJ122),"")</f>
        <v/>
      </c>
      <c r="BR122" s="106">
        <f>IF(AN122&gt;0,(O122-AN122),"")</f>
        <v/>
      </c>
      <c r="BS122" s="106">
        <f>COUNT(BM122:BR122)</f>
        <v/>
      </c>
      <c r="BT122" s="464">
        <f>IF(BS122=0,0,IF(BS122=1,0,1/(BS122*(BS122-1))))</f>
        <v/>
      </c>
      <c r="BU122" s="136">
        <f>IF(R122&gt;0,(BM122^2),"")</f>
        <v/>
      </c>
      <c r="BV122" s="136">
        <f>IF(X122&gt;0,(BN122^2),"")</f>
        <v/>
      </c>
      <c r="BW122" s="136">
        <f>IF(AB122&gt;0,(BO122^2),"")</f>
        <v/>
      </c>
      <c r="BX122" s="136">
        <f>IF(AF122&gt;0,(BP122^2),"")</f>
        <v/>
      </c>
      <c r="BY122" s="136">
        <f>IF(AJ122&gt;0,(BQ122^2),"")</f>
        <v/>
      </c>
      <c r="BZ122" s="136">
        <f>IF(AN122&gt;0,(BR122^2),"")</f>
        <v/>
      </c>
    </row>
    <row r="123" ht="18.75" customHeight="1" s="444">
      <c r="A123" s="340" t="inlineStr">
        <is>
          <t>/</t>
        </is>
      </c>
      <c r="B123" s="65">
        <f>B122+1</f>
        <v/>
      </c>
      <c r="C123" s="78" t="n"/>
      <c r="D123" s="83" t="n"/>
      <c r="E123" s="83" t="n"/>
      <c r="F123" s="329" t="n"/>
      <c r="G123" s="71" t="n">
        <v>40725</v>
      </c>
      <c r="H123" s="77" t="inlineStr">
        <is>
          <t>Compito</t>
        </is>
      </c>
      <c r="I123" s="77">
        <f>IF((V123-R123)&gt;3,"SI","")</f>
        <v/>
      </c>
      <c r="J123" s="77">
        <f>IF((U123-R123)&gt;3,"SI","")</f>
        <v/>
      </c>
      <c r="K123" s="77" t="n"/>
      <c r="L123" s="77" t="n"/>
      <c r="M123" s="137">
        <f>IF(R123&gt;0,(SQRT(BT123*(SUM(BU123:BZ123)))),"")</f>
        <v/>
      </c>
      <c r="N123" s="4">
        <f>IF(T123&gt;0,(MAX(T123,Z123,AD123,AH123,AL123,AP123))+SQRT(1.2^2+1^2),"")</f>
        <v/>
      </c>
      <c r="O123" s="3">
        <f>IF(R123="",0,10*LOG10(SUM(BG123:BL123)/(COUNT(R123,X123,AB123,AF123,AJ123,AN123))))</f>
        <v/>
      </c>
      <c r="P123" s="5">
        <f>IF(AND(Y123="",AC123="",AG123="",AK123="",AO123=""),S123,AVERAGE(S123,Y123,AC123,AG123,AK123,AO123)+STDEV(S123,Y123,AC123,AG123,AK123,AO123))</f>
        <v/>
      </c>
      <c r="Q123" s="14" t="n"/>
      <c r="R123" s="11" t="n"/>
      <c r="S123" s="12" t="n"/>
      <c r="T123" s="13" t="n"/>
      <c r="U123" s="79" t="n"/>
      <c r="V123" s="79" t="n"/>
      <c r="W123" s="10" t="n"/>
      <c r="X123" s="11" t="n"/>
      <c r="Y123" s="12" t="n"/>
      <c r="Z123" s="13" t="n"/>
      <c r="AA123" s="10" t="n"/>
      <c r="AB123" s="11" t="n"/>
      <c r="AC123" s="12" t="n"/>
      <c r="AD123" s="13" t="n"/>
      <c r="AE123" s="14" t="n"/>
      <c r="AF123" s="11" t="n"/>
      <c r="AG123" s="12" t="n"/>
      <c r="AH123" s="13" t="n"/>
      <c r="AI123" s="10" t="n"/>
      <c r="AJ123" s="11" t="n"/>
      <c r="AK123" s="12" t="n"/>
      <c r="AL123" s="13" t="n"/>
      <c r="AM123" s="10" t="n"/>
      <c r="AN123" s="11" t="n"/>
      <c r="AO123" s="12" t="n"/>
      <c r="AP123" s="13" t="n"/>
      <c r="AQ123" s="6">
        <f>IF(AND((O123)&lt;85,N123&lt;137),"NO","SI")</f>
        <v/>
      </c>
      <c r="AR123" s="7">
        <f>IF((480*(10^(7.95-(O123/10))))&lt;480,480*(10^(7.95-(O123/10))),480)</f>
        <v/>
      </c>
      <c r="AS123" s="8">
        <f>IF((480*(10^(8.45-(O123/10))))&lt;480,480*(10^(8.45-(O123/10))),480)</f>
        <v/>
      </c>
      <c r="AT123" s="9">
        <f>IF((480*(10^(8.65-(O123/10))))&lt;480,480*(10^(8.65-(O123/10))),480)</f>
        <v/>
      </c>
      <c r="AU123" s="111">
        <f>IF(O123&lt;80,"0",IF((P123-O123)&lt;=2,('DPI art.191'!$G$3-(('DPI art.191'!$F$3-'DPI art.191'!$G$3)/4)*(P123-O123-2)),('DPI art.191'!$G$3-(('DPI art.191'!$G$3-'DPI art.191'!$H$3)/8)*(P123-O123-2))))</f>
        <v/>
      </c>
      <c r="AV123" s="24">
        <f>O123-AU123</f>
        <v/>
      </c>
      <c r="AW123" s="24">
        <f>IF(N123&lt;135,N123,N123-'DPI art.191'!$I$3)</f>
        <v/>
      </c>
      <c r="AX123" s="111">
        <f>IF(I123&lt;80,"0",IF((J123-I123)&lt;=2,('DPI art.191'!$G$7-(('DPI art.191'!$F$7-'DPI art.191'!$G$7)/4)*(I123-J123-2)),('DPI art.191'!$G$7-(('DPI art.191'!$G$7-'DPI art.191'!$H$7)/8)*(J123-I123-2))))</f>
        <v/>
      </c>
      <c r="AY123" s="24">
        <f>I123-AX123</f>
        <v/>
      </c>
      <c r="AZ123" s="24">
        <f>IF(H123&lt;135,H123,H123-'DPI art.191'!$I$7)</f>
        <v/>
      </c>
      <c r="BA123" s="111">
        <f>IF(O123&lt;80,"0",IF((P123-O123)&lt;=2,('DPI art.191'!$G$5-(('DPI art.191'!$F$5-'DPI art.191'!$G$5)/4)*(P123-O123-2)),('DPI art.191'!$G$5-(('DPI art.191'!$G$5-'DPI art.191'!$H$5)/8)*(P123-O123-2))))</f>
        <v/>
      </c>
      <c r="BB123" s="24">
        <f>R123-BA123</f>
        <v/>
      </c>
      <c r="BC123" s="24">
        <f>IF(N123&lt;135,N123,N123-'DPI art.191'!$I$5)</f>
        <v/>
      </c>
      <c r="BD123" s="111">
        <f>IF(O123&lt;80,"0",IF((P123-O123)&lt;=2,('DPI art.191'!$G$7-(('DPI art.191'!$F$7-'DPI art.191'!$G$7)/4)*(O123-P123-2)),('DPI art.191'!$G$7-(('DPI art.191'!$G$7-'DPI art.191'!$H$7)/8)*(P123-O123-2))))</f>
        <v/>
      </c>
      <c r="BE123" s="24">
        <f>O123-BD123</f>
        <v/>
      </c>
      <c r="BF123" s="24">
        <f>IF(N123&lt;135,N123,N123-'DPI art.191'!$I$7)</f>
        <v/>
      </c>
      <c r="BG123" s="108">
        <f>10^(0.1*R123)</f>
        <v/>
      </c>
      <c r="BH123" s="108">
        <f>10^(0.1*X123)</f>
        <v/>
      </c>
      <c r="BI123" s="108">
        <f>10^(0.1*AB123)</f>
        <v/>
      </c>
      <c r="BJ123" s="108">
        <f>10^(0.1*AF123)</f>
        <v/>
      </c>
      <c r="BK123" s="108">
        <f>10^(0.1*AJ123)</f>
        <v/>
      </c>
      <c r="BL123" s="108">
        <f>10^(0.1*AN123)</f>
        <v/>
      </c>
      <c r="BM123" s="106">
        <f>IF(R123&gt;0,(O123-R123),"")</f>
        <v/>
      </c>
      <c r="BN123" s="106">
        <f>IF(X123&gt;0,(O123-X123),"")</f>
        <v/>
      </c>
      <c r="BO123" s="106">
        <f>IF(AB123&gt;0,(O123-AB123),"")</f>
        <v/>
      </c>
      <c r="BP123" s="106">
        <f>IF(AF123&gt;0,(O123-AF123),"")</f>
        <v/>
      </c>
      <c r="BQ123" s="106">
        <f>IF(AJ123&gt;0,(O123-AJ123),"")</f>
        <v/>
      </c>
      <c r="BR123" s="106">
        <f>IF(AN123&gt;0,(O123-AN123),"")</f>
        <v/>
      </c>
      <c r="BS123" s="106">
        <f>COUNT(BM123:BR123)</f>
        <v/>
      </c>
      <c r="BT123" s="464">
        <f>IF(BS123=0,0,IF(BS123=1,0,1/(BS123*(BS123-1))))</f>
        <v/>
      </c>
      <c r="BU123" s="136">
        <f>IF(R123&gt;0,(BM123^2),"")</f>
        <v/>
      </c>
      <c r="BV123" s="136">
        <f>IF(X123&gt;0,(BN123^2),"")</f>
        <v/>
      </c>
      <c r="BW123" s="136">
        <f>IF(AB123&gt;0,(BO123^2),"")</f>
        <v/>
      </c>
      <c r="BX123" s="136">
        <f>IF(AF123&gt;0,(BP123^2),"")</f>
        <v/>
      </c>
      <c r="BY123" s="136">
        <f>IF(AJ123&gt;0,(BQ123^2),"")</f>
        <v/>
      </c>
      <c r="BZ123" s="136">
        <f>IF(AN123&gt;0,(BR123^2),"")</f>
        <v/>
      </c>
    </row>
    <row r="124" ht="18.75" customHeight="1" s="444">
      <c r="A124" s="340" t="inlineStr">
        <is>
          <t>/</t>
        </is>
      </c>
      <c r="B124" s="65">
        <f>B123+1</f>
        <v/>
      </c>
      <c r="C124" s="78" t="n"/>
      <c r="D124" s="83" t="n"/>
      <c r="E124" s="83" t="n"/>
      <c r="F124" s="329" t="n"/>
      <c r="G124" s="71" t="n">
        <v>40725</v>
      </c>
      <c r="H124" s="77" t="inlineStr">
        <is>
          <t>Compito</t>
        </is>
      </c>
      <c r="I124" s="77">
        <f>IF((V124-R124)&gt;3,"SI","")</f>
        <v/>
      </c>
      <c r="J124" s="77">
        <f>IF((U124-R124)&gt;3,"SI","")</f>
        <v/>
      </c>
      <c r="K124" s="77" t="n"/>
      <c r="L124" s="77" t="n"/>
      <c r="M124" s="137">
        <f>IF(R124&gt;0,(SQRT(BT124*(SUM(BU124:BZ124)))),"")</f>
        <v/>
      </c>
      <c r="N124" s="4">
        <f>IF(T124&gt;0,(MAX(T124,Z124,AD124,AH124,AL124,AP124))+SQRT(1.2^2+1^2),"")</f>
        <v/>
      </c>
      <c r="O124" s="3">
        <f>IF(R124="",0,10*LOG10(SUM(BG124:BL124)/(COUNT(R124,X124,AB124,AF124,AJ124,AN124))))</f>
        <v/>
      </c>
      <c r="P124" s="5">
        <f>IF(AND(Y124="",AC124="",AG124="",AK124="",AO124=""),S124,AVERAGE(S124,Y124,AC124,AG124,AK124,AO124)+STDEV(S124,Y124,AC124,AG124,AK124,AO124))</f>
        <v/>
      </c>
      <c r="Q124" s="14" t="n"/>
      <c r="R124" s="11" t="n"/>
      <c r="S124" s="12" t="n"/>
      <c r="T124" s="13" t="n"/>
      <c r="U124" s="79" t="n"/>
      <c r="V124" s="79" t="n"/>
      <c r="W124" s="10" t="n"/>
      <c r="X124" s="11" t="n"/>
      <c r="Y124" s="12" t="n"/>
      <c r="Z124" s="13" t="n"/>
      <c r="AA124" s="10" t="n"/>
      <c r="AB124" s="11" t="n"/>
      <c r="AC124" s="12" t="n"/>
      <c r="AD124" s="13" t="n"/>
      <c r="AE124" s="14" t="n"/>
      <c r="AF124" s="11" t="n"/>
      <c r="AG124" s="12" t="n"/>
      <c r="AH124" s="13" t="n"/>
      <c r="AI124" s="10" t="n"/>
      <c r="AJ124" s="11" t="n"/>
      <c r="AK124" s="12" t="n"/>
      <c r="AL124" s="13" t="n"/>
      <c r="AM124" s="10" t="n"/>
      <c r="AN124" s="11" t="n"/>
      <c r="AO124" s="12" t="n"/>
      <c r="AP124" s="13" t="n"/>
      <c r="AQ124" s="6">
        <f>IF(AND((O124)&lt;85,N124&lt;137),"NO","SI")</f>
        <v/>
      </c>
      <c r="AR124" s="7">
        <f>IF((480*(10^(7.95-(O124/10))))&lt;480,480*(10^(7.95-(O124/10))),480)</f>
        <v/>
      </c>
      <c r="AS124" s="8">
        <f>IF((480*(10^(8.45-(O124/10))))&lt;480,480*(10^(8.45-(O124/10))),480)</f>
        <v/>
      </c>
      <c r="AT124" s="9">
        <f>IF((480*(10^(8.65-(O124/10))))&lt;480,480*(10^(8.65-(O124/10))),480)</f>
        <v/>
      </c>
      <c r="AU124" s="111">
        <f>IF(O124&lt;80,"0",IF((P124-O124)&lt;=2,('DPI art.191'!$G$3-(('DPI art.191'!$F$3-'DPI art.191'!$G$3)/4)*(P124-O124-2)),('DPI art.191'!$G$3-(('DPI art.191'!$G$3-'DPI art.191'!$H$3)/8)*(P124-O124-2))))</f>
        <v/>
      </c>
      <c r="AV124" s="24">
        <f>O124-AU124</f>
        <v/>
      </c>
      <c r="AW124" s="24">
        <f>IF(N124&lt;135,N124,N124-'DPI art.191'!$I$3)</f>
        <v/>
      </c>
      <c r="AX124" s="111">
        <f>IF(I124&lt;80,"0",IF((J124-I124)&lt;=2,('DPI art.191'!$G$7-(('DPI art.191'!$F$7-'DPI art.191'!$G$7)/4)*(I124-J124-2)),('DPI art.191'!$G$7-(('DPI art.191'!$G$7-'DPI art.191'!$H$7)/8)*(J124-I124-2))))</f>
        <v/>
      </c>
      <c r="AY124" s="24">
        <f>I124-AX124</f>
        <v/>
      </c>
      <c r="AZ124" s="24">
        <f>IF(H124&lt;135,H124,H124-'DPI art.191'!$I$7)</f>
        <v/>
      </c>
      <c r="BA124" s="111">
        <f>IF(O124&lt;80,"0",IF((P124-O124)&lt;=2,('DPI art.191'!$G$5-(('DPI art.191'!$F$5-'DPI art.191'!$G$5)/4)*(P124-O124-2)),('DPI art.191'!$G$5-(('DPI art.191'!$G$5-'DPI art.191'!$H$5)/8)*(P124-O124-2))))</f>
        <v/>
      </c>
      <c r="BB124" s="24">
        <f>R124-BA124</f>
        <v/>
      </c>
      <c r="BC124" s="24">
        <f>IF(N124&lt;135,N124,N124-'DPI art.191'!$I$5)</f>
        <v/>
      </c>
      <c r="BD124" s="111">
        <f>IF(O124&lt;80,"0",IF((P124-O124)&lt;=2,('DPI art.191'!$G$7-(('DPI art.191'!$F$7-'DPI art.191'!$G$7)/4)*(O124-P124-2)),('DPI art.191'!$G$7-(('DPI art.191'!$G$7-'DPI art.191'!$H$7)/8)*(P124-O124-2))))</f>
        <v/>
      </c>
      <c r="BE124" s="24">
        <f>O124-BD124</f>
        <v/>
      </c>
      <c r="BF124" s="24">
        <f>IF(N124&lt;135,N124,N124-'DPI art.191'!$I$7)</f>
        <v/>
      </c>
      <c r="BG124" s="108">
        <f>10^(0.1*R124)</f>
        <v/>
      </c>
      <c r="BH124" s="108">
        <f>10^(0.1*X124)</f>
        <v/>
      </c>
      <c r="BI124" s="108">
        <f>10^(0.1*AB124)</f>
        <v/>
      </c>
      <c r="BJ124" s="108">
        <f>10^(0.1*AF124)</f>
        <v/>
      </c>
      <c r="BK124" s="108">
        <f>10^(0.1*AJ124)</f>
        <v/>
      </c>
      <c r="BL124" s="108">
        <f>10^(0.1*AN124)</f>
        <v/>
      </c>
      <c r="BM124" s="106">
        <f>IF(R124&gt;0,(O124-R124),"")</f>
        <v/>
      </c>
      <c r="BN124" s="106">
        <f>IF(X124&gt;0,(O124-X124),"")</f>
        <v/>
      </c>
      <c r="BO124" s="106">
        <f>IF(AB124&gt;0,(O124-AB124),"")</f>
        <v/>
      </c>
      <c r="BP124" s="106">
        <f>IF(AF124&gt;0,(O124-AF124),"")</f>
        <v/>
      </c>
      <c r="BQ124" s="106">
        <f>IF(AJ124&gt;0,(O124-AJ124),"")</f>
        <v/>
      </c>
      <c r="BR124" s="106">
        <f>IF(AN124&gt;0,(O124-AN124),"")</f>
        <v/>
      </c>
      <c r="BS124" s="106">
        <f>COUNT(BM124:BR124)</f>
        <v/>
      </c>
      <c r="BT124" s="464">
        <f>IF(BS124=0,0,IF(BS124=1,0,1/(BS124*(BS124-1))))</f>
        <v/>
      </c>
      <c r="BU124" s="136">
        <f>IF(R124&gt;0,(BM124^2),"")</f>
        <v/>
      </c>
      <c r="BV124" s="136">
        <f>IF(X124&gt;0,(BN124^2),"")</f>
        <v/>
      </c>
      <c r="BW124" s="136">
        <f>IF(AB124&gt;0,(BO124^2),"")</f>
        <v/>
      </c>
      <c r="BX124" s="136">
        <f>IF(AF124&gt;0,(BP124^2),"")</f>
        <v/>
      </c>
      <c r="BY124" s="136">
        <f>IF(AJ124&gt;0,(BQ124^2),"")</f>
        <v/>
      </c>
      <c r="BZ124" s="136">
        <f>IF(AN124&gt;0,(BR124^2),"")</f>
        <v/>
      </c>
    </row>
    <row r="125" ht="18.75" customHeight="1" s="444">
      <c r="A125" s="340" t="inlineStr">
        <is>
          <t>/</t>
        </is>
      </c>
      <c r="B125" s="65">
        <f>B124+1</f>
        <v/>
      </c>
      <c r="C125" s="78" t="n"/>
      <c r="D125" s="83" t="n"/>
      <c r="E125" s="83" t="n"/>
      <c r="F125" s="329" t="n"/>
      <c r="G125" s="71" t="n">
        <v>40725</v>
      </c>
      <c r="H125" s="77" t="inlineStr">
        <is>
          <t>Compito</t>
        </is>
      </c>
      <c r="I125" s="77">
        <f>IF((V125-R125)&gt;3,"SI","")</f>
        <v/>
      </c>
      <c r="J125" s="77">
        <f>IF((U125-R125)&gt;3,"SI","")</f>
        <v/>
      </c>
      <c r="K125" s="77" t="n"/>
      <c r="L125" s="77" t="n"/>
      <c r="M125" s="137">
        <f>IF(R125&gt;0,(SQRT(BT125*(SUM(BU125:BZ125)))),"")</f>
        <v/>
      </c>
      <c r="N125" s="4">
        <f>IF(T125&gt;0,(MAX(T125,Z125,AD125,AH125,AL125,AP125))+SQRT(1.2^2+1^2),"")</f>
        <v/>
      </c>
      <c r="O125" s="3">
        <f>IF(R125="",0,10*LOG10(SUM(BG125:BL125)/(COUNT(R125,X125,AB125,AF125,AJ125,AN125))))</f>
        <v/>
      </c>
      <c r="P125" s="5">
        <f>IF(AND(Y125="",AC125="",AG125="",AK125="",AO125=""),S125,AVERAGE(S125,Y125,AC125,AG125,AK125,AO125)+STDEV(S125,Y125,AC125,AG125,AK125,AO125))</f>
        <v/>
      </c>
      <c r="Q125" s="14" t="n"/>
      <c r="R125" s="11" t="n"/>
      <c r="S125" s="12" t="n"/>
      <c r="T125" s="13" t="n"/>
      <c r="U125" s="79" t="n"/>
      <c r="V125" s="79" t="n"/>
      <c r="W125" s="10" t="n"/>
      <c r="X125" s="11" t="n"/>
      <c r="Y125" s="12" t="n"/>
      <c r="Z125" s="13" t="n"/>
      <c r="AA125" s="10" t="n"/>
      <c r="AB125" s="11" t="n"/>
      <c r="AC125" s="12" t="n"/>
      <c r="AD125" s="13" t="n"/>
      <c r="AE125" s="14" t="n"/>
      <c r="AF125" s="11" t="n"/>
      <c r="AG125" s="12" t="n"/>
      <c r="AH125" s="13" t="n"/>
      <c r="AI125" s="10" t="n"/>
      <c r="AJ125" s="11" t="n"/>
      <c r="AK125" s="12" t="n"/>
      <c r="AL125" s="13" t="n"/>
      <c r="AM125" s="10" t="n"/>
      <c r="AN125" s="11" t="n"/>
      <c r="AO125" s="12" t="n"/>
      <c r="AP125" s="13" t="n"/>
      <c r="AQ125" s="6">
        <f>IF(AND((O125)&lt;85,N125&lt;137),"NO","SI")</f>
        <v/>
      </c>
      <c r="AR125" s="7">
        <f>IF((480*(10^(7.95-(O125/10))))&lt;480,480*(10^(7.95-(O125/10))),480)</f>
        <v/>
      </c>
      <c r="AS125" s="8">
        <f>IF((480*(10^(8.45-(O125/10))))&lt;480,480*(10^(8.45-(O125/10))),480)</f>
        <v/>
      </c>
      <c r="AT125" s="9">
        <f>IF((480*(10^(8.65-(O125/10))))&lt;480,480*(10^(8.65-(O125/10))),480)</f>
        <v/>
      </c>
      <c r="AU125" s="111">
        <f>IF(O125&lt;80,"0",IF((P125-O125)&lt;=2,('DPI art.191'!$G$3-(('DPI art.191'!$F$3-'DPI art.191'!$G$3)/4)*(P125-O125-2)),('DPI art.191'!$G$3-(('DPI art.191'!$G$3-'DPI art.191'!$H$3)/8)*(P125-O125-2))))</f>
        <v/>
      </c>
      <c r="AV125" s="24">
        <f>O125-AU125</f>
        <v/>
      </c>
      <c r="AW125" s="24">
        <f>IF(N125&lt;135,N125,N125-'DPI art.191'!$I$3)</f>
        <v/>
      </c>
      <c r="AX125" s="111">
        <f>IF(I125&lt;80,"0",IF((J125-I125)&lt;=2,('DPI art.191'!$G$7-(('DPI art.191'!$F$7-'DPI art.191'!$G$7)/4)*(I125-J125-2)),('DPI art.191'!$G$7-(('DPI art.191'!$G$7-'DPI art.191'!$H$7)/8)*(J125-I125-2))))</f>
        <v/>
      </c>
      <c r="AY125" s="24">
        <f>I125-AX125</f>
        <v/>
      </c>
      <c r="AZ125" s="24">
        <f>IF(H125&lt;135,H125,H125-'DPI art.191'!$I$7)</f>
        <v/>
      </c>
      <c r="BA125" s="111">
        <f>IF(O125&lt;80,"0",IF((P125-O125)&lt;=2,('DPI art.191'!$G$5-(('DPI art.191'!$F$5-'DPI art.191'!$G$5)/4)*(P125-O125-2)),('DPI art.191'!$G$5-(('DPI art.191'!$G$5-'DPI art.191'!$H$5)/8)*(P125-O125-2))))</f>
        <v/>
      </c>
      <c r="BB125" s="24">
        <f>R125-BA125</f>
        <v/>
      </c>
      <c r="BC125" s="24">
        <f>IF(N125&lt;135,N125,N125-'DPI art.191'!$I$5)</f>
        <v/>
      </c>
      <c r="BD125" s="111">
        <f>IF(O125&lt;80,"0",IF((P125-O125)&lt;=2,('DPI art.191'!$G$7-(('DPI art.191'!$F$7-'DPI art.191'!$G$7)/4)*(O125-P125-2)),('DPI art.191'!$G$7-(('DPI art.191'!$G$7-'DPI art.191'!$H$7)/8)*(P125-O125-2))))</f>
        <v/>
      </c>
      <c r="BE125" s="24">
        <f>O125-BD125</f>
        <v/>
      </c>
      <c r="BF125" s="24">
        <f>IF(N125&lt;135,N125,N125-'DPI art.191'!$I$7)</f>
        <v/>
      </c>
      <c r="BG125" s="108">
        <f>10^(0.1*R125)</f>
        <v/>
      </c>
      <c r="BH125" s="108">
        <f>10^(0.1*X125)</f>
        <v/>
      </c>
      <c r="BI125" s="108">
        <f>10^(0.1*AB125)</f>
        <v/>
      </c>
      <c r="BJ125" s="108">
        <f>10^(0.1*AF125)</f>
        <v/>
      </c>
      <c r="BK125" s="108">
        <f>10^(0.1*AJ125)</f>
        <v/>
      </c>
      <c r="BL125" s="108">
        <f>10^(0.1*AN125)</f>
        <v/>
      </c>
      <c r="BM125" s="106">
        <f>IF(R125&gt;0,(O125-R125),"")</f>
        <v/>
      </c>
      <c r="BN125" s="106">
        <f>IF(X125&gt;0,(O125-X125),"")</f>
        <v/>
      </c>
      <c r="BO125" s="106">
        <f>IF(AB125&gt;0,(O125-AB125),"")</f>
        <v/>
      </c>
      <c r="BP125" s="106">
        <f>IF(AF125&gt;0,(O125-AF125),"")</f>
        <v/>
      </c>
      <c r="BQ125" s="106">
        <f>IF(AJ125&gt;0,(O125-AJ125),"")</f>
        <v/>
      </c>
      <c r="BR125" s="106">
        <f>IF(AN125&gt;0,(O125-AN125),"")</f>
        <v/>
      </c>
      <c r="BS125" s="106">
        <f>COUNT(BM125:BR125)</f>
        <v/>
      </c>
      <c r="BT125" s="464">
        <f>IF(BS125=0,0,IF(BS125=1,0,1/(BS125*(BS125-1))))</f>
        <v/>
      </c>
      <c r="BU125" s="136">
        <f>IF(R125&gt;0,(BM125^2),"")</f>
        <v/>
      </c>
      <c r="BV125" s="136">
        <f>IF(X125&gt;0,(BN125^2),"")</f>
        <v/>
      </c>
      <c r="BW125" s="136">
        <f>IF(AB125&gt;0,(BO125^2),"")</f>
        <v/>
      </c>
      <c r="BX125" s="136">
        <f>IF(AF125&gt;0,(BP125^2),"")</f>
        <v/>
      </c>
      <c r="BY125" s="136">
        <f>IF(AJ125&gt;0,(BQ125^2),"")</f>
        <v/>
      </c>
      <c r="BZ125" s="136">
        <f>IF(AN125&gt;0,(BR125^2),"")</f>
        <v/>
      </c>
    </row>
    <row r="126" ht="18.75" customHeight="1" s="444">
      <c r="A126" s="340" t="inlineStr">
        <is>
          <t>/</t>
        </is>
      </c>
      <c r="B126" s="65">
        <f>B125+1</f>
        <v/>
      </c>
      <c r="C126" s="78" t="n"/>
      <c r="D126" s="83" t="n"/>
      <c r="E126" s="83" t="n"/>
      <c r="F126" s="329" t="n"/>
      <c r="G126" s="71" t="n">
        <v>40725</v>
      </c>
      <c r="H126" s="77" t="inlineStr">
        <is>
          <t>Compito</t>
        </is>
      </c>
      <c r="I126" s="77">
        <f>IF((V126-R126)&gt;3,"SI","")</f>
        <v/>
      </c>
      <c r="J126" s="77">
        <f>IF((U126-R126)&gt;3,"SI","")</f>
        <v/>
      </c>
      <c r="K126" s="77" t="n"/>
      <c r="L126" s="77" t="n"/>
      <c r="M126" s="137">
        <f>IF(R126&gt;0,(SQRT(BT126*(SUM(BU126:BZ126)))),"")</f>
        <v/>
      </c>
      <c r="N126" s="4">
        <f>IF(T126&gt;0,(MAX(T126,Z126,AD126,AH126,AL126,AP126))+SQRT(1.2^2+1^2),"")</f>
        <v/>
      </c>
      <c r="O126" s="3">
        <f>IF(R126="",0,10*LOG10(SUM(BG126:BL126)/(COUNT(R126,X126,AB126,AF126,AJ126,AN126))))</f>
        <v/>
      </c>
      <c r="P126" s="5">
        <f>IF(AND(Y126="",AC126="",AG126="",AK126="",AO126=""),S126,AVERAGE(S126,Y126,AC126,AG126,AK126,AO126)+STDEV(S126,Y126,AC126,AG126,AK126,AO126))</f>
        <v/>
      </c>
      <c r="Q126" s="14" t="n"/>
      <c r="R126" s="11" t="n"/>
      <c r="S126" s="12" t="n"/>
      <c r="T126" s="13" t="n"/>
      <c r="U126" s="79" t="n"/>
      <c r="V126" s="79" t="n"/>
      <c r="W126" s="10" t="n"/>
      <c r="X126" s="11" t="n"/>
      <c r="Y126" s="12" t="n"/>
      <c r="Z126" s="13" t="n"/>
      <c r="AA126" s="10" t="n"/>
      <c r="AB126" s="11" t="n"/>
      <c r="AC126" s="12" t="n"/>
      <c r="AD126" s="13" t="n"/>
      <c r="AE126" s="14" t="n"/>
      <c r="AF126" s="11" t="n"/>
      <c r="AG126" s="12" t="n"/>
      <c r="AH126" s="13" t="n"/>
      <c r="AI126" s="10" t="n"/>
      <c r="AJ126" s="11" t="n"/>
      <c r="AK126" s="12" t="n"/>
      <c r="AL126" s="13" t="n"/>
      <c r="AM126" s="10" t="n"/>
      <c r="AN126" s="11" t="n"/>
      <c r="AO126" s="12" t="n"/>
      <c r="AP126" s="13" t="n"/>
      <c r="AQ126" s="6">
        <f>IF(AND((O126)&lt;85,N126&lt;137),"NO","SI")</f>
        <v/>
      </c>
      <c r="AR126" s="7">
        <f>IF((480*(10^(7.95-(O126/10))))&lt;480,480*(10^(7.95-(O126/10))),480)</f>
        <v/>
      </c>
      <c r="AS126" s="8">
        <f>IF((480*(10^(8.45-(O126/10))))&lt;480,480*(10^(8.45-(O126/10))),480)</f>
        <v/>
      </c>
      <c r="AT126" s="9">
        <f>IF((480*(10^(8.65-(O126/10))))&lt;480,480*(10^(8.65-(O126/10))),480)</f>
        <v/>
      </c>
      <c r="AU126" s="111">
        <f>IF(O126&lt;80,"0",IF((P126-O126)&lt;=2,('DPI art.191'!$G$3-(('DPI art.191'!$F$3-'DPI art.191'!$G$3)/4)*(P126-O126-2)),('DPI art.191'!$G$3-(('DPI art.191'!$G$3-'DPI art.191'!$H$3)/8)*(P126-O126-2))))</f>
        <v/>
      </c>
      <c r="AV126" s="24">
        <f>O126-AU126</f>
        <v/>
      </c>
      <c r="AW126" s="24">
        <f>IF(N126&lt;135,N126,N126-'DPI art.191'!$I$3)</f>
        <v/>
      </c>
      <c r="AX126" s="111">
        <f>IF(I126&lt;80,"0",IF((J126-I126)&lt;=2,('DPI art.191'!$G$7-(('DPI art.191'!$F$7-'DPI art.191'!$G$7)/4)*(I126-J126-2)),('DPI art.191'!$G$7-(('DPI art.191'!$G$7-'DPI art.191'!$H$7)/8)*(J126-I126-2))))</f>
        <v/>
      </c>
      <c r="AY126" s="24">
        <f>I126-AX126</f>
        <v/>
      </c>
      <c r="AZ126" s="24">
        <f>IF(H126&lt;135,H126,H126-'DPI art.191'!$I$7)</f>
        <v/>
      </c>
      <c r="BA126" s="111">
        <f>IF(O126&lt;80,"0",IF((P126-O126)&lt;=2,('DPI art.191'!$G$5-(('DPI art.191'!$F$5-'DPI art.191'!$G$5)/4)*(P126-O126-2)),('DPI art.191'!$G$5-(('DPI art.191'!$G$5-'DPI art.191'!$H$5)/8)*(P126-O126-2))))</f>
        <v/>
      </c>
      <c r="BB126" s="24">
        <f>R126-BA126</f>
        <v/>
      </c>
      <c r="BC126" s="24">
        <f>IF(N126&lt;135,N126,N126-'DPI art.191'!$I$5)</f>
        <v/>
      </c>
      <c r="BD126" s="111">
        <f>IF(O126&lt;80,"0",IF((P126-O126)&lt;=2,('DPI art.191'!$G$7-(('DPI art.191'!$F$7-'DPI art.191'!$G$7)/4)*(O126-P126-2)),('DPI art.191'!$G$7-(('DPI art.191'!$G$7-'DPI art.191'!$H$7)/8)*(P126-O126-2))))</f>
        <v/>
      </c>
      <c r="BE126" s="24">
        <f>O126-BD126</f>
        <v/>
      </c>
      <c r="BF126" s="24">
        <f>IF(N126&lt;135,N126,N126-'DPI art.191'!$I$7)</f>
        <v/>
      </c>
      <c r="BG126" s="108">
        <f>10^(0.1*R126)</f>
        <v/>
      </c>
      <c r="BH126" s="108">
        <f>10^(0.1*X126)</f>
        <v/>
      </c>
      <c r="BI126" s="108">
        <f>10^(0.1*AB126)</f>
        <v/>
      </c>
      <c r="BJ126" s="108">
        <f>10^(0.1*AF126)</f>
        <v/>
      </c>
      <c r="BK126" s="108">
        <f>10^(0.1*AJ126)</f>
        <v/>
      </c>
      <c r="BL126" s="108">
        <f>10^(0.1*AN126)</f>
        <v/>
      </c>
      <c r="BM126" s="106">
        <f>IF(R126&gt;0,(O126-R126),"")</f>
        <v/>
      </c>
      <c r="BN126" s="106">
        <f>IF(X126&gt;0,(O126-X126),"")</f>
        <v/>
      </c>
      <c r="BO126" s="106">
        <f>IF(AB126&gt;0,(O126-AB126),"")</f>
        <v/>
      </c>
      <c r="BP126" s="106">
        <f>IF(AF126&gt;0,(O126-AF126),"")</f>
        <v/>
      </c>
      <c r="BQ126" s="106">
        <f>IF(AJ126&gt;0,(O126-AJ126),"")</f>
        <v/>
      </c>
      <c r="BR126" s="106">
        <f>IF(AN126&gt;0,(O126-AN126),"")</f>
        <v/>
      </c>
      <c r="BS126" s="106">
        <f>COUNT(BM126:BR126)</f>
        <v/>
      </c>
      <c r="BT126" s="464">
        <f>IF(BS126=0,0,IF(BS126=1,0,1/(BS126*(BS126-1))))</f>
        <v/>
      </c>
      <c r="BU126" s="136">
        <f>IF(R126&gt;0,(BM126^2),"")</f>
        <v/>
      </c>
      <c r="BV126" s="136">
        <f>IF(X126&gt;0,(BN126^2),"")</f>
        <v/>
      </c>
      <c r="BW126" s="136">
        <f>IF(AB126&gt;0,(BO126^2),"")</f>
        <v/>
      </c>
      <c r="BX126" s="136">
        <f>IF(AF126&gt;0,(BP126^2),"")</f>
        <v/>
      </c>
      <c r="BY126" s="136">
        <f>IF(AJ126&gt;0,(BQ126^2),"")</f>
        <v/>
      </c>
      <c r="BZ126" s="136">
        <f>IF(AN126&gt;0,(BR126^2),"")</f>
        <v/>
      </c>
    </row>
    <row r="127" ht="18.75" customHeight="1" s="444">
      <c r="A127" s="340" t="inlineStr">
        <is>
          <t>/</t>
        </is>
      </c>
      <c r="B127" s="65">
        <f>B126+1</f>
        <v/>
      </c>
      <c r="C127" s="78" t="n"/>
      <c r="D127" s="83" t="n"/>
      <c r="E127" s="83" t="n"/>
      <c r="F127" s="329" t="n"/>
      <c r="G127" s="71" t="n">
        <v>40725</v>
      </c>
      <c r="H127" s="77" t="inlineStr">
        <is>
          <t>Compito</t>
        </is>
      </c>
      <c r="I127" s="77">
        <f>IF((V127-R127)&gt;3,"SI","")</f>
        <v/>
      </c>
      <c r="J127" s="77">
        <f>IF((U127-R127)&gt;3,"SI","")</f>
        <v/>
      </c>
      <c r="K127" s="77" t="n"/>
      <c r="L127" s="77" t="n"/>
      <c r="M127" s="137">
        <f>IF(R127&gt;0,(SQRT(BT127*(SUM(BU127:BZ127)))),"")</f>
        <v/>
      </c>
      <c r="N127" s="4">
        <f>IF(T127&gt;0,(MAX(T127,Z127,AD127,AH127,AL127,AP127))+SQRT(1.2^2+1^2),"")</f>
        <v/>
      </c>
      <c r="O127" s="3">
        <f>IF(R127="",0,10*LOG10(SUM(BG127:BL127)/(COUNT(R127,X127,AB127,AF127,AJ127,AN127))))</f>
        <v/>
      </c>
      <c r="P127" s="5">
        <f>IF(AND(Y127="",AC127="",AG127="",AK127="",AO127=""),S127,AVERAGE(S127,Y127,AC127,AG127,AK127,AO127)+STDEV(S127,Y127,AC127,AG127,AK127,AO127))</f>
        <v/>
      </c>
      <c r="Q127" s="14" t="n"/>
      <c r="R127" s="11" t="n"/>
      <c r="S127" s="12" t="n"/>
      <c r="T127" s="13" t="n"/>
      <c r="U127" s="79" t="n"/>
      <c r="V127" s="79" t="n"/>
      <c r="W127" s="10" t="n"/>
      <c r="X127" s="11" t="n"/>
      <c r="Y127" s="12" t="n"/>
      <c r="Z127" s="13" t="n"/>
      <c r="AA127" s="10" t="n"/>
      <c r="AB127" s="11" t="n"/>
      <c r="AC127" s="12" t="n"/>
      <c r="AD127" s="13" t="n"/>
      <c r="AE127" s="14" t="n"/>
      <c r="AF127" s="11" t="n"/>
      <c r="AG127" s="12" t="n"/>
      <c r="AH127" s="13" t="n"/>
      <c r="AI127" s="10" t="n"/>
      <c r="AJ127" s="11" t="n"/>
      <c r="AK127" s="12" t="n"/>
      <c r="AL127" s="13" t="n"/>
      <c r="AM127" s="10" t="n"/>
      <c r="AN127" s="11" t="n"/>
      <c r="AO127" s="12" t="n"/>
      <c r="AP127" s="13" t="n"/>
      <c r="AQ127" s="6">
        <f>IF(AND((O127)&lt;85,N127&lt;137),"NO","SI")</f>
        <v/>
      </c>
      <c r="AR127" s="7">
        <f>IF((480*(10^(7.95-(O127/10))))&lt;480,480*(10^(7.95-(O127/10))),480)</f>
        <v/>
      </c>
      <c r="AS127" s="8">
        <f>IF((480*(10^(8.45-(O127/10))))&lt;480,480*(10^(8.45-(O127/10))),480)</f>
        <v/>
      </c>
      <c r="AT127" s="9">
        <f>IF((480*(10^(8.65-(O127/10))))&lt;480,480*(10^(8.65-(O127/10))),480)</f>
        <v/>
      </c>
      <c r="AU127" s="111">
        <f>IF(O127&lt;80,"0",IF((P127-O127)&lt;=2,('DPI art.191'!$G$3-(('DPI art.191'!$F$3-'DPI art.191'!$G$3)/4)*(P127-O127-2)),('DPI art.191'!$G$3-(('DPI art.191'!$G$3-'DPI art.191'!$H$3)/8)*(P127-O127-2))))</f>
        <v/>
      </c>
      <c r="AV127" s="24">
        <f>O127-AU127</f>
        <v/>
      </c>
      <c r="AW127" s="24">
        <f>IF(N127&lt;135,N127,N127-'DPI art.191'!$I$3)</f>
        <v/>
      </c>
      <c r="AX127" s="111">
        <f>IF(I127&lt;80,"0",IF((J127-I127)&lt;=2,('DPI art.191'!$G$7-(('DPI art.191'!$F$7-'DPI art.191'!$G$7)/4)*(I127-J127-2)),('DPI art.191'!$G$7-(('DPI art.191'!$G$7-'DPI art.191'!$H$7)/8)*(J127-I127-2))))</f>
        <v/>
      </c>
      <c r="AY127" s="24">
        <f>I127-AX127</f>
        <v/>
      </c>
      <c r="AZ127" s="24">
        <f>IF(H127&lt;135,H127,H127-'DPI art.191'!$I$7)</f>
        <v/>
      </c>
      <c r="BA127" s="111">
        <f>IF(O127&lt;80,"0",IF((P127-O127)&lt;=2,('DPI art.191'!$G$5-(('DPI art.191'!$F$5-'DPI art.191'!$G$5)/4)*(P127-O127-2)),('DPI art.191'!$G$5-(('DPI art.191'!$G$5-'DPI art.191'!$H$5)/8)*(P127-O127-2))))</f>
        <v/>
      </c>
      <c r="BB127" s="24">
        <f>R127-BA127</f>
        <v/>
      </c>
      <c r="BC127" s="24">
        <f>IF(N127&lt;135,N127,N127-'DPI art.191'!$I$5)</f>
        <v/>
      </c>
      <c r="BD127" s="111">
        <f>IF(O127&lt;80,"0",IF((P127-O127)&lt;=2,('DPI art.191'!$G$7-(('DPI art.191'!$F$7-'DPI art.191'!$G$7)/4)*(O127-P127-2)),('DPI art.191'!$G$7-(('DPI art.191'!$G$7-'DPI art.191'!$H$7)/8)*(P127-O127-2))))</f>
        <v/>
      </c>
      <c r="BE127" s="24">
        <f>O127-BD127</f>
        <v/>
      </c>
      <c r="BF127" s="24">
        <f>IF(N127&lt;135,N127,N127-'DPI art.191'!$I$7)</f>
        <v/>
      </c>
      <c r="BG127" s="108">
        <f>10^(0.1*R127)</f>
        <v/>
      </c>
      <c r="BH127" s="108">
        <f>10^(0.1*X127)</f>
        <v/>
      </c>
      <c r="BI127" s="108">
        <f>10^(0.1*AB127)</f>
        <v/>
      </c>
      <c r="BJ127" s="108">
        <f>10^(0.1*AF127)</f>
        <v/>
      </c>
      <c r="BK127" s="108">
        <f>10^(0.1*AJ127)</f>
        <v/>
      </c>
      <c r="BL127" s="108">
        <f>10^(0.1*AN127)</f>
        <v/>
      </c>
      <c r="BM127" s="106">
        <f>IF(R127&gt;0,(O127-R127),"")</f>
        <v/>
      </c>
      <c r="BN127" s="106">
        <f>IF(X127&gt;0,(O127-X127),"")</f>
        <v/>
      </c>
      <c r="BO127" s="106">
        <f>IF(AB127&gt;0,(O127-AB127),"")</f>
        <v/>
      </c>
      <c r="BP127" s="106">
        <f>IF(AF127&gt;0,(O127-AF127),"")</f>
        <v/>
      </c>
      <c r="BQ127" s="106">
        <f>IF(AJ127&gt;0,(O127-AJ127),"")</f>
        <v/>
      </c>
      <c r="BR127" s="106">
        <f>IF(AN127&gt;0,(O127-AN127),"")</f>
        <v/>
      </c>
      <c r="BS127" s="106">
        <f>COUNT(BM127:BR127)</f>
        <v/>
      </c>
      <c r="BT127" s="464">
        <f>IF(BS127=0,0,IF(BS127=1,0,1/(BS127*(BS127-1))))</f>
        <v/>
      </c>
      <c r="BU127" s="136">
        <f>IF(R127&gt;0,(BM127^2),"")</f>
        <v/>
      </c>
      <c r="BV127" s="136">
        <f>IF(X127&gt;0,(BN127^2),"")</f>
        <v/>
      </c>
      <c r="BW127" s="136">
        <f>IF(AB127&gt;0,(BO127^2),"")</f>
        <v/>
      </c>
      <c r="BX127" s="136">
        <f>IF(AF127&gt;0,(BP127^2),"")</f>
        <v/>
      </c>
      <c r="BY127" s="136">
        <f>IF(AJ127&gt;0,(BQ127^2),"")</f>
        <v/>
      </c>
      <c r="BZ127" s="136">
        <f>IF(AN127&gt;0,(BR127^2),"")</f>
        <v/>
      </c>
    </row>
    <row r="128" ht="18.75" customHeight="1" s="444">
      <c r="A128" s="340" t="inlineStr">
        <is>
          <t>/</t>
        </is>
      </c>
      <c r="B128" s="65">
        <f>B127+1</f>
        <v/>
      </c>
      <c r="C128" s="78" t="n"/>
      <c r="D128" s="83" t="n"/>
      <c r="E128" s="83" t="n"/>
      <c r="F128" s="329" t="n"/>
      <c r="G128" s="71" t="n">
        <v>40725</v>
      </c>
      <c r="H128" s="77" t="inlineStr">
        <is>
          <t>Compito</t>
        </is>
      </c>
      <c r="I128" s="77">
        <f>IF((V128-R128)&gt;3,"SI","")</f>
        <v/>
      </c>
      <c r="J128" s="77">
        <f>IF((U128-R128)&gt;3,"SI","")</f>
        <v/>
      </c>
      <c r="K128" s="77" t="n"/>
      <c r="L128" s="77" t="n"/>
      <c r="M128" s="137">
        <f>IF(R128&gt;0,(SQRT(BT128*(SUM(BU128:BZ128)))),"")</f>
        <v/>
      </c>
      <c r="N128" s="4">
        <f>IF(T128&gt;0,(MAX(T128,Z128,AD128,AH128,AL128,AP128))+SQRT(1.2^2+1^2),"")</f>
        <v/>
      </c>
      <c r="O128" s="3">
        <f>IF(R128="",0,10*LOG10(SUM(BG128:BL128)/(COUNT(R128,X128,AB128,AF128,AJ128,AN128))))</f>
        <v/>
      </c>
      <c r="P128" s="5">
        <f>IF(AND(Y128="",AC128="",AG128="",AK128="",AO128=""),S128,AVERAGE(S128,Y128,AC128,AG128,AK128,AO128)+STDEV(S128,Y128,AC128,AG128,AK128,AO128))</f>
        <v/>
      </c>
      <c r="Q128" s="14" t="n"/>
      <c r="R128" s="11" t="n"/>
      <c r="S128" s="12" t="n"/>
      <c r="T128" s="13" t="n"/>
      <c r="U128" s="79" t="n"/>
      <c r="V128" s="79" t="n"/>
      <c r="W128" s="10" t="n"/>
      <c r="X128" s="11" t="n"/>
      <c r="Y128" s="12" t="n"/>
      <c r="Z128" s="13" t="n"/>
      <c r="AA128" s="10" t="n"/>
      <c r="AB128" s="11" t="n"/>
      <c r="AC128" s="12" t="n"/>
      <c r="AD128" s="13" t="n"/>
      <c r="AE128" s="14" t="n"/>
      <c r="AF128" s="11" t="n"/>
      <c r="AG128" s="12" t="n"/>
      <c r="AH128" s="13" t="n"/>
      <c r="AI128" s="10" t="n"/>
      <c r="AJ128" s="11" t="n"/>
      <c r="AK128" s="12" t="n"/>
      <c r="AL128" s="13" t="n"/>
      <c r="AM128" s="10" t="n"/>
      <c r="AN128" s="11" t="n"/>
      <c r="AO128" s="12" t="n"/>
      <c r="AP128" s="13" t="n"/>
      <c r="AQ128" s="6">
        <f>IF(AND((O128)&lt;85,N128&lt;137),"NO","SI")</f>
        <v/>
      </c>
      <c r="AR128" s="7">
        <f>IF((480*(10^(7.95-(O128/10))))&lt;480,480*(10^(7.95-(O128/10))),480)</f>
        <v/>
      </c>
      <c r="AS128" s="8">
        <f>IF((480*(10^(8.45-(O128/10))))&lt;480,480*(10^(8.45-(O128/10))),480)</f>
        <v/>
      </c>
      <c r="AT128" s="9">
        <f>IF((480*(10^(8.65-(O128/10))))&lt;480,480*(10^(8.65-(O128/10))),480)</f>
        <v/>
      </c>
      <c r="AU128" s="111">
        <f>IF(O128&lt;80,"0",IF((P128-O128)&lt;=2,('DPI art.191'!$G$3-(('DPI art.191'!$F$3-'DPI art.191'!$G$3)/4)*(P128-O128-2)),('DPI art.191'!$G$3-(('DPI art.191'!$G$3-'DPI art.191'!$H$3)/8)*(P128-O128-2))))</f>
        <v/>
      </c>
      <c r="AV128" s="24">
        <f>O128-AU128</f>
        <v/>
      </c>
      <c r="AW128" s="24">
        <f>IF(N128&lt;135,N128,N128-'DPI art.191'!$I$3)</f>
        <v/>
      </c>
      <c r="AX128" s="111">
        <f>IF(I128&lt;80,"0",IF((J128-I128)&lt;=2,('DPI art.191'!$G$7-(('DPI art.191'!$F$7-'DPI art.191'!$G$7)/4)*(I128-J128-2)),('DPI art.191'!$G$7-(('DPI art.191'!$G$7-'DPI art.191'!$H$7)/8)*(J128-I128-2))))</f>
        <v/>
      </c>
      <c r="AY128" s="24">
        <f>I128-AX128</f>
        <v/>
      </c>
      <c r="AZ128" s="24">
        <f>IF(H128&lt;135,H128,H128-'DPI art.191'!$I$7)</f>
        <v/>
      </c>
      <c r="BA128" s="111">
        <f>IF(O128&lt;80,"0",IF((P128-O128)&lt;=2,('DPI art.191'!$G$5-(('DPI art.191'!$F$5-'DPI art.191'!$G$5)/4)*(P128-O128-2)),('DPI art.191'!$G$5-(('DPI art.191'!$G$5-'DPI art.191'!$H$5)/8)*(P128-O128-2))))</f>
        <v/>
      </c>
      <c r="BB128" s="24">
        <f>R128-BA128</f>
        <v/>
      </c>
      <c r="BC128" s="24">
        <f>IF(N128&lt;135,N128,N128-'DPI art.191'!$I$5)</f>
        <v/>
      </c>
      <c r="BD128" s="111">
        <f>IF(O128&lt;80,"0",IF((P128-O128)&lt;=2,('DPI art.191'!$G$7-(('DPI art.191'!$F$7-'DPI art.191'!$G$7)/4)*(O128-P128-2)),('DPI art.191'!$G$7-(('DPI art.191'!$G$7-'DPI art.191'!$H$7)/8)*(P128-O128-2))))</f>
        <v/>
      </c>
      <c r="BE128" s="24">
        <f>O128-BD128</f>
        <v/>
      </c>
      <c r="BF128" s="24">
        <f>IF(N128&lt;135,N128,N128-'DPI art.191'!$I$7)</f>
        <v/>
      </c>
      <c r="BG128" s="108">
        <f>10^(0.1*R128)</f>
        <v/>
      </c>
      <c r="BH128" s="108">
        <f>10^(0.1*X128)</f>
        <v/>
      </c>
      <c r="BI128" s="108">
        <f>10^(0.1*AB128)</f>
        <v/>
      </c>
      <c r="BJ128" s="108">
        <f>10^(0.1*AF128)</f>
        <v/>
      </c>
      <c r="BK128" s="108">
        <f>10^(0.1*AJ128)</f>
        <v/>
      </c>
      <c r="BL128" s="108">
        <f>10^(0.1*AN128)</f>
        <v/>
      </c>
      <c r="BM128" s="106">
        <f>IF(R128&gt;0,(O128-R128),"")</f>
        <v/>
      </c>
      <c r="BN128" s="106">
        <f>IF(X128&gt;0,(O128-X128),"")</f>
        <v/>
      </c>
      <c r="BO128" s="106">
        <f>IF(AB128&gt;0,(O128-AB128),"")</f>
        <v/>
      </c>
      <c r="BP128" s="106">
        <f>IF(AF128&gt;0,(O128-AF128),"")</f>
        <v/>
      </c>
      <c r="BQ128" s="106">
        <f>IF(AJ128&gt;0,(O128-AJ128),"")</f>
        <v/>
      </c>
      <c r="BR128" s="106">
        <f>IF(AN128&gt;0,(O128-AN128),"")</f>
        <v/>
      </c>
      <c r="BS128" s="106">
        <f>COUNT(BM128:BR128)</f>
        <v/>
      </c>
      <c r="BT128" s="464">
        <f>IF(BS128=0,0,IF(BS128=1,0,1/(BS128*(BS128-1))))</f>
        <v/>
      </c>
      <c r="BU128" s="136">
        <f>IF(R128&gt;0,(BM128^2),"")</f>
        <v/>
      </c>
      <c r="BV128" s="136">
        <f>IF(X128&gt;0,(BN128^2),"")</f>
        <v/>
      </c>
      <c r="BW128" s="136">
        <f>IF(AB128&gt;0,(BO128^2),"")</f>
        <v/>
      </c>
      <c r="BX128" s="136">
        <f>IF(AF128&gt;0,(BP128^2),"")</f>
        <v/>
      </c>
      <c r="BY128" s="136">
        <f>IF(AJ128&gt;0,(BQ128^2),"")</f>
        <v/>
      </c>
      <c r="BZ128" s="136">
        <f>IF(AN128&gt;0,(BR128^2),"")</f>
        <v/>
      </c>
    </row>
    <row r="129" ht="18.75" customHeight="1" s="444">
      <c r="A129" s="340" t="inlineStr">
        <is>
          <t>/</t>
        </is>
      </c>
      <c r="B129" s="65">
        <f>B128+1</f>
        <v/>
      </c>
      <c r="C129" s="78" t="n"/>
      <c r="D129" s="83" t="n"/>
      <c r="E129" s="83" t="n"/>
      <c r="F129" s="329" t="n"/>
      <c r="G129" s="71" t="n">
        <v>40725</v>
      </c>
      <c r="H129" s="77" t="inlineStr">
        <is>
          <t>Compito</t>
        </is>
      </c>
      <c r="I129" s="77">
        <f>IF((V129-R129)&gt;3,"SI","")</f>
        <v/>
      </c>
      <c r="J129" s="77">
        <f>IF((U129-R129)&gt;3,"SI","")</f>
        <v/>
      </c>
      <c r="K129" s="77" t="n"/>
      <c r="L129" s="77" t="n"/>
      <c r="M129" s="137">
        <f>IF(R129&gt;0,(SQRT(BT129*(SUM(BU129:BZ129)))),"")</f>
        <v/>
      </c>
      <c r="N129" s="4">
        <f>IF(T129&gt;0,(MAX(T129,Z129,AD129,AH129,AL129,AP129))+SQRT(1.2^2+1^2),"")</f>
        <v/>
      </c>
      <c r="O129" s="3">
        <f>IF(R129="",0,10*LOG10(SUM(BG129:BL129)/(COUNT(R129,X129,AB129,AF129,AJ129,AN129))))</f>
        <v/>
      </c>
      <c r="P129" s="5">
        <f>IF(AND(Y129="",AC129="",AG129="",AK129="",AO129=""),S129,AVERAGE(S129,Y129,AC129,AG129,AK129,AO129)+STDEV(S129,Y129,AC129,AG129,AK129,AO129))</f>
        <v/>
      </c>
      <c r="Q129" s="14" t="n"/>
      <c r="R129" s="11" t="n"/>
      <c r="S129" s="12" t="n"/>
      <c r="T129" s="13" t="n"/>
      <c r="U129" s="79" t="n"/>
      <c r="V129" s="79" t="n"/>
      <c r="W129" s="10" t="n"/>
      <c r="X129" s="11" t="n"/>
      <c r="Y129" s="12" t="n"/>
      <c r="Z129" s="13" t="n"/>
      <c r="AA129" s="10" t="n"/>
      <c r="AB129" s="11" t="n"/>
      <c r="AC129" s="12" t="n"/>
      <c r="AD129" s="13" t="n"/>
      <c r="AE129" s="14" t="n"/>
      <c r="AF129" s="11" t="n"/>
      <c r="AG129" s="12" t="n"/>
      <c r="AH129" s="13" t="n"/>
      <c r="AI129" s="10" t="n"/>
      <c r="AJ129" s="11" t="n"/>
      <c r="AK129" s="12" t="n"/>
      <c r="AL129" s="13" t="n"/>
      <c r="AM129" s="10" t="n"/>
      <c r="AN129" s="11" t="n"/>
      <c r="AO129" s="12" t="n"/>
      <c r="AP129" s="13" t="n"/>
      <c r="AQ129" s="6">
        <f>IF(AND((O129)&lt;85,N129&lt;137),"NO","SI")</f>
        <v/>
      </c>
      <c r="AR129" s="7">
        <f>IF((480*(10^(7.95-(O129/10))))&lt;480,480*(10^(7.95-(O129/10))),480)</f>
        <v/>
      </c>
      <c r="AS129" s="8">
        <f>IF((480*(10^(8.45-(O129/10))))&lt;480,480*(10^(8.45-(O129/10))),480)</f>
        <v/>
      </c>
      <c r="AT129" s="9">
        <f>IF((480*(10^(8.65-(O129/10))))&lt;480,480*(10^(8.65-(O129/10))),480)</f>
        <v/>
      </c>
      <c r="AU129" s="111">
        <f>IF(O129&lt;80,"0",IF((P129-O129)&lt;=2,('DPI art.191'!$G$3-(('DPI art.191'!$F$3-'DPI art.191'!$G$3)/4)*(P129-O129-2)),('DPI art.191'!$G$3-(('DPI art.191'!$G$3-'DPI art.191'!$H$3)/8)*(P129-O129-2))))</f>
        <v/>
      </c>
      <c r="AV129" s="24">
        <f>O129-AU129</f>
        <v/>
      </c>
      <c r="AW129" s="24">
        <f>IF(N129&lt;135,N129,N129-'DPI art.191'!$I$3)</f>
        <v/>
      </c>
      <c r="AX129" s="111">
        <f>IF(I129&lt;80,"0",IF((J129-I129)&lt;=2,('DPI art.191'!$G$7-(('DPI art.191'!$F$7-'DPI art.191'!$G$7)/4)*(I129-J129-2)),('DPI art.191'!$G$7-(('DPI art.191'!$G$7-'DPI art.191'!$H$7)/8)*(J129-I129-2))))</f>
        <v/>
      </c>
      <c r="AY129" s="24">
        <f>I129-AX129</f>
        <v/>
      </c>
      <c r="AZ129" s="24">
        <f>IF(H129&lt;135,H129,H129-'DPI art.191'!$I$7)</f>
        <v/>
      </c>
      <c r="BA129" s="111">
        <f>IF(O129&lt;80,"0",IF((P129-O129)&lt;=2,('DPI art.191'!$G$5-(('DPI art.191'!$F$5-'DPI art.191'!$G$5)/4)*(P129-O129-2)),('DPI art.191'!$G$5-(('DPI art.191'!$G$5-'DPI art.191'!$H$5)/8)*(P129-O129-2))))</f>
        <v/>
      </c>
      <c r="BB129" s="24">
        <f>R129-BA129</f>
        <v/>
      </c>
      <c r="BC129" s="24">
        <f>IF(N129&lt;135,N129,N129-'DPI art.191'!$I$5)</f>
        <v/>
      </c>
      <c r="BD129" s="111">
        <f>IF(O129&lt;80,"0",IF((P129-O129)&lt;=2,('DPI art.191'!$G$7-(('DPI art.191'!$F$7-'DPI art.191'!$G$7)/4)*(O129-P129-2)),('DPI art.191'!$G$7-(('DPI art.191'!$G$7-'DPI art.191'!$H$7)/8)*(P129-O129-2))))</f>
        <v/>
      </c>
      <c r="BE129" s="24">
        <f>O129-BD129</f>
        <v/>
      </c>
      <c r="BF129" s="24">
        <f>IF(N129&lt;135,N129,N129-'DPI art.191'!$I$7)</f>
        <v/>
      </c>
      <c r="BG129" s="108">
        <f>10^(0.1*R129)</f>
        <v/>
      </c>
      <c r="BH129" s="108">
        <f>10^(0.1*X129)</f>
        <v/>
      </c>
      <c r="BI129" s="108">
        <f>10^(0.1*AB129)</f>
        <v/>
      </c>
      <c r="BJ129" s="108">
        <f>10^(0.1*AF129)</f>
        <v/>
      </c>
      <c r="BK129" s="108">
        <f>10^(0.1*AJ129)</f>
        <v/>
      </c>
      <c r="BL129" s="108">
        <f>10^(0.1*AN129)</f>
        <v/>
      </c>
      <c r="BM129" s="106">
        <f>IF(R129&gt;0,(O129-R129),"")</f>
        <v/>
      </c>
      <c r="BN129" s="106">
        <f>IF(X129&gt;0,(O129-X129),"")</f>
        <v/>
      </c>
      <c r="BO129" s="106">
        <f>IF(AB129&gt;0,(O129-AB129),"")</f>
        <v/>
      </c>
      <c r="BP129" s="106">
        <f>IF(AF129&gt;0,(O129-AF129),"")</f>
        <v/>
      </c>
      <c r="BQ129" s="106">
        <f>IF(AJ129&gt;0,(O129-AJ129),"")</f>
        <v/>
      </c>
      <c r="BR129" s="106">
        <f>IF(AN129&gt;0,(O129-AN129),"")</f>
        <v/>
      </c>
      <c r="BS129" s="106">
        <f>COUNT(BM129:BR129)</f>
        <v/>
      </c>
      <c r="BT129" s="464">
        <f>IF(BS129=0,0,IF(BS129=1,0,1/(BS129*(BS129-1))))</f>
        <v/>
      </c>
      <c r="BU129" s="136">
        <f>IF(R129&gt;0,(BM129^2),"")</f>
        <v/>
      </c>
      <c r="BV129" s="136">
        <f>IF(X129&gt;0,(BN129^2),"")</f>
        <v/>
      </c>
      <c r="BW129" s="136">
        <f>IF(AB129&gt;0,(BO129^2),"")</f>
        <v/>
      </c>
      <c r="BX129" s="136">
        <f>IF(AF129&gt;0,(BP129^2),"")</f>
        <v/>
      </c>
      <c r="BY129" s="136">
        <f>IF(AJ129&gt;0,(BQ129^2),"")</f>
        <v/>
      </c>
      <c r="BZ129" s="136">
        <f>IF(AN129&gt;0,(BR129^2),"")</f>
        <v/>
      </c>
    </row>
    <row r="130" ht="18.75" customHeight="1" s="444">
      <c r="A130" s="340" t="inlineStr">
        <is>
          <t>/</t>
        </is>
      </c>
      <c r="B130" s="65">
        <f>B129+1</f>
        <v/>
      </c>
      <c r="C130" s="78" t="n"/>
      <c r="D130" s="83" t="n"/>
      <c r="E130" s="83" t="n"/>
      <c r="F130" s="329" t="n"/>
      <c r="G130" s="71" t="n">
        <v>40725</v>
      </c>
      <c r="H130" s="77" t="inlineStr">
        <is>
          <t>Compito</t>
        </is>
      </c>
      <c r="I130" s="77">
        <f>IF((V130-R130)&gt;3,"SI","")</f>
        <v/>
      </c>
      <c r="J130" s="77">
        <f>IF((U130-R130)&gt;3,"SI","")</f>
        <v/>
      </c>
      <c r="K130" s="77" t="n"/>
      <c r="L130" s="77" t="n"/>
      <c r="M130" s="137">
        <f>IF(R130&gt;0,(SQRT(BT130*(SUM(BU130:BZ130)))),"")</f>
        <v/>
      </c>
      <c r="N130" s="4">
        <f>IF(T130&gt;0,(MAX(T130,Z130,AD130,AH130,AL130,AP130))+SQRT(1.2^2+1^2),"")</f>
        <v/>
      </c>
      <c r="O130" s="3">
        <f>IF(R130="",0,10*LOG10(SUM(BG130:BL130)/(COUNT(R130,X130,AB130,AF130,AJ130,AN130))))</f>
        <v/>
      </c>
      <c r="P130" s="5">
        <f>IF(AND(Y130="",AC130="",AG130="",AK130="",AO130=""),S130,AVERAGE(S130,Y130,AC130,AG130,AK130,AO130)+STDEV(S130,Y130,AC130,AG130,AK130,AO130))</f>
        <v/>
      </c>
      <c r="Q130" s="14" t="n"/>
      <c r="R130" s="11" t="n"/>
      <c r="S130" s="12" t="n"/>
      <c r="T130" s="13" t="n"/>
      <c r="U130" s="79" t="n"/>
      <c r="V130" s="79" t="n"/>
      <c r="W130" s="10" t="n"/>
      <c r="X130" s="11" t="n"/>
      <c r="Y130" s="12" t="n"/>
      <c r="Z130" s="13" t="n"/>
      <c r="AA130" s="10" t="n"/>
      <c r="AB130" s="11" t="n"/>
      <c r="AC130" s="12" t="n"/>
      <c r="AD130" s="13" t="n"/>
      <c r="AE130" s="14" t="n"/>
      <c r="AF130" s="11" t="n"/>
      <c r="AG130" s="12" t="n"/>
      <c r="AH130" s="13" t="n"/>
      <c r="AI130" s="10" t="n"/>
      <c r="AJ130" s="11" t="n"/>
      <c r="AK130" s="12" t="n"/>
      <c r="AL130" s="13" t="n"/>
      <c r="AM130" s="10" t="n"/>
      <c r="AN130" s="11" t="n"/>
      <c r="AO130" s="12" t="n"/>
      <c r="AP130" s="13" t="n"/>
      <c r="AQ130" s="6">
        <f>IF(AND((O130)&lt;85,N130&lt;137),"NO","SI")</f>
        <v/>
      </c>
      <c r="AR130" s="7">
        <f>IF((480*(10^(7.95-(O130/10))))&lt;480,480*(10^(7.95-(O130/10))),480)</f>
        <v/>
      </c>
      <c r="AS130" s="8">
        <f>IF((480*(10^(8.45-(O130/10))))&lt;480,480*(10^(8.45-(O130/10))),480)</f>
        <v/>
      </c>
      <c r="AT130" s="9">
        <f>IF((480*(10^(8.65-(O130/10))))&lt;480,480*(10^(8.65-(O130/10))),480)</f>
        <v/>
      </c>
      <c r="AU130" s="111">
        <f>IF(O130&lt;80,"0",IF((P130-O130)&lt;=2,('DPI art.191'!$G$3-(('DPI art.191'!$F$3-'DPI art.191'!$G$3)/4)*(P130-O130-2)),('DPI art.191'!$G$3-(('DPI art.191'!$G$3-'DPI art.191'!$H$3)/8)*(P130-O130-2))))</f>
        <v/>
      </c>
      <c r="AV130" s="24">
        <f>O130-AU130</f>
        <v/>
      </c>
      <c r="AW130" s="24">
        <f>IF(N130&lt;135,N130,N130-'DPI art.191'!$I$3)</f>
        <v/>
      </c>
      <c r="AX130" s="111">
        <f>IF(I130&lt;80,"0",IF((J130-I130)&lt;=2,('DPI art.191'!$G$7-(('DPI art.191'!$F$7-'DPI art.191'!$G$7)/4)*(I130-J130-2)),('DPI art.191'!$G$7-(('DPI art.191'!$G$7-'DPI art.191'!$H$7)/8)*(J130-I130-2))))</f>
        <v/>
      </c>
      <c r="AY130" s="24">
        <f>I130-AX130</f>
        <v/>
      </c>
      <c r="AZ130" s="24">
        <f>IF(H130&lt;135,H130,H130-'DPI art.191'!$I$7)</f>
        <v/>
      </c>
      <c r="BA130" s="111">
        <f>IF(O130&lt;80,"0",IF((P130-O130)&lt;=2,('DPI art.191'!$G$5-(('DPI art.191'!$F$5-'DPI art.191'!$G$5)/4)*(P130-O130-2)),('DPI art.191'!$G$5-(('DPI art.191'!$G$5-'DPI art.191'!$H$5)/8)*(P130-O130-2))))</f>
        <v/>
      </c>
      <c r="BB130" s="24">
        <f>R130-BA130</f>
        <v/>
      </c>
      <c r="BC130" s="24">
        <f>IF(N130&lt;135,N130,N130-'DPI art.191'!$I$5)</f>
        <v/>
      </c>
      <c r="BD130" s="111">
        <f>IF(O130&lt;80,"0",IF((P130-O130)&lt;=2,('DPI art.191'!$G$7-(('DPI art.191'!$F$7-'DPI art.191'!$G$7)/4)*(O130-P130-2)),('DPI art.191'!$G$7-(('DPI art.191'!$G$7-'DPI art.191'!$H$7)/8)*(P130-O130-2))))</f>
        <v/>
      </c>
      <c r="BE130" s="24">
        <f>O130-BD130</f>
        <v/>
      </c>
      <c r="BF130" s="24">
        <f>IF(N130&lt;135,N130,N130-'DPI art.191'!$I$7)</f>
        <v/>
      </c>
      <c r="BG130" s="108">
        <f>10^(0.1*R130)</f>
        <v/>
      </c>
      <c r="BH130" s="108">
        <f>10^(0.1*X130)</f>
        <v/>
      </c>
      <c r="BI130" s="108">
        <f>10^(0.1*AB130)</f>
        <v/>
      </c>
      <c r="BJ130" s="108">
        <f>10^(0.1*AF130)</f>
        <v/>
      </c>
      <c r="BK130" s="108">
        <f>10^(0.1*AJ130)</f>
        <v/>
      </c>
      <c r="BL130" s="108">
        <f>10^(0.1*AN130)</f>
        <v/>
      </c>
      <c r="BM130" s="106">
        <f>IF(R130&gt;0,(O130-R130),"")</f>
        <v/>
      </c>
      <c r="BN130" s="106">
        <f>IF(X130&gt;0,(O130-X130),"")</f>
        <v/>
      </c>
      <c r="BO130" s="106">
        <f>IF(AB130&gt;0,(O130-AB130),"")</f>
        <v/>
      </c>
      <c r="BP130" s="106">
        <f>IF(AF130&gt;0,(O130-AF130),"")</f>
        <v/>
      </c>
      <c r="BQ130" s="106">
        <f>IF(AJ130&gt;0,(O130-AJ130),"")</f>
        <v/>
      </c>
      <c r="BR130" s="106">
        <f>IF(AN130&gt;0,(O130-AN130),"")</f>
        <v/>
      </c>
      <c r="BS130" s="106">
        <f>COUNT(BM130:BR130)</f>
        <v/>
      </c>
      <c r="BT130" s="464">
        <f>IF(BS130=0,0,IF(BS130=1,0,1/(BS130*(BS130-1))))</f>
        <v/>
      </c>
      <c r="BU130" s="136">
        <f>IF(R130&gt;0,(BM130^2),"")</f>
        <v/>
      </c>
      <c r="BV130" s="136">
        <f>IF(X130&gt;0,(BN130^2),"")</f>
        <v/>
      </c>
      <c r="BW130" s="136">
        <f>IF(AB130&gt;0,(BO130^2),"")</f>
        <v/>
      </c>
      <c r="BX130" s="136">
        <f>IF(AF130&gt;0,(BP130^2),"")</f>
        <v/>
      </c>
      <c r="BY130" s="136">
        <f>IF(AJ130&gt;0,(BQ130^2),"")</f>
        <v/>
      </c>
      <c r="BZ130" s="136">
        <f>IF(AN130&gt;0,(BR130^2),"")</f>
        <v/>
      </c>
    </row>
    <row r="131" ht="18.75" customHeight="1" s="444">
      <c r="A131" s="340" t="inlineStr">
        <is>
          <t>/</t>
        </is>
      </c>
      <c r="B131" s="65">
        <f>B130+1</f>
        <v/>
      </c>
      <c r="C131" s="78" t="n"/>
      <c r="D131" s="83" t="n"/>
      <c r="E131" s="83" t="n"/>
      <c r="F131" s="329" t="n"/>
      <c r="G131" s="71" t="n">
        <v>40725</v>
      </c>
      <c r="H131" s="77" t="inlineStr">
        <is>
          <t>Compito</t>
        </is>
      </c>
      <c r="I131" s="77">
        <f>IF((V131-R131)&gt;3,"SI","")</f>
        <v/>
      </c>
      <c r="J131" s="77">
        <f>IF((U131-R131)&gt;3,"SI","")</f>
        <v/>
      </c>
      <c r="K131" s="77" t="n"/>
      <c r="L131" s="77" t="n"/>
      <c r="M131" s="137">
        <f>IF(R131&gt;0,(SQRT(BT131*(SUM(BU131:BZ131)))),"")</f>
        <v/>
      </c>
      <c r="N131" s="4">
        <f>IF(T131&gt;0,(MAX(T131,Z131,AD131,AH131,AL131,AP131))+SQRT(1.2^2+1^2),"")</f>
        <v/>
      </c>
      <c r="O131" s="3">
        <f>IF(R131="",0,10*LOG10(SUM(BG131:BL131)/(COUNT(R131,X131,AB131,AF131,AJ131,AN131))))</f>
        <v/>
      </c>
      <c r="P131" s="5">
        <f>IF(AND(Y131="",AC131="",AG131="",AK131="",AO131=""),S131,AVERAGE(S131,Y131,AC131,AG131,AK131,AO131)+STDEV(S131,Y131,AC131,AG131,AK131,AO131))</f>
        <v/>
      </c>
      <c r="Q131" s="14" t="n"/>
      <c r="R131" s="11" t="n"/>
      <c r="S131" s="12" t="n"/>
      <c r="T131" s="13" t="n"/>
      <c r="U131" s="79" t="n"/>
      <c r="V131" s="79" t="n"/>
      <c r="W131" s="10" t="n"/>
      <c r="X131" s="11" t="n"/>
      <c r="Y131" s="12" t="n"/>
      <c r="Z131" s="13" t="n"/>
      <c r="AA131" s="10" t="n"/>
      <c r="AB131" s="11" t="n"/>
      <c r="AC131" s="12" t="n"/>
      <c r="AD131" s="13" t="n"/>
      <c r="AE131" s="14" t="n"/>
      <c r="AF131" s="11" t="n"/>
      <c r="AG131" s="12" t="n"/>
      <c r="AH131" s="13" t="n"/>
      <c r="AI131" s="10" t="n"/>
      <c r="AJ131" s="11" t="n"/>
      <c r="AK131" s="12" t="n"/>
      <c r="AL131" s="13" t="n"/>
      <c r="AM131" s="10" t="n"/>
      <c r="AN131" s="11" t="n"/>
      <c r="AO131" s="12" t="n"/>
      <c r="AP131" s="13" t="n"/>
      <c r="AQ131" s="6">
        <f>IF(AND((O131)&lt;85,N131&lt;137),"NO","SI")</f>
        <v/>
      </c>
      <c r="AR131" s="7">
        <f>IF((480*(10^(7.95-(O131/10))))&lt;480,480*(10^(7.95-(O131/10))),480)</f>
        <v/>
      </c>
      <c r="AS131" s="8">
        <f>IF((480*(10^(8.45-(O131/10))))&lt;480,480*(10^(8.45-(O131/10))),480)</f>
        <v/>
      </c>
      <c r="AT131" s="9">
        <f>IF((480*(10^(8.65-(O131/10))))&lt;480,480*(10^(8.65-(O131/10))),480)</f>
        <v/>
      </c>
      <c r="AU131" s="111">
        <f>IF(O131&lt;80,"0",IF((P131-O131)&lt;=2,('DPI art.191'!$G$3-(('DPI art.191'!$F$3-'DPI art.191'!$G$3)/4)*(P131-O131-2)),('DPI art.191'!$G$3-(('DPI art.191'!$G$3-'DPI art.191'!$H$3)/8)*(P131-O131-2))))</f>
        <v/>
      </c>
      <c r="AV131" s="24">
        <f>O131-AU131</f>
        <v/>
      </c>
      <c r="AW131" s="24">
        <f>IF(N131&lt;135,N131,N131-'DPI art.191'!$I$3)</f>
        <v/>
      </c>
      <c r="AX131" s="111">
        <f>IF(I131&lt;80,"0",IF((J131-I131)&lt;=2,('DPI art.191'!$G$7-(('DPI art.191'!$F$7-'DPI art.191'!$G$7)/4)*(I131-J131-2)),('DPI art.191'!$G$7-(('DPI art.191'!$G$7-'DPI art.191'!$H$7)/8)*(J131-I131-2))))</f>
        <v/>
      </c>
      <c r="AY131" s="24">
        <f>I131-AX131</f>
        <v/>
      </c>
      <c r="AZ131" s="24">
        <f>IF(H131&lt;135,H131,H131-'DPI art.191'!$I$7)</f>
        <v/>
      </c>
      <c r="BA131" s="111">
        <f>IF(O131&lt;80,"0",IF((P131-O131)&lt;=2,('DPI art.191'!$G$5-(('DPI art.191'!$F$5-'DPI art.191'!$G$5)/4)*(P131-O131-2)),('DPI art.191'!$G$5-(('DPI art.191'!$G$5-'DPI art.191'!$H$5)/8)*(P131-O131-2))))</f>
        <v/>
      </c>
      <c r="BB131" s="24">
        <f>R131-BA131</f>
        <v/>
      </c>
      <c r="BC131" s="24">
        <f>IF(N131&lt;135,N131,N131-'DPI art.191'!$I$5)</f>
        <v/>
      </c>
      <c r="BD131" s="111">
        <f>IF(O131&lt;80,"0",IF((P131-O131)&lt;=2,('DPI art.191'!$G$7-(('DPI art.191'!$F$7-'DPI art.191'!$G$7)/4)*(O131-P131-2)),('DPI art.191'!$G$7-(('DPI art.191'!$G$7-'DPI art.191'!$H$7)/8)*(P131-O131-2))))</f>
        <v/>
      </c>
      <c r="BE131" s="24">
        <f>O131-BD131</f>
        <v/>
      </c>
      <c r="BF131" s="24">
        <f>IF(N131&lt;135,N131,N131-'DPI art.191'!$I$7)</f>
        <v/>
      </c>
      <c r="BG131" s="108">
        <f>10^(0.1*R131)</f>
        <v/>
      </c>
      <c r="BH131" s="108">
        <f>10^(0.1*X131)</f>
        <v/>
      </c>
      <c r="BI131" s="108">
        <f>10^(0.1*AB131)</f>
        <v/>
      </c>
      <c r="BJ131" s="108">
        <f>10^(0.1*AF131)</f>
        <v/>
      </c>
      <c r="BK131" s="108">
        <f>10^(0.1*AJ131)</f>
        <v/>
      </c>
      <c r="BL131" s="108">
        <f>10^(0.1*AN131)</f>
        <v/>
      </c>
      <c r="BM131" s="106">
        <f>IF(R131&gt;0,(O131-R131),"")</f>
        <v/>
      </c>
      <c r="BN131" s="106">
        <f>IF(X131&gt;0,(O131-X131),"")</f>
        <v/>
      </c>
      <c r="BO131" s="106">
        <f>IF(AB131&gt;0,(O131-AB131),"")</f>
        <v/>
      </c>
      <c r="BP131" s="106">
        <f>IF(AF131&gt;0,(O131-AF131),"")</f>
        <v/>
      </c>
      <c r="BQ131" s="106">
        <f>IF(AJ131&gt;0,(O131-AJ131),"")</f>
        <v/>
      </c>
      <c r="BR131" s="106">
        <f>IF(AN131&gt;0,(O131-AN131),"")</f>
        <v/>
      </c>
      <c r="BS131" s="106">
        <f>COUNT(BM131:BR131)</f>
        <v/>
      </c>
      <c r="BT131" s="464">
        <f>IF(BS131=0,0,IF(BS131=1,0,1/(BS131*(BS131-1))))</f>
        <v/>
      </c>
      <c r="BU131" s="136">
        <f>IF(R131&gt;0,(BM131^2),"")</f>
        <v/>
      </c>
      <c r="BV131" s="136">
        <f>IF(X131&gt;0,(BN131^2),"")</f>
        <v/>
      </c>
      <c r="BW131" s="136">
        <f>IF(AB131&gt;0,(BO131^2),"")</f>
        <v/>
      </c>
      <c r="BX131" s="136">
        <f>IF(AF131&gt;0,(BP131^2),"")</f>
        <v/>
      </c>
      <c r="BY131" s="136">
        <f>IF(AJ131&gt;0,(BQ131^2),"")</f>
        <v/>
      </c>
      <c r="BZ131" s="136">
        <f>IF(AN131&gt;0,(BR131^2),"")</f>
        <v/>
      </c>
    </row>
    <row r="132" ht="18.75" customHeight="1" s="444">
      <c r="A132" s="340" t="inlineStr">
        <is>
          <t>/</t>
        </is>
      </c>
      <c r="B132" s="65">
        <f>B131+1</f>
        <v/>
      </c>
      <c r="C132" s="78" t="n"/>
      <c r="D132" s="83" t="n"/>
      <c r="E132" s="83" t="n"/>
      <c r="F132" s="329" t="n"/>
      <c r="G132" s="71" t="n">
        <v>40725</v>
      </c>
      <c r="H132" s="77" t="inlineStr">
        <is>
          <t>Compito</t>
        </is>
      </c>
      <c r="I132" s="77">
        <f>IF((V132-R132)&gt;3,"SI","")</f>
        <v/>
      </c>
      <c r="J132" s="77">
        <f>IF((U132-R132)&gt;3,"SI","")</f>
        <v/>
      </c>
      <c r="K132" s="77" t="n"/>
      <c r="L132" s="77" t="n"/>
      <c r="M132" s="137">
        <f>IF(R132&gt;0,(SQRT(BT132*(SUM(BU132:BZ132)))),"")</f>
        <v/>
      </c>
      <c r="N132" s="4">
        <f>IF(T132&gt;0,(MAX(T132,Z132,AD132,AH132,AL132,AP132))+SQRT(1.2^2+1^2),"")</f>
        <v/>
      </c>
      <c r="O132" s="3">
        <f>IF(R132="",0,10*LOG10(SUM(BG132:BL132)/(COUNT(R132,X132,AB132,AF132,AJ132,AN132))))</f>
        <v/>
      </c>
      <c r="P132" s="5">
        <f>IF(AND(Y132="",AC132="",AG132="",AK132="",AO132=""),S132,AVERAGE(S132,Y132,AC132,AG132,AK132,AO132)+STDEV(S132,Y132,AC132,AG132,AK132,AO132))</f>
        <v/>
      </c>
      <c r="Q132" s="14" t="n"/>
      <c r="R132" s="11" t="n"/>
      <c r="S132" s="12" t="n"/>
      <c r="T132" s="13" t="n"/>
      <c r="U132" s="79" t="n"/>
      <c r="V132" s="79" t="n"/>
      <c r="W132" s="10" t="n"/>
      <c r="X132" s="11" t="n"/>
      <c r="Y132" s="12" t="n"/>
      <c r="Z132" s="13" t="n"/>
      <c r="AA132" s="10" t="n"/>
      <c r="AB132" s="11" t="n"/>
      <c r="AC132" s="12" t="n"/>
      <c r="AD132" s="13" t="n"/>
      <c r="AE132" s="14" t="n"/>
      <c r="AF132" s="11" t="n"/>
      <c r="AG132" s="12" t="n"/>
      <c r="AH132" s="13" t="n"/>
      <c r="AI132" s="10" t="n"/>
      <c r="AJ132" s="11" t="n"/>
      <c r="AK132" s="12" t="n"/>
      <c r="AL132" s="13" t="n"/>
      <c r="AM132" s="10" t="n"/>
      <c r="AN132" s="11" t="n"/>
      <c r="AO132" s="12" t="n"/>
      <c r="AP132" s="13" t="n"/>
      <c r="AQ132" s="6">
        <f>IF(AND((O132)&lt;85,N132&lt;137),"NO","SI")</f>
        <v/>
      </c>
      <c r="AR132" s="7">
        <f>IF((480*(10^(7.95-(O132/10))))&lt;480,480*(10^(7.95-(O132/10))),480)</f>
        <v/>
      </c>
      <c r="AS132" s="8">
        <f>IF((480*(10^(8.45-(O132/10))))&lt;480,480*(10^(8.45-(O132/10))),480)</f>
        <v/>
      </c>
      <c r="AT132" s="9">
        <f>IF((480*(10^(8.65-(O132/10))))&lt;480,480*(10^(8.65-(O132/10))),480)</f>
        <v/>
      </c>
      <c r="AU132" s="111">
        <f>IF(O132&lt;80,"0",IF((P132-O132)&lt;=2,('DPI art.191'!$G$3-(('DPI art.191'!$F$3-'DPI art.191'!$G$3)/4)*(P132-O132-2)),('DPI art.191'!$G$3-(('DPI art.191'!$G$3-'DPI art.191'!$H$3)/8)*(P132-O132-2))))</f>
        <v/>
      </c>
      <c r="AV132" s="24">
        <f>O132-AU132</f>
        <v/>
      </c>
      <c r="AW132" s="24">
        <f>IF(N132&lt;135,N132,N132-'DPI art.191'!$I$3)</f>
        <v/>
      </c>
      <c r="AX132" s="111">
        <f>IF(I132&lt;80,"0",IF((J132-I132)&lt;=2,('DPI art.191'!$G$7-(('DPI art.191'!$F$7-'DPI art.191'!$G$7)/4)*(I132-J132-2)),('DPI art.191'!$G$7-(('DPI art.191'!$G$7-'DPI art.191'!$H$7)/8)*(J132-I132-2))))</f>
        <v/>
      </c>
      <c r="AY132" s="24">
        <f>I132-AX132</f>
        <v/>
      </c>
      <c r="AZ132" s="24">
        <f>IF(H132&lt;135,H132,H132-'DPI art.191'!$I$7)</f>
        <v/>
      </c>
      <c r="BA132" s="111">
        <f>IF(O132&lt;80,"0",IF((P132-O132)&lt;=2,('DPI art.191'!$G$5-(('DPI art.191'!$F$5-'DPI art.191'!$G$5)/4)*(P132-O132-2)),('DPI art.191'!$G$5-(('DPI art.191'!$G$5-'DPI art.191'!$H$5)/8)*(P132-O132-2))))</f>
        <v/>
      </c>
      <c r="BB132" s="24">
        <f>R132-BA132</f>
        <v/>
      </c>
      <c r="BC132" s="24">
        <f>IF(N132&lt;135,N132,N132-'DPI art.191'!$I$5)</f>
        <v/>
      </c>
      <c r="BD132" s="111">
        <f>IF(O132&lt;80,"0",IF((P132-O132)&lt;=2,('DPI art.191'!$G$7-(('DPI art.191'!$F$7-'DPI art.191'!$G$7)/4)*(O132-P132-2)),('DPI art.191'!$G$7-(('DPI art.191'!$G$7-'DPI art.191'!$H$7)/8)*(P132-O132-2))))</f>
        <v/>
      </c>
      <c r="BE132" s="24">
        <f>O132-BD132</f>
        <v/>
      </c>
      <c r="BF132" s="24">
        <f>IF(N132&lt;135,N132,N132-'DPI art.191'!$I$7)</f>
        <v/>
      </c>
      <c r="BG132" s="108">
        <f>10^(0.1*R132)</f>
        <v/>
      </c>
      <c r="BH132" s="108">
        <f>10^(0.1*X132)</f>
        <v/>
      </c>
      <c r="BI132" s="108">
        <f>10^(0.1*AB132)</f>
        <v/>
      </c>
      <c r="BJ132" s="108">
        <f>10^(0.1*AF132)</f>
        <v/>
      </c>
      <c r="BK132" s="108">
        <f>10^(0.1*AJ132)</f>
        <v/>
      </c>
      <c r="BL132" s="108">
        <f>10^(0.1*AN132)</f>
        <v/>
      </c>
      <c r="BM132" s="106">
        <f>IF(R132&gt;0,(O132-R132),"")</f>
        <v/>
      </c>
      <c r="BN132" s="106">
        <f>IF(X132&gt;0,(O132-X132),"")</f>
        <v/>
      </c>
      <c r="BO132" s="106">
        <f>IF(AB132&gt;0,(O132-AB132),"")</f>
        <v/>
      </c>
      <c r="BP132" s="106">
        <f>IF(AF132&gt;0,(O132-AF132),"")</f>
        <v/>
      </c>
      <c r="BQ132" s="106">
        <f>IF(AJ132&gt;0,(O132-AJ132),"")</f>
        <v/>
      </c>
      <c r="BR132" s="106">
        <f>IF(AN132&gt;0,(O132-AN132),"")</f>
        <v/>
      </c>
      <c r="BS132" s="106">
        <f>COUNT(BM132:BR132)</f>
        <v/>
      </c>
      <c r="BT132" s="464">
        <f>IF(BS132=0,0,IF(BS132=1,0,1/(BS132*(BS132-1))))</f>
        <v/>
      </c>
      <c r="BU132" s="136">
        <f>IF(R132&gt;0,(BM132^2),"")</f>
        <v/>
      </c>
      <c r="BV132" s="136">
        <f>IF(X132&gt;0,(BN132^2),"")</f>
        <v/>
      </c>
      <c r="BW132" s="136">
        <f>IF(AB132&gt;0,(BO132^2),"")</f>
        <v/>
      </c>
      <c r="BX132" s="136">
        <f>IF(AF132&gt;0,(BP132^2),"")</f>
        <v/>
      </c>
      <c r="BY132" s="136">
        <f>IF(AJ132&gt;0,(BQ132^2),"")</f>
        <v/>
      </c>
      <c r="BZ132" s="136">
        <f>IF(AN132&gt;0,(BR132^2),"")</f>
        <v/>
      </c>
    </row>
    <row r="133" ht="18.75" customHeight="1" s="444">
      <c r="A133" s="340" t="inlineStr">
        <is>
          <t>/</t>
        </is>
      </c>
      <c r="B133" s="65">
        <f>B132+1</f>
        <v/>
      </c>
      <c r="C133" s="78" t="n"/>
      <c r="D133" s="83" t="n"/>
      <c r="E133" s="83" t="n"/>
      <c r="F133" s="329" t="n"/>
      <c r="G133" s="71" t="n">
        <v>40725</v>
      </c>
      <c r="H133" s="77" t="inlineStr">
        <is>
          <t>Compito</t>
        </is>
      </c>
      <c r="I133" s="77">
        <f>IF((V133-R133)&gt;3,"SI","")</f>
        <v/>
      </c>
      <c r="J133" s="77">
        <f>IF((U133-R133)&gt;3,"SI","")</f>
        <v/>
      </c>
      <c r="K133" s="77" t="n"/>
      <c r="L133" s="77" t="n"/>
      <c r="M133" s="137">
        <f>IF(R133&gt;0,(SQRT(BT133*(SUM(BU133:BZ133)))),"")</f>
        <v/>
      </c>
      <c r="N133" s="4">
        <f>IF(T133&gt;0,(MAX(T133,Z133,AD133,AH133,AL133,AP133))+SQRT(1.2^2+1^2),"")</f>
        <v/>
      </c>
      <c r="O133" s="3">
        <f>IF(R133="",0,10*LOG10(SUM(BG133:BL133)/(COUNT(R133,X133,AB133,AF133,AJ133,AN133))))</f>
        <v/>
      </c>
      <c r="P133" s="5">
        <f>IF(AND(Y133="",AC133="",AG133="",AK133="",AO133=""),S133,AVERAGE(S133,Y133,AC133,AG133,AK133,AO133)+STDEV(S133,Y133,AC133,AG133,AK133,AO133))</f>
        <v/>
      </c>
      <c r="Q133" s="14" t="n"/>
      <c r="R133" s="11" t="n"/>
      <c r="S133" s="12" t="n"/>
      <c r="T133" s="13" t="n"/>
      <c r="U133" s="79" t="n"/>
      <c r="V133" s="79" t="n"/>
      <c r="W133" s="10" t="n"/>
      <c r="X133" s="11" t="n"/>
      <c r="Y133" s="12" t="n"/>
      <c r="Z133" s="13" t="n"/>
      <c r="AA133" s="10" t="n"/>
      <c r="AB133" s="11" t="n"/>
      <c r="AC133" s="12" t="n"/>
      <c r="AD133" s="13" t="n"/>
      <c r="AE133" s="14" t="n"/>
      <c r="AF133" s="11" t="n"/>
      <c r="AG133" s="12" t="n"/>
      <c r="AH133" s="13" t="n"/>
      <c r="AI133" s="10" t="n"/>
      <c r="AJ133" s="11" t="n"/>
      <c r="AK133" s="12" t="n"/>
      <c r="AL133" s="13" t="n"/>
      <c r="AM133" s="10" t="n"/>
      <c r="AN133" s="11" t="n"/>
      <c r="AO133" s="12" t="n"/>
      <c r="AP133" s="13" t="n"/>
      <c r="AQ133" s="6">
        <f>IF(AND((O133)&lt;85,N133&lt;137),"NO","SI")</f>
        <v/>
      </c>
      <c r="AR133" s="7">
        <f>IF((480*(10^(7.95-(O133/10))))&lt;480,480*(10^(7.95-(O133/10))),480)</f>
        <v/>
      </c>
      <c r="AS133" s="8">
        <f>IF((480*(10^(8.45-(O133/10))))&lt;480,480*(10^(8.45-(O133/10))),480)</f>
        <v/>
      </c>
      <c r="AT133" s="9">
        <f>IF((480*(10^(8.65-(O133/10))))&lt;480,480*(10^(8.65-(O133/10))),480)</f>
        <v/>
      </c>
      <c r="AU133" s="111">
        <f>IF(O133&lt;80,"0",IF((P133-O133)&lt;=2,('DPI art.191'!$G$3-(('DPI art.191'!$F$3-'DPI art.191'!$G$3)/4)*(P133-O133-2)),('DPI art.191'!$G$3-(('DPI art.191'!$G$3-'DPI art.191'!$H$3)/8)*(P133-O133-2))))</f>
        <v/>
      </c>
      <c r="AV133" s="24">
        <f>O133-AU133</f>
        <v/>
      </c>
      <c r="AW133" s="24">
        <f>IF(N133&lt;135,N133,N133-'DPI art.191'!$I$3)</f>
        <v/>
      </c>
      <c r="AX133" s="111">
        <f>IF(I133&lt;80,"0",IF((J133-I133)&lt;=2,('DPI art.191'!$G$7-(('DPI art.191'!$F$7-'DPI art.191'!$G$7)/4)*(I133-J133-2)),('DPI art.191'!$G$7-(('DPI art.191'!$G$7-'DPI art.191'!$H$7)/8)*(J133-I133-2))))</f>
        <v/>
      </c>
      <c r="AY133" s="24">
        <f>I133-AX133</f>
        <v/>
      </c>
      <c r="AZ133" s="24">
        <f>IF(H133&lt;135,H133,H133-'DPI art.191'!$I$7)</f>
        <v/>
      </c>
      <c r="BA133" s="111">
        <f>IF(O133&lt;80,"0",IF((P133-O133)&lt;=2,('DPI art.191'!$G$5-(('DPI art.191'!$F$5-'DPI art.191'!$G$5)/4)*(P133-O133-2)),('DPI art.191'!$G$5-(('DPI art.191'!$G$5-'DPI art.191'!$H$5)/8)*(P133-O133-2))))</f>
        <v/>
      </c>
      <c r="BB133" s="24">
        <f>R133-BA133</f>
        <v/>
      </c>
      <c r="BC133" s="24">
        <f>IF(N133&lt;135,N133,N133-'DPI art.191'!$I$5)</f>
        <v/>
      </c>
      <c r="BD133" s="111">
        <f>IF(O133&lt;80,"0",IF((P133-O133)&lt;=2,('DPI art.191'!$G$7-(('DPI art.191'!$F$7-'DPI art.191'!$G$7)/4)*(O133-P133-2)),('DPI art.191'!$G$7-(('DPI art.191'!$G$7-'DPI art.191'!$H$7)/8)*(P133-O133-2))))</f>
        <v/>
      </c>
      <c r="BE133" s="24">
        <f>O133-BD133</f>
        <v/>
      </c>
      <c r="BF133" s="24">
        <f>IF(N133&lt;135,N133,N133-'DPI art.191'!$I$7)</f>
        <v/>
      </c>
      <c r="BG133" s="108">
        <f>10^(0.1*R133)</f>
        <v/>
      </c>
      <c r="BH133" s="108">
        <f>10^(0.1*X133)</f>
        <v/>
      </c>
      <c r="BI133" s="108">
        <f>10^(0.1*AB133)</f>
        <v/>
      </c>
      <c r="BJ133" s="108">
        <f>10^(0.1*AF133)</f>
        <v/>
      </c>
      <c r="BK133" s="108">
        <f>10^(0.1*AJ133)</f>
        <v/>
      </c>
      <c r="BL133" s="108">
        <f>10^(0.1*AN133)</f>
        <v/>
      </c>
      <c r="BM133" s="106">
        <f>IF(R133&gt;0,(O133-R133),"")</f>
        <v/>
      </c>
      <c r="BN133" s="106">
        <f>IF(X133&gt;0,(O133-X133),"")</f>
        <v/>
      </c>
      <c r="BO133" s="106">
        <f>IF(AB133&gt;0,(O133-AB133),"")</f>
        <v/>
      </c>
      <c r="BP133" s="106">
        <f>IF(AF133&gt;0,(O133-AF133),"")</f>
        <v/>
      </c>
      <c r="BQ133" s="106">
        <f>IF(AJ133&gt;0,(O133-AJ133),"")</f>
        <v/>
      </c>
      <c r="BR133" s="106">
        <f>IF(AN133&gt;0,(O133-AN133),"")</f>
        <v/>
      </c>
      <c r="BS133" s="106">
        <f>COUNT(BM133:BR133)</f>
        <v/>
      </c>
      <c r="BT133" s="464">
        <f>IF(BS133=0,0,IF(BS133=1,0,1/(BS133*(BS133-1))))</f>
        <v/>
      </c>
      <c r="BU133" s="136">
        <f>IF(R133&gt;0,(BM133^2),"")</f>
        <v/>
      </c>
      <c r="BV133" s="136">
        <f>IF(X133&gt;0,(BN133^2),"")</f>
        <v/>
      </c>
      <c r="BW133" s="136">
        <f>IF(AB133&gt;0,(BO133^2),"")</f>
        <v/>
      </c>
      <c r="BX133" s="136">
        <f>IF(AF133&gt;0,(BP133^2),"")</f>
        <v/>
      </c>
      <c r="BY133" s="136">
        <f>IF(AJ133&gt;0,(BQ133^2),"")</f>
        <v/>
      </c>
      <c r="BZ133" s="136">
        <f>IF(AN133&gt;0,(BR133^2),"")</f>
        <v/>
      </c>
    </row>
    <row r="134" ht="18.75" customHeight="1" s="444">
      <c r="A134" s="340" t="inlineStr">
        <is>
          <t>/</t>
        </is>
      </c>
      <c r="B134" s="65">
        <f>B133+1</f>
        <v/>
      </c>
      <c r="C134" s="78" t="n"/>
      <c r="D134" s="83" t="n"/>
      <c r="E134" s="83" t="n"/>
      <c r="F134" s="329" t="n"/>
      <c r="G134" s="71" t="n">
        <v>40725</v>
      </c>
      <c r="H134" s="77" t="inlineStr">
        <is>
          <t>Compito</t>
        </is>
      </c>
      <c r="I134" s="77">
        <f>IF((V134-R134)&gt;3,"SI","")</f>
        <v/>
      </c>
      <c r="J134" s="77">
        <f>IF((U134-R134)&gt;3,"SI","")</f>
        <v/>
      </c>
      <c r="K134" s="77" t="n"/>
      <c r="L134" s="77" t="n"/>
      <c r="M134" s="137">
        <f>IF(R134&gt;0,(SQRT(BT134*(SUM(BU134:BZ134)))),"")</f>
        <v/>
      </c>
      <c r="N134" s="4">
        <f>IF(T134&gt;0,(MAX(T134,Z134,AD134,AH134,AL134,AP134))+SQRT(1.2^2+1^2),"")</f>
        <v/>
      </c>
      <c r="O134" s="3">
        <f>IF(R134="",0,10*LOG10(SUM(BG134:BL134)/(COUNT(R134,X134,AB134,AF134,AJ134,AN134))))</f>
        <v/>
      </c>
      <c r="P134" s="5">
        <f>IF(AND(Y134="",AC134="",AG134="",AK134="",AO134=""),S134,AVERAGE(S134,Y134,AC134,AG134,AK134,AO134)+STDEV(S134,Y134,AC134,AG134,AK134,AO134))</f>
        <v/>
      </c>
      <c r="Q134" s="14" t="n"/>
      <c r="R134" s="11" t="n"/>
      <c r="S134" s="12" t="n"/>
      <c r="T134" s="13" t="n"/>
      <c r="U134" s="79" t="n"/>
      <c r="V134" s="79" t="n"/>
      <c r="W134" s="10" t="n"/>
      <c r="X134" s="11" t="n"/>
      <c r="Y134" s="12" t="n"/>
      <c r="Z134" s="13" t="n"/>
      <c r="AA134" s="10" t="n"/>
      <c r="AB134" s="11" t="n"/>
      <c r="AC134" s="12" t="n"/>
      <c r="AD134" s="13" t="n"/>
      <c r="AE134" s="14" t="n"/>
      <c r="AF134" s="11" t="n"/>
      <c r="AG134" s="12" t="n"/>
      <c r="AH134" s="13" t="n"/>
      <c r="AI134" s="10" t="n"/>
      <c r="AJ134" s="11" t="n"/>
      <c r="AK134" s="12" t="n"/>
      <c r="AL134" s="13" t="n"/>
      <c r="AM134" s="10" t="n"/>
      <c r="AN134" s="11" t="n"/>
      <c r="AO134" s="12" t="n"/>
      <c r="AP134" s="13" t="n"/>
      <c r="AQ134" s="6">
        <f>IF(AND((O134)&lt;85,N134&lt;137),"NO","SI")</f>
        <v/>
      </c>
      <c r="AR134" s="7">
        <f>IF((480*(10^(7.95-(O134/10))))&lt;480,480*(10^(7.95-(O134/10))),480)</f>
        <v/>
      </c>
      <c r="AS134" s="8">
        <f>IF((480*(10^(8.45-(O134/10))))&lt;480,480*(10^(8.45-(O134/10))),480)</f>
        <v/>
      </c>
      <c r="AT134" s="9">
        <f>IF((480*(10^(8.65-(O134/10))))&lt;480,480*(10^(8.65-(O134/10))),480)</f>
        <v/>
      </c>
      <c r="AU134" s="111">
        <f>IF(O134&lt;80,"0",IF((P134-O134)&lt;=2,('DPI art.191'!$G$3-(('DPI art.191'!$F$3-'DPI art.191'!$G$3)/4)*(P134-O134-2)),('DPI art.191'!$G$3-(('DPI art.191'!$G$3-'DPI art.191'!$H$3)/8)*(P134-O134-2))))</f>
        <v/>
      </c>
      <c r="AV134" s="24">
        <f>O134-AU134</f>
        <v/>
      </c>
      <c r="AW134" s="24">
        <f>IF(N134&lt;135,N134,N134-'DPI art.191'!$I$3)</f>
        <v/>
      </c>
      <c r="AX134" s="111">
        <f>IF(I134&lt;80,"0",IF((J134-I134)&lt;=2,('DPI art.191'!$G$7-(('DPI art.191'!$F$7-'DPI art.191'!$G$7)/4)*(I134-J134-2)),('DPI art.191'!$G$7-(('DPI art.191'!$G$7-'DPI art.191'!$H$7)/8)*(J134-I134-2))))</f>
        <v/>
      </c>
      <c r="AY134" s="24">
        <f>I134-AX134</f>
        <v/>
      </c>
      <c r="AZ134" s="24">
        <f>IF(H134&lt;135,H134,H134-'DPI art.191'!$I$7)</f>
        <v/>
      </c>
      <c r="BA134" s="111">
        <f>IF(O134&lt;80,"0",IF((P134-O134)&lt;=2,('DPI art.191'!$G$5-(('DPI art.191'!$F$5-'DPI art.191'!$G$5)/4)*(P134-O134-2)),('DPI art.191'!$G$5-(('DPI art.191'!$G$5-'DPI art.191'!$H$5)/8)*(P134-O134-2))))</f>
        <v/>
      </c>
      <c r="BB134" s="24">
        <f>R134-BA134</f>
        <v/>
      </c>
      <c r="BC134" s="24">
        <f>IF(N134&lt;135,N134,N134-'DPI art.191'!$I$5)</f>
        <v/>
      </c>
      <c r="BD134" s="111">
        <f>IF(O134&lt;80,"0",IF((P134-O134)&lt;=2,('DPI art.191'!$G$7-(('DPI art.191'!$F$7-'DPI art.191'!$G$7)/4)*(O134-P134-2)),('DPI art.191'!$G$7-(('DPI art.191'!$G$7-'DPI art.191'!$H$7)/8)*(P134-O134-2))))</f>
        <v/>
      </c>
      <c r="BE134" s="24">
        <f>O134-BD134</f>
        <v/>
      </c>
      <c r="BF134" s="24">
        <f>IF(N134&lt;135,N134,N134-'DPI art.191'!$I$7)</f>
        <v/>
      </c>
      <c r="BG134" s="108">
        <f>10^(0.1*R134)</f>
        <v/>
      </c>
      <c r="BH134" s="108">
        <f>10^(0.1*X134)</f>
        <v/>
      </c>
      <c r="BI134" s="108">
        <f>10^(0.1*AB134)</f>
        <v/>
      </c>
      <c r="BJ134" s="108">
        <f>10^(0.1*AF134)</f>
        <v/>
      </c>
      <c r="BK134" s="108">
        <f>10^(0.1*AJ134)</f>
        <v/>
      </c>
      <c r="BL134" s="108">
        <f>10^(0.1*AN134)</f>
        <v/>
      </c>
      <c r="BM134" s="106">
        <f>IF(R134&gt;0,(O134-R134),"")</f>
        <v/>
      </c>
      <c r="BN134" s="106">
        <f>IF(X134&gt;0,(O134-X134),"")</f>
        <v/>
      </c>
      <c r="BO134" s="106">
        <f>IF(AB134&gt;0,(O134-AB134),"")</f>
        <v/>
      </c>
      <c r="BP134" s="106">
        <f>IF(AF134&gt;0,(O134-AF134),"")</f>
        <v/>
      </c>
      <c r="BQ134" s="106">
        <f>IF(AJ134&gt;0,(O134-AJ134),"")</f>
        <v/>
      </c>
      <c r="BR134" s="106">
        <f>IF(AN134&gt;0,(O134-AN134),"")</f>
        <v/>
      </c>
      <c r="BS134" s="106">
        <f>COUNT(BM134:BR134)</f>
        <v/>
      </c>
      <c r="BT134" s="464">
        <f>IF(BS134=0,0,IF(BS134=1,0,1/(BS134*(BS134-1))))</f>
        <v/>
      </c>
      <c r="BU134" s="136">
        <f>IF(R134&gt;0,(BM134^2),"")</f>
        <v/>
      </c>
      <c r="BV134" s="136">
        <f>IF(X134&gt;0,(BN134^2),"")</f>
        <v/>
      </c>
      <c r="BW134" s="136">
        <f>IF(AB134&gt;0,(BO134^2),"")</f>
        <v/>
      </c>
      <c r="BX134" s="136">
        <f>IF(AF134&gt;0,(BP134^2),"")</f>
        <v/>
      </c>
      <c r="BY134" s="136">
        <f>IF(AJ134&gt;0,(BQ134^2),"")</f>
        <v/>
      </c>
      <c r="BZ134" s="136">
        <f>IF(AN134&gt;0,(BR134^2),"")</f>
        <v/>
      </c>
    </row>
    <row r="135" ht="18.75" customHeight="1" s="444">
      <c r="A135" s="340" t="inlineStr">
        <is>
          <t>/</t>
        </is>
      </c>
      <c r="B135" s="65">
        <f>B134+1</f>
        <v/>
      </c>
      <c r="C135" s="78" t="n"/>
      <c r="D135" s="83" t="n"/>
      <c r="E135" s="83" t="n"/>
      <c r="F135" s="329" t="n"/>
      <c r="G135" s="71" t="n">
        <v>40725</v>
      </c>
      <c r="H135" s="77" t="inlineStr">
        <is>
          <t>Compito</t>
        </is>
      </c>
      <c r="I135" s="77">
        <f>IF((V135-R135)&gt;3,"SI","")</f>
        <v/>
      </c>
      <c r="J135" s="77">
        <f>IF((U135-R135)&gt;3,"SI","")</f>
        <v/>
      </c>
      <c r="K135" s="77" t="n"/>
      <c r="L135" s="77" t="n"/>
      <c r="M135" s="137">
        <f>IF(R135&gt;0,(SQRT(BT135*(SUM(BU135:BZ135)))),"")</f>
        <v/>
      </c>
      <c r="N135" s="4">
        <f>IF(T135&gt;0,(MAX(T135,Z135,AD135,AH135,AL135,AP135))+SQRT(1.2^2+1^2),"")</f>
        <v/>
      </c>
      <c r="O135" s="3">
        <f>IF(R135="",0,10*LOG10(SUM(BG135:BL135)/(COUNT(R135,X135,AB135,AF135,AJ135,AN135))))</f>
        <v/>
      </c>
      <c r="P135" s="5">
        <f>IF(AND(Y135="",AC135="",AG135="",AK135="",AO135=""),S135,AVERAGE(S135,Y135,AC135,AG135,AK135,AO135)+STDEV(S135,Y135,AC135,AG135,AK135,AO135))</f>
        <v/>
      </c>
      <c r="Q135" s="14" t="n"/>
      <c r="R135" s="11" t="n"/>
      <c r="S135" s="12" t="n"/>
      <c r="T135" s="13" t="n"/>
      <c r="U135" s="79" t="n"/>
      <c r="V135" s="79" t="n"/>
      <c r="W135" s="10" t="n"/>
      <c r="X135" s="11" t="n"/>
      <c r="Y135" s="12" t="n"/>
      <c r="Z135" s="13" t="n"/>
      <c r="AA135" s="10" t="n"/>
      <c r="AB135" s="11" t="n"/>
      <c r="AC135" s="12" t="n"/>
      <c r="AD135" s="13" t="n"/>
      <c r="AE135" s="14" t="n"/>
      <c r="AF135" s="11" t="n"/>
      <c r="AG135" s="12" t="n"/>
      <c r="AH135" s="13" t="n"/>
      <c r="AI135" s="10" t="n"/>
      <c r="AJ135" s="11" t="n"/>
      <c r="AK135" s="12" t="n"/>
      <c r="AL135" s="13" t="n"/>
      <c r="AM135" s="10" t="n"/>
      <c r="AN135" s="11" t="n"/>
      <c r="AO135" s="12" t="n"/>
      <c r="AP135" s="13" t="n"/>
      <c r="AQ135" s="6">
        <f>IF(AND((O135)&lt;85,N135&lt;137),"NO","SI")</f>
        <v/>
      </c>
      <c r="AR135" s="7">
        <f>IF((480*(10^(7.95-(O135/10))))&lt;480,480*(10^(7.95-(O135/10))),480)</f>
        <v/>
      </c>
      <c r="AS135" s="8">
        <f>IF((480*(10^(8.45-(O135/10))))&lt;480,480*(10^(8.45-(O135/10))),480)</f>
        <v/>
      </c>
      <c r="AT135" s="9">
        <f>IF((480*(10^(8.65-(O135/10))))&lt;480,480*(10^(8.65-(O135/10))),480)</f>
        <v/>
      </c>
      <c r="AU135" s="111">
        <f>IF(O135&lt;80,"0",IF((P135-O135)&lt;=2,('DPI art.191'!$G$3-(('DPI art.191'!$F$3-'DPI art.191'!$G$3)/4)*(P135-O135-2)),('DPI art.191'!$G$3-(('DPI art.191'!$G$3-'DPI art.191'!$H$3)/8)*(P135-O135-2))))</f>
        <v/>
      </c>
      <c r="AV135" s="24">
        <f>O135-AU135</f>
        <v/>
      </c>
      <c r="AW135" s="24">
        <f>IF(N135&lt;135,N135,N135-'DPI art.191'!$I$3)</f>
        <v/>
      </c>
      <c r="AX135" s="111">
        <f>IF(I135&lt;80,"0",IF((J135-I135)&lt;=2,('DPI art.191'!$G$7-(('DPI art.191'!$F$7-'DPI art.191'!$G$7)/4)*(I135-J135-2)),('DPI art.191'!$G$7-(('DPI art.191'!$G$7-'DPI art.191'!$H$7)/8)*(J135-I135-2))))</f>
        <v/>
      </c>
      <c r="AY135" s="24">
        <f>I135-AX135</f>
        <v/>
      </c>
      <c r="AZ135" s="24">
        <f>IF(H135&lt;135,H135,H135-'DPI art.191'!$I$7)</f>
        <v/>
      </c>
      <c r="BA135" s="111">
        <f>IF(O135&lt;80,"0",IF((P135-O135)&lt;=2,('DPI art.191'!$G$5-(('DPI art.191'!$F$5-'DPI art.191'!$G$5)/4)*(P135-O135-2)),('DPI art.191'!$G$5-(('DPI art.191'!$G$5-'DPI art.191'!$H$5)/8)*(P135-O135-2))))</f>
        <v/>
      </c>
      <c r="BB135" s="24">
        <f>R135-BA135</f>
        <v/>
      </c>
      <c r="BC135" s="24">
        <f>IF(N135&lt;135,N135,N135-'DPI art.191'!$I$5)</f>
        <v/>
      </c>
      <c r="BD135" s="111">
        <f>IF(O135&lt;80,"0",IF((P135-O135)&lt;=2,('DPI art.191'!$G$7-(('DPI art.191'!$F$7-'DPI art.191'!$G$7)/4)*(O135-P135-2)),('DPI art.191'!$G$7-(('DPI art.191'!$G$7-'DPI art.191'!$H$7)/8)*(P135-O135-2))))</f>
        <v/>
      </c>
      <c r="BE135" s="24">
        <f>O135-BD135</f>
        <v/>
      </c>
      <c r="BF135" s="24">
        <f>IF(N135&lt;135,N135,N135-'DPI art.191'!$I$7)</f>
        <v/>
      </c>
      <c r="BG135" s="108">
        <f>10^(0.1*R135)</f>
        <v/>
      </c>
      <c r="BH135" s="108">
        <f>10^(0.1*X135)</f>
        <v/>
      </c>
      <c r="BI135" s="108">
        <f>10^(0.1*AB135)</f>
        <v/>
      </c>
      <c r="BJ135" s="108">
        <f>10^(0.1*AF135)</f>
        <v/>
      </c>
      <c r="BK135" s="108">
        <f>10^(0.1*AJ135)</f>
        <v/>
      </c>
      <c r="BL135" s="108">
        <f>10^(0.1*AN135)</f>
        <v/>
      </c>
      <c r="BM135" s="106">
        <f>IF(R135&gt;0,(O135-R135),"")</f>
        <v/>
      </c>
      <c r="BN135" s="106">
        <f>IF(X135&gt;0,(O135-X135),"")</f>
        <v/>
      </c>
      <c r="BO135" s="106">
        <f>IF(AB135&gt;0,(O135-AB135),"")</f>
        <v/>
      </c>
      <c r="BP135" s="106">
        <f>IF(AF135&gt;0,(O135-AF135),"")</f>
        <v/>
      </c>
      <c r="BQ135" s="106">
        <f>IF(AJ135&gt;0,(O135-AJ135),"")</f>
        <v/>
      </c>
      <c r="BR135" s="106">
        <f>IF(AN135&gt;0,(O135-AN135),"")</f>
        <v/>
      </c>
      <c r="BS135" s="106">
        <f>COUNT(BM135:BR135)</f>
        <v/>
      </c>
      <c r="BT135" s="464">
        <f>IF(BS135=0,0,IF(BS135=1,0,1/(BS135*(BS135-1))))</f>
        <v/>
      </c>
      <c r="BU135" s="136">
        <f>IF(R135&gt;0,(BM135^2),"")</f>
        <v/>
      </c>
      <c r="BV135" s="136">
        <f>IF(X135&gt;0,(BN135^2),"")</f>
        <v/>
      </c>
      <c r="BW135" s="136">
        <f>IF(AB135&gt;0,(BO135^2),"")</f>
        <v/>
      </c>
      <c r="BX135" s="136">
        <f>IF(AF135&gt;0,(BP135^2),"")</f>
        <v/>
      </c>
      <c r="BY135" s="136">
        <f>IF(AJ135&gt;0,(BQ135^2),"")</f>
        <v/>
      </c>
      <c r="BZ135" s="136">
        <f>IF(AN135&gt;0,(BR135^2),"")</f>
        <v/>
      </c>
    </row>
    <row r="136" ht="18.75" customHeight="1" s="444">
      <c r="A136" s="340" t="inlineStr">
        <is>
          <t>/</t>
        </is>
      </c>
      <c r="B136" s="65">
        <f>B135+1</f>
        <v/>
      </c>
      <c r="C136" s="78" t="n"/>
      <c r="D136" s="83" t="n"/>
      <c r="E136" s="83" t="n"/>
      <c r="F136" s="329" t="n"/>
      <c r="G136" s="71" t="n">
        <v>40725</v>
      </c>
      <c r="H136" s="77" t="inlineStr">
        <is>
          <t>Compito</t>
        </is>
      </c>
      <c r="I136" s="77">
        <f>IF((V136-R136)&gt;3,"SI","")</f>
        <v/>
      </c>
      <c r="J136" s="77">
        <f>IF((U136-R136)&gt;3,"SI","")</f>
        <v/>
      </c>
      <c r="K136" s="77" t="n"/>
      <c r="L136" s="77" t="n"/>
      <c r="M136" s="137">
        <f>IF(R136&gt;0,(SQRT(BT136*(SUM(BU136:BZ136)))),"")</f>
        <v/>
      </c>
      <c r="N136" s="4">
        <f>IF(T136&gt;0,(MAX(T136,Z136,AD136,AH136,AL136,AP136))+SQRT(1.2^2+1^2),"")</f>
        <v/>
      </c>
      <c r="O136" s="3">
        <f>IF(R136="",0,10*LOG10(SUM(BG136:BL136)/(COUNT(R136,X136,AB136,AF136,AJ136,AN136))))</f>
        <v/>
      </c>
      <c r="P136" s="5">
        <f>IF(AND(Y136="",AC136="",AG136="",AK136="",AO136=""),S136,AVERAGE(S136,Y136,AC136,AG136,AK136,AO136)+STDEV(S136,Y136,AC136,AG136,AK136,AO136))</f>
        <v/>
      </c>
      <c r="Q136" s="14" t="n"/>
      <c r="R136" s="11" t="n"/>
      <c r="S136" s="12" t="n"/>
      <c r="T136" s="13" t="n"/>
      <c r="U136" s="79" t="n"/>
      <c r="V136" s="79" t="n"/>
      <c r="W136" s="10" t="n"/>
      <c r="X136" s="11" t="n"/>
      <c r="Y136" s="12" t="n"/>
      <c r="Z136" s="13" t="n"/>
      <c r="AA136" s="10" t="n"/>
      <c r="AB136" s="11" t="n"/>
      <c r="AC136" s="12" t="n"/>
      <c r="AD136" s="13" t="n"/>
      <c r="AE136" s="14" t="n"/>
      <c r="AF136" s="11" t="n"/>
      <c r="AG136" s="12" t="n"/>
      <c r="AH136" s="13" t="n"/>
      <c r="AI136" s="10" t="n"/>
      <c r="AJ136" s="11" t="n"/>
      <c r="AK136" s="12" t="n"/>
      <c r="AL136" s="13" t="n"/>
      <c r="AM136" s="10" t="n"/>
      <c r="AN136" s="11" t="n"/>
      <c r="AO136" s="12" t="n"/>
      <c r="AP136" s="13" t="n"/>
      <c r="AQ136" s="6">
        <f>IF(AND((O136)&lt;85,N136&lt;137),"NO","SI")</f>
        <v/>
      </c>
      <c r="AR136" s="7">
        <f>IF((480*(10^(7.95-(O136/10))))&lt;480,480*(10^(7.95-(O136/10))),480)</f>
        <v/>
      </c>
      <c r="AS136" s="8">
        <f>IF((480*(10^(8.45-(O136/10))))&lt;480,480*(10^(8.45-(O136/10))),480)</f>
        <v/>
      </c>
      <c r="AT136" s="9">
        <f>IF((480*(10^(8.65-(O136/10))))&lt;480,480*(10^(8.65-(O136/10))),480)</f>
        <v/>
      </c>
      <c r="AU136" s="111">
        <f>IF(O136&lt;80,"0",IF((P136-O136)&lt;=2,('DPI art.191'!$G$3-(('DPI art.191'!$F$3-'DPI art.191'!$G$3)/4)*(P136-O136-2)),('DPI art.191'!$G$3-(('DPI art.191'!$G$3-'DPI art.191'!$H$3)/8)*(P136-O136-2))))</f>
        <v/>
      </c>
      <c r="AV136" s="24">
        <f>O136-AU136</f>
        <v/>
      </c>
      <c r="AW136" s="24">
        <f>IF(N136&lt;135,N136,N136-'DPI art.191'!$I$3)</f>
        <v/>
      </c>
      <c r="AX136" s="111">
        <f>IF(I136&lt;80,"0",IF((J136-I136)&lt;=2,('DPI art.191'!$G$7-(('DPI art.191'!$F$7-'DPI art.191'!$G$7)/4)*(I136-J136-2)),('DPI art.191'!$G$7-(('DPI art.191'!$G$7-'DPI art.191'!$H$7)/8)*(J136-I136-2))))</f>
        <v/>
      </c>
      <c r="AY136" s="24">
        <f>I136-AX136</f>
        <v/>
      </c>
      <c r="AZ136" s="24">
        <f>IF(H136&lt;135,H136,H136-'DPI art.191'!$I$7)</f>
        <v/>
      </c>
      <c r="BA136" s="111">
        <f>IF(O136&lt;80,"0",IF((P136-O136)&lt;=2,('DPI art.191'!$G$5-(('DPI art.191'!$F$5-'DPI art.191'!$G$5)/4)*(P136-O136-2)),('DPI art.191'!$G$5-(('DPI art.191'!$G$5-'DPI art.191'!$H$5)/8)*(P136-O136-2))))</f>
        <v/>
      </c>
      <c r="BB136" s="24">
        <f>R136-BA136</f>
        <v/>
      </c>
      <c r="BC136" s="24">
        <f>IF(N136&lt;135,N136,N136-'DPI art.191'!$I$5)</f>
        <v/>
      </c>
      <c r="BD136" s="111">
        <f>IF(O136&lt;80,"0",IF((P136-O136)&lt;=2,('DPI art.191'!$G$7-(('DPI art.191'!$F$7-'DPI art.191'!$G$7)/4)*(O136-P136-2)),('DPI art.191'!$G$7-(('DPI art.191'!$G$7-'DPI art.191'!$H$7)/8)*(P136-O136-2))))</f>
        <v/>
      </c>
      <c r="BE136" s="24">
        <f>O136-BD136</f>
        <v/>
      </c>
      <c r="BF136" s="24">
        <f>IF(N136&lt;135,N136,N136-'DPI art.191'!$I$7)</f>
        <v/>
      </c>
      <c r="BG136" s="108">
        <f>10^(0.1*R136)</f>
        <v/>
      </c>
      <c r="BH136" s="108">
        <f>10^(0.1*X136)</f>
        <v/>
      </c>
      <c r="BI136" s="108">
        <f>10^(0.1*AB136)</f>
        <v/>
      </c>
      <c r="BJ136" s="108">
        <f>10^(0.1*AF136)</f>
        <v/>
      </c>
      <c r="BK136" s="108">
        <f>10^(0.1*AJ136)</f>
        <v/>
      </c>
      <c r="BL136" s="108">
        <f>10^(0.1*AN136)</f>
        <v/>
      </c>
      <c r="BM136" s="106">
        <f>IF(R136&gt;0,(O136-R136),"")</f>
        <v/>
      </c>
      <c r="BN136" s="106">
        <f>IF(X136&gt;0,(O136-X136),"")</f>
        <v/>
      </c>
      <c r="BO136" s="106">
        <f>IF(AB136&gt;0,(O136-AB136),"")</f>
        <v/>
      </c>
      <c r="BP136" s="106">
        <f>IF(AF136&gt;0,(O136-AF136),"")</f>
        <v/>
      </c>
      <c r="BQ136" s="106">
        <f>IF(AJ136&gt;0,(O136-AJ136),"")</f>
        <v/>
      </c>
      <c r="BR136" s="106">
        <f>IF(AN136&gt;0,(O136-AN136),"")</f>
        <v/>
      </c>
      <c r="BS136" s="106">
        <f>COUNT(BM136:BR136)</f>
        <v/>
      </c>
      <c r="BT136" s="464">
        <f>IF(BS136=0,0,IF(BS136=1,0,1/(BS136*(BS136-1))))</f>
        <v/>
      </c>
      <c r="BU136" s="136">
        <f>IF(R136&gt;0,(BM136^2),"")</f>
        <v/>
      </c>
      <c r="BV136" s="136">
        <f>IF(X136&gt;0,(BN136^2),"")</f>
        <v/>
      </c>
      <c r="BW136" s="136">
        <f>IF(AB136&gt;0,(BO136^2),"")</f>
        <v/>
      </c>
      <c r="BX136" s="136">
        <f>IF(AF136&gt;0,(BP136^2),"")</f>
        <v/>
      </c>
      <c r="BY136" s="136">
        <f>IF(AJ136&gt;0,(BQ136^2),"")</f>
        <v/>
      </c>
      <c r="BZ136" s="136">
        <f>IF(AN136&gt;0,(BR136^2),"")</f>
        <v/>
      </c>
    </row>
    <row r="137" ht="18.75" customHeight="1" s="444">
      <c r="A137" s="340" t="inlineStr">
        <is>
          <t>/</t>
        </is>
      </c>
      <c r="B137" s="65">
        <f>B136+1</f>
        <v/>
      </c>
      <c r="C137" s="78" t="n"/>
      <c r="D137" s="83" t="n"/>
      <c r="E137" s="83" t="n"/>
      <c r="F137" s="329" t="n"/>
      <c r="G137" s="71" t="n">
        <v>40725</v>
      </c>
      <c r="H137" s="77" t="inlineStr">
        <is>
          <t>Compito</t>
        </is>
      </c>
      <c r="I137" s="77">
        <f>IF((V137-R137)&gt;3,"SI","")</f>
        <v/>
      </c>
      <c r="J137" s="77">
        <f>IF((U137-R137)&gt;3,"SI","")</f>
        <v/>
      </c>
      <c r="K137" s="77" t="n"/>
      <c r="L137" s="77" t="n"/>
      <c r="M137" s="137">
        <f>IF(R137&gt;0,(SQRT(BT137*(SUM(BU137:BZ137)))),"")</f>
        <v/>
      </c>
      <c r="N137" s="4">
        <f>IF(T137&gt;0,(MAX(T137,Z137,AD137,AH137,AL137,AP137))+SQRT(1.2^2+1^2),"")</f>
        <v/>
      </c>
      <c r="O137" s="3">
        <f>IF(R137="",0,10*LOG10(SUM(BG137:BL137)/(COUNT(R137,X137,AB137,AF137,AJ137,AN137))))</f>
        <v/>
      </c>
      <c r="P137" s="5">
        <f>IF(AND(Y137="",AC137="",AG137="",AK137="",AO137=""),S137,AVERAGE(S137,Y137,AC137,AG137,AK137,AO137)+STDEV(S137,Y137,AC137,AG137,AK137,AO137))</f>
        <v/>
      </c>
      <c r="Q137" s="14" t="n"/>
      <c r="R137" s="11" t="n"/>
      <c r="S137" s="12" t="n"/>
      <c r="T137" s="13" t="n"/>
      <c r="U137" s="79" t="n"/>
      <c r="V137" s="79" t="n"/>
      <c r="W137" s="10" t="n"/>
      <c r="X137" s="11" t="n"/>
      <c r="Y137" s="12" t="n"/>
      <c r="Z137" s="13" t="n"/>
      <c r="AA137" s="10" t="n"/>
      <c r="AB137" s="11" t="n"/>
      <c r="AC137" s="12" t="n"/>
      <c r="AD137" s="13" t="n"/>
      <c r="AE137" s="14" t="n"/>
      <c r="AF137" s="11" t="n"/>
      <c r="AG137" s="12" t="n"/>
      <c r="AH137" s="13" t="n"/>
      <c r="AI137" s="10" t="n"/>
      <c r="AJ137" s="11" t="n"/>
      <c r="AK137" s="12" t="n"/>
      <c r="AL137" s="13" t="n"/>
      <c r="AM137" s="10" t="n"/>
      <c r="AN137" s="11" t="n"/>
      <c r="AO137" s="12" t="n"/>
      <c r="AP137" s="13" t="n"/>
      <c r="AQ137" s="6">
        <f>IF(AND((O137)&lt;85,N137&lt;137),"NO","SI")</f>
        <v/>
      </c>
      <c r="AR137" s="7">
        <f>IF((480*(10^(7.95-(O137/10))))&lt;480,480*(10^(7.95-(O137/10))),480)</f>
        <v/>
      </c>
      <c r="AS137" s="8">
        <f>IF((480*(10^(8.45-(O137/10))))&lt;480,480*(10^(8.45-(O137/10))),480)</f>
        <v/>
      </c>
      <c r="AT137" s="9">
        <f>IF((480*(10^(8.65-(O137/10))))&lt;480,480*(10^(8.65-(O137/10))),480)</f>
        <v/>
      </c>
      <c r="AU137" s="111">
        <f>IF(O137&lt;80,"0",IF((P137-O137)&lt;=2,('DPI art.191'!$G$3-(('DPI art.191'!$F$3-'DPI art.191'!$G$3)/4)*(P137-O137-2)),('DPI art.191'!$G$3-(('DPI art.191'!$G$3-'DPI art.191'!$H$3)/8)*(P137-O137-2))))</f>
        <v/>
      </c>
      <c r="AV137" s="24">
        <f>O137-AU137</f>
        <v/>
      </c>
      <c r="AW137" s="24">
        <f>IF(N137&lt;135,N137,N137-'DPI art.191'!$I$3)</f>
        <v/>
      </c>
      <c r="AX137" s="111">
        <f>IF(I137&lt;80,"0",IF((J137-I137)&lt;=2,('DPI art.191'!$G$7-(('DPI art.191'!$F$7-'DPI art.191'!$G$7)/4)*(I137-J137-2)),('DPI art.191'!$G$7-(('DPI art.191'!$G$7-'DPI art.191'!$H$7)/8)*(J137-I137-2))))</f>
        <v/>
      </c>
      <c r="AY137" s="24">
        <f>I137-AX137</f>
        <v/>
      </c>
      <c r="AZ137" s="24">
        <f>IF(H137&lt;135,H137,H137-'DPI art.191'!$I$7)</f>
        <v/>
      </c>
      <c r="BA137" s="111">
        <f>IF(O137&lt;80,"0",IF((P137-O137)&lt;=2,('DPI art.191'!$G$5-(('DPI art.191'!$F$5-'DPI art.191'!$G$5)/4)*(P137-O137-2)),('DPI art.191'!$G$5-(('DPI art.191'!$G$5-'DPI art.191'!$H$5)/8)*(P137-O137-2))))</f>
        <v/>
      </c>
      <c r="BB137" s="24">
        <f>R137-BA137</f>
        <v/>
      </c>
      <c r="BC137" s="24">
        <f>IF(N137&lt;135,N137,N137-'DPI art.191'!$I$5)</f>
        <v/>
      </c>
      <c r="BD137" s="111">
        <f>IF(O137&lt;80,"0",IF((P137-O137)&lt;=2,('DPI art.191'!$G$7-(('DPI art.191'!$F$7-'DPI art.191'!$G$7)/4)*(O137-P137-2)),('DPI art.191'!$G$7-(('DPI art.191'!$G$7-'DPI art.191'!$H$7)/8)*(P137-O137-2))))</f>
        <v/>
      </c>
      <c r="BE137" s="24">
        <f>O137-BD137</f>
        <v/>
      </c>
      <c r="BF137" s="24">
        <f>IF(N137&lt;135,N137,N137-'DPI art.191'!$I$7)</f>
        <v/>
      </c>
      <c r="BG137" s="108">
        <f>10^(0.1*R137)</f>
        <v/>
      </c>
      <c r="BH137" s="108">
        <f>10^(0.1*X137)</f>
        <v/>
      </c>
      <c r="BI137" s="108">
        <f>10^(0.1*AB137)</f>
        <v/>
      </c>
      <c r="BJ137" s="108">
        <f>10^(0.1*AF137)</f>
        <v/>
      </c>
      <c r="BK137" s="108">
        <f>10^(0.1*AJ137)</f>
        <v/>
      </c>
      <c r="BL137" s="108">
        <f>10^(0.1*AN137)</f>
        <v/>
      </c>
      <c r="BM137" s="106">
        <f>IF(R137&gt;0,(O137-R137),"")</f>
        <v/>
      </c>
      <c r="BN137" s="106">
        <f>IF(X137&gt;0,(O137-X137),"")</f>
        <v/>
      </c>
      <c r="BO137" s="106">
        <f>IF(AB137&gt;0,(O137-AB137),"")</f>
        <v/>
      </c>
      <c r="BP137" s="106">
        <f>IF(AF137&gt;0,(O137-AF137),"")</f>
        <v/>
      </c>
      <c r="BQ137" s="106">
        <f>IF(AJ137&gt;0,(O137-AJ137),"")</f>
        <v/>
      </c>
      <c r="BR137" s="106">
        <f>IF(AN137&gt;0,(O137-AN137),"")</f>
        <v/>
      </c>
      <c r="BS137" s="106">
        <f>COUNT(BM137:BR137)</f>
        <v/>
      </c>
      <c r="BT137" s="464">
        <f>IF(BS137=0,0,IF(BS137=1,0,1/(BS137*(BS137-1))))</f>
        <v/>
      </c>
      <c r="BU137" s="136">
        <f>IF(R137&gt;0,(BM137^2),"")</f>
        <v/>
      </c>
      <c r="BV137" s="136">
        <f>IF(X137&gt;0,(BN137^2),"")</f>
        <v/>
      </c>
      <c r="BW137" s="136">
        <f>IF(AB137&gt;0,(BO137^2),"")</f>
        <v/>
      </c>
      <c r="BX137" s="136">
        <f>IF(AF137&gt;0,(BP137^2),"")</f>
        <v/>
      </c>
      <c r="BY137" s="136">
        <f>IF(AJ137&gt;0,(BQ137^2),"")</f>
        <v/>
      </c>
      <c r="BZ137" s="136">
        <f>IF(AN137&gt;0,(BR137^2),"")</f>
        <v/>
      </c>
    </row>
    <row r="138" ht="18.75" customHeight="1" s="444">
      <c r="A138" s="340" t="inlineStr">
        <is>
          <t>/</t>
        </is>
      </c>
      <c r="B138" s="65">
        <f>B137+1</f>
        <v/>
      </c>
      <c r="C138" s="78" t="n"/>
      <c r="D138" s="83" t="n"/>
      <c r="E138" s="83" t="n"/>
      <c r="F138" s="329" t="n"/>
      <c r="G138" s="71" t="n">
        <v>40725</v>
      </c>
      <c r="H138" s="77" t="inlineStr">
        <is>
          <t>Compito</t>
        </is>
      </c>
      <c r="I138" s="77">
        <f>IF((V138-R138)&gt;3,"SI","")</f>
        <v/>
      </c>
      <c r="J138" s="77">
        <f>IF((U138-R138)&gt;3,"SI","")</f>
        <v/>
      </c>
      <c r="K138" s="77" t="n"/>
      <c r="L138" s="77" t="n"/>
      <c r="M138" s="137">
        <f>IF(R138&gt;0,(SQRT(BT138*(SUM(BU138:BZ138)))),"")</f>
        <v/>
      </c>
      <c r="N138" s="4">
        <f>IF(T138&gt;0,(MAX(T138,Z138,AD138,AH138,AL138,AP138))+SQRT(1.2^2+1^2),"")</f>
        <v/>
      </c>
      <c r="O138" s="3">
        <f>IF(R138="",0,10*LOG10(SUM(BG138:BL138)/(COUNT(R138,X138,AB138,AF138,AJ138,AN138))))</f>
        <v/>
      </c>
      <c r="P138" s="5">
        <f>IF(AND(Y138="",AC138="",AG138="",AK138="",AO138=""),S138,AVERAGE(S138,Y138,AC138,AG138,AK138,AO138)+STDEV(S138,Y138,AC138,AG138,AK138,AO138))</f>
        <v/>
      </c>
      <c r="Q138" s="14" t="n"/>
      <c r="R138" s="11" t="n"/>
      <c r="S138" s="12" t="n"/>
      <c r="T138" s="13" t="n"/>
      <c r="U138" s="79" t="n"/>
      <c r="V138" s="79" t="n"/>
      <c r="W138" s="10" t="n"/>
      <c r="X138" s="11" t="n"/>
      <c r="Y138" s="12" t="n"/>
      <c r="Z138" s="13" t="n"/>
      <c r="AA138" s="10" t="n"/>
      <c r="AB138" s="11" t="n"/>
      <c r="AC138" s="12" t="n"/>
      <c r="AD138" s="13" t="n"/>
      <c r="AE138" s="14" t="n"/>
      <c r="AF138" s="11" t="n"/>
      <c r="AG138" s="12" t="n"/>
      <c r="AH138" s="13" t="n"/>
      <c r="AI138" s="10" t="n"/>
      <c r="AJ138" s="11" t="n"/>
      <c r="AK138" s="12" t="n"/>
      <c r="AL138" s="13" t="n"/>
      <c r="AM138" s="10" t="n"/>
      <c r="AN138" s="11" t="n"/>
      <c r="AO138" s="12" t="n"/>
      <c r="AP138" s="13" t="n"/>
      <c r="AQ138" s="6">
        <f>IF(AND((O138)&lt;85,N138&lt;137),"NO","SI")</f>
        <v/>
      </c>
      <c r="AR138" s="7">
        <f>IF((480*(10^(7.95-(O138/10))))&lt;480,480*(10^(7.95-(O138/10))),480)</f>
        <v/>
      </c>
      <c r="AS138" s="8">
        <f>IF((480*(10^(8.45-(O138/10))))&lt;480,480*(10^(8.45-(O138/10))),480)</f>
        <v/>
      </c>
      <c r="AT138" s="9">
        <f>IF((480*(10^(8.65-(O138/10))))&lt;480,480*(10^(8.65-(O138/10))),480)</f>
        <v/>
      </c>
      <c r="AU138" s="111">
        <f>IF(O138&lt;80,"0",IF((P138-O138)&lt;=2,('DPI art.191'!$G$3-(('DPI art.191'!$F$3-'DPI art.191'!$G$3)/4)*(P138-O138-2)),('DPI art.191'!$G$3-(('DPI art.191'!$G$3-'DPI art.191'!$H$3)/8)*(P138-O138-2))))</f>
        <v/>
      </c>
      <c r="AV138" s="24">
        <f>O138-AU138</f>
        <v/>
      </c>
      <c r="AW138" s="24">
        <f>IF(N138&lt;135,N138,N138-'DPI art.191'!$I$3)</f>
        <v/>
      </c>
      <c r="AX138" s="111">
        <f>IF(I138&lt;80,"0",IF((J138-I138)&lt;=2,('DPI art.191'!$G$7-(('DPI art.191'!$F$7-'DPI art.191'!$G$7)/4)*(I138-J138-2)),('DPI art.191'!$G$7-(('DPI art.191'!$G$7-'DPI art.191'!$H$7)/8)*(J138-I138-2))))</f>
        <v/>
      </c>
      <c r="AY138" s="24">
        <f>I138-AX138</f>
        <v/>
      </c>
      <c r="AZ138" s="24">
        <f>IF(H138&lt;135,H138,H138-'DPI art.191'!$I$7)</f>
        <v/>
      </c>
      <c r="BA138" s="111">
        <f>IF(O138&lt;80,"0",IF((P138-O138)&lt;=2,('DPI art.191'!$G$5-(('DPI art.191'!$F$5-'DPI art.191'!$G$5)/4)*(P138-O138-2)),('DPI art.191'!$G$5-(('DPI art.191'!$G$5-'DPI art.191'!$H$5)/8)*(P138-O138-2))))</f>
        <v/>
      </c>
      <c r="BB138" s="24">
        <f>R138-BA138</f>
        <v/>
      </c>
      <c r="BC138" s="24">
        <f>IF(N138&lt;135,N138,N138-'DPI art.191'!$I$5)</f>
        <v/>
      </c>
      <c r="BD138" s="111">
        <f>IF(O138&lt;80,"0",IF((P138-O138)&lt;=2,('DPI art.191'!$G$7-(('DPI art.191'!$F$7-'DPI art.191'!$G$7)/4)*(O138-P138-2)),('DPI art.191'!$G$7-(('DPI art.191'!$G$7-'DPI art.191'!$H$7)/8)*(P138-O138-2))))</f>
        <v/>
      </c>
      <c r="BE138" s="24">
        <f>O138-BD138</f>
        <v/>
      </c>
      <c r="BF138" s="24">
        <f>IF(N138&lt;135,N138,N138-'DPI art.191'!$I$7)</f>
        <v/>
      </c>
      <c r="BG138" s="108">
        <f>10^(0.1*R138)</f>
        <v/>
      </c>
      <c r="BH138" s="108">
        <f>10^(0.1*X138)</f>
        <v/>
      </c>
      <c r="BI138" s="108">
        <f>10^(0.1*AB138)</f>
        <v/>
      </c>
      <c r="BJ138" s="108">
        <f>10^(0.1*AF138)</f>
        <v/>
      </c>
      <c r="BK138" s="108">
        <f>10^(0.1*AJ138)</f>
        <v/>
      </c>
      <c r="BL138" s="108">
        <f>10^(0.1*AN138)</f>
        <v/>
      </c>
      <c r="BM138" s="106">
        <f>IF(R138&gt;0,(O138-R138),"")</f>
        <v/>
      </c>
      <c r="BN138" s="106">
        <f>IF(X138&gt;0,(O138-X138),"")</f>
        <v/>
      </c>
      <c r="BO138" s="106">
        <f>IF(AB138&gt;0,(O138-AB138),"")</f>
        <v/>
      </c>
      <c r="BP138" s="106">
        <f>IF(AF138&gt;0,(O138-AF138),"")</f>
        <v/>
      </c>
      <c r="BQ138" s="106">
        <f>IF(AJ138&gt;0,(O138-AJ138),"")</f>
        <v/>
      </c>
      <c r="BR138" s="106">
        <f>IF(AN138&gt;0,(O138-AN138),"")</f>
        <v/>
      </c>
      <c r="BS138" s="106">
        <f>COUNT(BM138:BR138)</f>
        <v/>
      </c>
      <c r="BT138" s="464">
        <f>IF(BS138=0,0,IF(BS138=1,0,1/(BS138*(BS138-1))))</f>
        <v/>
      </c>
      <c r="BU138" s="136">
        <f>IF(R138&gt;0,(BM138^2),"")</f>
        <v/>
      </c>
      <c r="BV138" s="136">
        <f>IF(X138&gt;0,(BN138^2),"")</f>
        <v/>
      </c>
      <c r="BW138" s="136">
        <f>IF(AB138&gt;0,(BO138^2),"")</f>
        <v/>
      </c>
      <c r="BX138" s="136">
        <f>IF(AF138&gt;0,(BP138^2),"")</f>
        <v/>
      </c>
      <c r="BY138" s="136">
        <f>IF(AJ138&gt;0,(BQ138^2),"")</f>
        <v/>
      </c>
      <c r="BZ138" s="136">
        <f>IF(AN138&gt;0,(BR138^2),"")</f>
        <v/>
      </c>
    </row>
    <row r="139" ht="18.75" customHeight="1" s="444">
      <c r="A139" s="340" t="inlineStr">
        <is>
          <t>/</t>
        </is>
      </c>
      <c r="B139" s="65">
        <f>B138+1</f>
        <v/>
      </c>
      <c r="C139" s="78" t="n"/>
      <c r="D139" s="83" t="n"/>
      <c r="E139" s="83" t="n"/>
      <c r="F139" s="329" t="n"/>
      <c r="G139" s="71" t="n">
        <v>40725</v>
      </c>
      <c r="H139" s="77" t="inlineStr">
        <is>
          <t>Compito</t>
        </is>
      </c>
      <c r="I139" s="77">
        <f>IF((V139-R139)&gt;3,"SI","")</f>
        <v/>
      </c>
      <c r="J139" s="77">
        <f>IF((U139-R139)&gt;3,"SI","")</f>
        <v/>
      </c>
      <c r="K139" s="77" t="n"/>
      <c r="L139" s="77" t="n"/>
      <c r="M139" s="137">
        <f>IF(R139&gt;0,(SQRT(BT139*(SUM(BU139:BZ139)))),"")</f>
        <v/>
      </c>
      <c r="N139" s="4">
        <f>IF(T139&gt;0,(MAX(T139,Z139,AD139,AH139,AL139,AP139))+SQRT(1.2^2+1^2),"")</f>
        <v/>
      </c>
      <c r="O139" s="3">
        <f>IF(R139="",0,10*LOG10(SUM(BG139:BL139)/(COUNT(R139,X139,AB139,AF139,AJ139,AN139))))</f>
        <v/>
      </c>
      <c r="P139" s="5">
        <f>IF(AND(Y139="",AC139="",AG139="",AK139="",AO139=""),S139,AVERAGE(S139,Y139,AC139,AG139,AK139,AO139)+STDEV(S139,Y139,AC139,AG139,AK139,AO139))</f>
        <v/>
      </c>
      <c r="Q139" s="14" t="n"/>
      <c r="R139" s="11" t="n"/>
      <c r="S139" s="12" t="n"/>
      <c r="T139" s="13" t="n"/>
      <c r="U139" s="79" t="n"/>
      <c r="V139" s="79" t="n"/>
      <c r="W139" s="10" t="n"/>
      <c r="X139" s="11" t="n"/>
      <c r="Y139" s="12" t="n"/>
      <c r="Z139" s="13" t="n"/>
      <c r="AA139" s="10" t="n"/>
      <c r="AB139" s="11" t="n"/>
      <c r="AC139" s="12" t="n"/>
      <c r="AD139" s="13" t="n"/>
      <c r="AE139" s="14" t="n"/>
      <c r="AF139" s="11" t="n"/>
      <c r="AG139" s="12" t="n"/>
      <c r="AH139" s="13" t="n"/>
      <c r="AI139" s="10" t="n"/>
      <c r="AJ139" s="11" t="n"/>
      <c r="AK139" s="12" t="n"/>
      <c r="AL139" s="13" t="n"/>
      <c r="AM139" s="10" t="n"/>
      <c r="AN139" s="11" t="n"/>
      <c r="AO139" s="12" t="n"/>
      <c r="AP139" s="13" t="n"/>
      <c r="AQ139" s="6">
        <f>IF(AND((O139)&lt;85,N139&lt;137),"NO","SI")</f>
        <v/>
      </c>
      <c r="AR139" s="7">
        <f>IF((480*(10^(7.95-(O139/10))))&lt;480,480*(10^(7.95-(O139/10))),480)</f>
        <v/>
      </c>
      <c r="AS139" s="8">
        <f>IF((480*(10^(8.45-(O139/10))))&lt;480,480*(10^(8.45-(O139/10))),480)</f>
        <v/>
      </c>
      <c r="AT139" s="9">
        <f>IF((480*(10^(8.65-(O139/10))))&lt;480,480*(10^(8.65-(O139/10))),480)</f>
        <v/>
      </c>
      <c r="AU139" s="111">
        <f>IF(O139&lt;80,"0",IF((P139-O139)&lt;=2,('DPI art.191'!$G$3-(('DPI art.191'!$F$3-'DPI art.191'!$G$3)/4)*(P139-O139-2)),('DPI art.191'!$G$3-(('DPI art.191'!$G$3-'DPI art.191'!$H$3)/8)*(P139-O139-2))))</f>
        <v/>
      </c>
      <c r="AV139" s="24">
        <f>O139-AU139</f>
        <v/>
      </c>
      <c r="AW139" s="24">
        <f>IF(N139&lt;135,N139,N139-'DPI art.191'!$I$3)</f>
        <v/>
      </c>
      <c r="AX139" s="111">
        <f>IF(I139&lt;80,"0",IF((J139-I139)&lt;=2,('DPI art.191'!$G$7-(('DPI art.191'!$F$7-'DPI art.191'!$G$7)/4)*(I139-J139-2)),('DPI art.191'!$G$7-(('DPI art.191'!$G$7-'DPI art.191'!$H$7)/8)*(J139-I139-2))))</f>
        <v/>
      </c>
      <c r="AY139" s="24">
        <f>I139-AX139</f>
        <v/>
      </c>
      <c r="AZ139" s="24">
        <f>IF(H139&lt;135,H139,H139-'DPI art.191'!$I$7)</f>
        <v/>
      </c>
      <c r="BA139" s="111">
        <f>IF(O139&lt;80,"0",IF((P139-O139)&lt;=2,('DPI art.191'!$G$5-(('DPI art.191'!$F$5-'DPI art.191'!$G$5)/4)*(P139-O139-2)),('DPI art.191'!$G$5-(('DPI art.191'!$G$5-'DPI art.191'!$H$5)/8)*(P139-O139-2))))</f>
        <v/>
      </c>
      <c r="BB139" s="24">
        <f>R139-BA139</f>
        <v/>
      </c>
      <c r="BC139" s="24">
        <f>IF(N139&lt;135,N139,N139-'DPI art.191'!$I$5)</f>
        <v/>
      </c>
      <c r="BD139" s="111">
        <f>IF(O139&lt;80,"0",IF((P139-O139)&lt;=2,('DPI art.191'!$G$7-(('DPI art.191'!$F$7-'DPI art.191'!$G$7)/4)*(O139-P139-2)),('DPI art.191'!$G$7-(('DPI art.191'!$G$7-'DPI art.191'!$H$7)/8)*(P139-O139-2))))</f>
        <v/>
      </c>
      <c r="BE139" s="24">
        <f>O139-BD139</f>
        <v/>
      </c>
      <c r="BF139" s="24">
        <f>IF(N139&lt;135,N139,N139-'DPI art.191'!$I$7)</f>
        <v/>
      </c>
      <c r="BG139" s="108">
        <f>10^(0.1*R139)</f>
        <v/>
      </c>
      <c r="BH139" s="108">
        <f>10^(0.1*X139)</f>
        <v/>
      </c>
      <c r="BI139" s="108">
        <f>10^(0.1*AB139)</f>
        <v/>
      </c>
      <c r="BJ139" s="108">
        <f>10^(0.1*AF139)</f>
        <v/>
      </c>
      <c r="BK139" s="108">
        <f>10^(0.1*AJ139)</f>
        <v/>
      </c>
      <c r="BL139" s="108">
        <f>10^(0.1*AN139)</f>
        <v/>
      </c>
      <c r="BM139" s="106">
        <f>IF(R139&gt;0,(O139-R139),"")</f>
        <v/>
      </c>
      <c r="BN139" s="106">
        <f>IF(X139&gt;0,(O139-X139),"")</f>
        <v/>
      </c>
      <c r="BO139" s="106">
        <f>IF(AB139&gt;0,(O139-AB139),"")</f>
        <v/>
      </c>
      <c r="BP139" s="106">
        <f>IF(AF139&gt;0,(O139-AF139),"")</f>
        <v/>
      </c>
      <c r="BQ139" s="106">
        <f>IF(AJ139&gt;0,(O139-AJ139),"")</f>
        <v/>
      </c>
      <c r="BR139" s="106">
        <f>IF(AN139&gt;0,(O139-AN139),"")</f>
        <v/>
      </c>
      <c r="BS139" s="106">
        <f>COUNT(BM139:BR139)</f>
        <v/>
      </c>
      <c r="BT139" s="464">
        <f>IF(BS139=0,0,IF(BS139=1,0,1/(BS139*(BS139-1))))</f>
        <v/>
      </c>
      <c r="BU139" s="136">
        <f>IF(R139&gt;0,(BM139^2),"")</f>
        <v/>
      </c>
      <c r="BV139" s="136">
        <f>IF(X139&gt;0,(BN139^2),"")</f>
        <v/>
      </c>
      <c r="BW139" s="136">
        <f>IF(AB139&gt;0,(BO139^2),"")</f>
        <v/>
      </c>
      <c r="BX139" s="136">
        <f>IF(AF139&gt;0,(BP139^2),"")</f>
        <v/>
      </c>
      <c r="BY139" s="136">
        <f>IF(AJ139&gt;0,(BQ139^2),"")</f>
        <v/>
      </c>
      <c r="BZ139" s="136">
        <f>IF(AN139&gt;0,(BR139^2),"")</f>
        <v/>
      </c>
    </row>
    <row r="140" ht="18.75" customHeight="1" s="444">
      <c r="A140" s="340" t="inlineStr">
        <is>
          <t>/</t>
        </is>
      </c>
      <c r="B140" s="65">
        <f>B139+1</f>
        <v/>
      </c>
      <c r="C140" s="78" t="n"/>
      <c r="D140" s="83" t="n"/>
      <c r="E140" s="83" t="n"/>
      <c r="F140" s="329" t="n"/>
      <c r="G140" s="71" t="n">
        <v>40725</v>
      </c>
      <c r="H140" s="77" t="inlineStr">
        <is>
          <t>Compito</t>
        </is>
      </c>
      <c r="I140" s="77">
        <f>IF((V140-R140)&gt;3,"SI","")</f>
        <v/>
      </c>
      <c r="J140" s="77">
        <f>IF((U140-R140)&gt;3,"SI","")</f>
        <v/>
      </c>
      <c r="K140" s="77" t="n"/>
      <c r="L140" s="77" t="n"/>
      <c r="M140" s="137">
        <f>IF(R140&gt;0,(SQRT(BT140*(SUM(BU140:BZ140)))),"")</f>
        <v/>
      </c>
      <c r="N140" s="4">
        <f>IF(T140&gt;0,(MAX(T140,Z140,AD140,AH140,AL140,AP140))+SQRT(1.2^2+1^2),"")</f>
        <v/>
      </c>
      <c r="O140" s="3">
        <f>IF(R140="",0,10*LOG10(SUM(BG140:BL140)/(COUNT(R140,X140,AB140,AF140,AJ140,AN140))))</f>
        <v/>
      </c>
      <c r="P140" s="5">
        <f>IF(AND(Y140="",AC140="",AG140="",AK140="",AO140=""),S140,AVERAGE(S140,Y140,AC140,AG140,AK140,AO140)+STDEV(S140,Y140,AC140,AG140,AK140,AO140))</f>
        <v/>
      </c>
      <c r="Q140" s="14" t="n"/>
      <c r="R140" s="11" t="n"/>
      <c r="S140" s="12" t="n"/>
      <c r="T140" s="13" t="n"/>
      <c r="U140" s="79" t="n"/>
      <c r="V140" s="79" t="n"/>
      <c r="W140" s="10" t="n"/>
      <c r="X140" s="11" t="n"/>
      <c r="Y140" s="12" t="n"/>
      <c r="Z140" s="13" t="n"/>
      <c r="AA140" s="10" t="n"/>
      <c r="AB140" s="11" t="n"/>
      <c r="AC140" s="12" t="n"/>
      <c r="AD140" s="13" t="n"/>
      <c r="AE140" s="14" t="n"/>
      <c r="AF140" s="11" t="n"/>
      <c r="AG140" s="12" t="n"/>
      <c r="AH140" s="13" t="n"/>
      <c r="AI140" s="10" t="n"/>
      <c r="AJ140" s="11" t="n"/>
      <c r="AK140" s="12" t="n"/>
      <c r="AL140" s="13" t="n"/>
      <c r="AM140" s="10" t="n"/>
      <c r="AN140" s="11" t="n"/>
      <c r="AO140" s="12" t="n"/>
      <c r="AP140" s="13" t="n"/>
      <c r="AQ140" s="6">
        <f>IF(AND((O140)&lt;85,N140&lt;137),"NO","SI")</f>
        <v/>
      </c>
      <c r="AR140" s="7">
        <f>IF((480*(10^(7.95-(O140/10))))&lt;480,480*(10^(7.95-(O140/10))),480)</f>
        <v/>
      </c>
      <c r="AS140" s="8">
        <f>IF((480*(10^(8.45-(O140/10))))&lt;480,480*(10^(8.45-(O140/10))),480)</f>
        <v/>
      </c>
      <c r="AT140" s="9">
        <f>IF((480*(10^(8.65-(O140/10))))&lt;480,480*(10^(8.65-(O140/10))),480)</f>
        <v/>
      </c>
      <c r="AU140" s="111">
        <f>IF(O140&lt;80,"0",IF((P140-O140)&lt;=2,('DPI art.191'!$G$3-(('DPI art.191'!$F$3-'DPI art.191'!$G$3)/4)*(P140-O140-2)),('DPI art.191'!$G$3-(('DPI art.191'!$G$3-'DPI art.191'!$H$3)/8)*(P140-O140-2))))</f>
        <v/>
      </c>
      <c r="AV140" s="24">
        <f>O140-AU140</f>
        <v/>
      </c>
      <c r="AW140" s="24">
        <f>IF(N140&lt;135,N140,N140-'DPI art.191'!$I$3)</f>
        <v/>
      </c>
      <c r="AX140" s="111">
        <f>IF(I140&lt;80,"0",IF((J140-I140)&lt;=2,('DPI art.191'!$G$7-(('DPI art.191'!$F$7-'DPI art.191'!$G$7)/4)*(I140-J140-2)),('DPI art.191'!$G$7-(('DPI art.191'!$G$7-'DPI art.191'!$H$7)/8)*(J140-I140-2))))</f>
        <v/>
      </c>
      <c r="AY140" s="24">
        <f>I140-AX140</f>
        <v/>
      </c>
      <c r="AZ140" s="24">
        <f>IF(H140&lt;135,H140,H140-'DPI art.191'!$I$7)</f>
        <v/>
      </c>
      <c r="BA140" s="111">
        <f>IF(O140&lt;80,"0",IF((P140-O140)&lt;=2,('DPI art.191'!$G$5-(('DPI art.191'!$F$5-'DPI art.191'!$G$5)/4)*(P140-O140-2)),('DPI art.191'!$G$5-(('DPI art.191'!$G$5-'DPI art.191'!$H$5)/8)*(P140-O140-2))))</f>
        <v/>
      </c>
      <c r="BB140" s="24">
        <f>R140-BA140</f>
        <v/>
      </c>
      <c r="BC140" s="24">
        <f>IF(N140&lt;135,N140,N140-'DPI art.191'!$I$5)</f>
        <v/>
      </c>
      <c r="BD140" s="111">
        <f>IF(O140&lt;80,"0",IF((P140-O140)&lt;=2,('DPI art.191'!$G$7-(('DPI art.191'!$F$7-'DPI art.191'!$G$7)/4)*(O140-P140-2)),('DPI art.191'!$G$7-(('DPI art.191'!$G$7-'DPI art.191'!$H$7)/8)*(P140-O140-2))))</f>
        <v/>
      </c>
      <c r="BE140" s="24">
        <f>O140-BD140</f>
        <v/>
      </c>
      <c r="BF140" s="24">
        <f>IF(N140&lt;135,N140,N140-'DPI art.191'!$I$7)</f>
        <v/>
      </c>
      <c r="BG140" s="108">
        <f>10^(0.1*R140)</f>
        <v/>
      </c>
      <c r="BH140" s="108">
        <f>10^(0.1*X140)</f>
        <v/>
      </c>
      <c r="BI140" s="108">
        <f>10^(0.1*AB140)</f>
        <v/>
      </c>
      <c r="BJ140" s="108">
        <f>10^(0.1*AF140)</f>
        <v/>
      </c>
      <c r="BK140" s="108">
        <f>10^(0.1*AJ140)</f>
        <v/>
      </c>
      <c r="BL140" s="108">
        <f>10^(0.1*AN140)</f>
        <v/>
      </c>
      <c r="BM140" s="106">
        <f>IF(R140&gt;0,(O140-R140),"")</f>
        <v/>
      </c>
      <c r="BN140" s="106">
        <f>IF(X140&gt;0,(O140-X140),"")</f>
        <v/>
      </c>
      <c r="BO140" s="106">
        <f>IF(AB140&gt;0,(O140-AB140),"")</f>
        <v/>
      </c>
      <c r="BP140" s="106">
        <f>IF(AF140&gt;0,(O140-AF140),"")</f>
        <v/>
      </c>
      <c r="BQ140" s="106">
        <f>IF(AJ140&gt;0,(O140-AJ140),"")</f>
        <v/>
      </c>
      <c r="BR140" s="106">
        <f>IF(AN140&gt;0,(O140-AN140),"")</f>
        <v/>
      </c>
      <c r="BS140" s="106">
        <f>COUNT(BM140:BR140)</f>
        <v/>
      </c>
      <c r="BT140" s="464">
        <f>IF(BS140=0,0,IF(BS140=1,0,1/(BS140*(BS140-1))))</f>
        <v/>
      </c>
      <c r="BU140" s="136">
        <f>IF(R140&gt;0,(BM140^2),"")</f>
        <v/>
      </c>
      <c r="BV140" s="136">
        <f>IF(X140&gt;0,(BN140^2),"")</f>
        <v/>
      </c>
      <c r="BW140" s="136">
        <f>IF(AB140&gt;0,(BO140^2),"")</f>
        <v/>
      </c>
      <c r="BX140" s="136">
        <f>IF(AF140&gt;0,(BP140^2),"")</f>
        <v/>
      </c>
      <c r="BY140" s="136">
        <f>IF(AJ140&gt;0,(BQ140^2),"")</f>
        <v/>
      </c>
      <c r="BZ140" s="136">
        <f>IF(AN140&gt;0,(BR140^2),"")</f>
        <v/>
      </c>
    </row>
    <row r="141" ht="18.75" customHeight="1" s="444">
      <c r="A141" s="340" t="inlineStr">
        <is>
          <t>/</t>
        </is>
      </c>
      <c r="B141" s="65">
        <f>B140+1</f>
        <v/>
      </c>
      <c r="C141" s="78" t="n"/>
      <c r="D141" s="83" t="n"/>
      <c r="E141" s="83" t="n"/>
      <c r="F141" s="329" t="n"/>
      <c r="G141" s="71" t="n">
        <v>40725</v>
      </c>
      <c r="H141" s="77" t="inlineStr">
        <is>
          <t>Compito</t>
        </is>
      </c>
      <c r="I141" s="77">
        <f>IF((V141-R141)&gt;3,"SI","")</f>
        <v/>
      </c>
      <c r="J141" s="77">
        <f>IF((U141-R141)&gt;3,"SI","")</f>
        <v/>
      </c>
      <c r="K141" s="77" t="n"/>
      <c r="L141" s="77" t="n"/>
      <c r="M141" s="137">
        <f>IF(R141&gt;0,(SQRT(BT141*(SUM(BU141:BZ141)))),"")</f>
        <v/>
      </c>
      <c r="N141" s="4">
        <f>IF(T141&gt;0,(MAX(T141,Z141,AD141,AH141,AL141,AP141))+SQRT(1.2^2+1^2),"")</f>
        <v/>
      </c>
      <c r="O141" s="3">
        <f>IF(R141="",0,10*LOG10(SUM(BG141:BL141)/(COUNT(R141,X141,AB141,AF141,AJ141,AN141))))</f>
        <v/>
      </c>
      <c r="P141" s="5">
        <f>IF(AND(Y141="",AC141="",AG141="",AK141="",AO141=""),S141,AVERAGE(S141,Y141,AC141,AG141,AK141,AO141)+STDEV(S141,Y141,AC141,AG141,AK141,AO141))</f>
        <v/>
      </c>
      <c r="Q141" s="14" t="n"/>
      <c r="R141" s="11" t="n"/>
      <c r="S141" s="12" t="n"/>
      <c r="T141" s="13" t="n"/>
      <c r="U141" s="79" t="n"/>
      <c r="V141" s="79" t="n"/>
      <c r="W141" s="10" t="n"/>
      <c r="X141" s="11" t="n"/>
      <c r="Y141" s="12" t="n"/>
      <c r="Z141" s="13" t="n"/>
      <c r="AA141" s="10" t="n"/>
      <c r="AB141" s="11" t="n"/>
      <c r="AC141" s="12" t="n"/>
      <c r="AD141" s="13" t="n"/>
      <c r="AE141" s="14" t="n"/>
      <c r="AF141" s="11" t="n"/>
      <c r="AG141" s="12" t="n"/>
      <c r="AH141" s="13" t="n"/>
      <c r="AI141" s="10" t="n"/>
      <c r="AJ141" s="11" t="n"/>
      <c r="AK141" s="12" t="n"/>
      <c r="AL141" s="13" t="n"/>
      <c r="AM141" s="10" t="n"/>
      <c r="AN141" s="11" t="n"/>
      <c r="AO141" s="12" t="n"/>
      <c r="AP141" s="13" t="n"/>
      <c r="AQ141" s="6">
        <f>IF(AND((O141)&lt;85,N141&lt;137),"NO","SI")</f>
        <v/>
      </c>
      <c r="AR141" s="7">
        <f>IF((480*(10^(7.95-(O141/10))))&lt;480,480*(10^(7.95-(O141/10))),480)</f>
        <v/>
      </c>
      <c r="AS141" s="8">
        <f>IF((480*(10^(8.45-(O141/10))))&lt;480,480*(10^(8.45-(O141/10))),480)</f>
        <v/>
      </c>
      <c r="AT141" s="9">
        <f>IF((480*(10^(8.65-(O141/10))))&lt;480,480*(10^(8.65-(O141/10))),480)</f>
        <v/>
      </c>
      <c r="AU141" s="111">
        <f>IF(O141&lt;80,"0",IF((P141-O141)&lt;=2,('DPI art.191'!$G$3-(('DPI art.191'!$F$3-'DPI art.191'!$G$3)/4)*(P141-O141-2)),('DPI art.191'!$G$3-(('DPI art.191'!$G$3-'DPI art.191'!$H$3)/8)*(P141-O141-2))))</f>
        <v/>
      </c>
      <c r="AV141" s="24">
        <f>O141-AU141</f>
        <v/>
      </c>
      <c r="AW141" s="24">
        <f>IF(N141&lt;135,N141,N141-'DPI art.191'!$I$3)</f>
        <v/>
      </c>
      <c r="AX141" s="111">
        <f>IF(I141&lt;80,"0",IF((J141-I141)&lt;=2,('DPI art.191'!$G$7-(('DPI art.191'!$F$7-'DPI art.191'!$G$7)/4)*(I141-J141-2)),('DPI art.191'!$G$7-(('DPI art.191'!$G$7-'DPI art.191'!$H$7)/8)*(J141-I141-2))))</f>
        <v/>
      </c>
      <c r="AY141" s="24">
        <f>I141-AX141</f>
        <v/>
      </c>
      <c r="AZ141" s="24">
        <f>IF(H141&lt;135,H141,H141-'DPI art.191'!$I$7)</f>
        <v/>
      </c>
      <c r="BA141" s="111">
        <f>IF(O141&lt;80,"0",IF((P141-O141)&lt;=2,('DPI art.191'!$G$5-(('DPI art.191'!$F$5-'DPI art.191'!$G$5)/4)*(P141-O141-2)),('DPI art.191'!$G$5-(('DPI art.191'!$G$5-'DPI art.191'!$H$5)/8)*(P141-O141-2))))</f>
        <v/>
      </c>
      <c r="BB141" s="24">
        <f>R141-BA141</f>
        <v/>
      </c>
      <c r="BC141" s="24">
        <f>IF(N141&lt;135,N141,N141-'DPI art.191'!$I$5)</f>
        <v/>
      </c>
      <c r="BD141" s="111">
        <f>IF(O141&lt;80,"0",IF((P141-O141)&lt;=2,('DPI art.191'!$G$7-(('DPI art.191'!$F$7-'DPI art.191'!$G$7)/4)*(O141-P141-2)),('DPI art.191'!$G$7-(('DPI art.191'!$G$7-'DPI art.191'!$H$7)/8)*(P141-O141-2))))</f>
        <v/>
      </c>
      <c r="BE141" s="24">
        <f>O141-BD141</f>
        <v/>
      </c>
      <c r="BF141" s="24">
        <f>IF(N141&lt;135,N141,N141-'DPI art.191'!$I$7)</f>
        <v/>
      </c>
      <c r="BG141" s="108">
        <f>10^(0.1*R141)</f>
        <v/>
      </c>
      <c r="BH141" s="108">
        <f>10^(0.1*X141)</f>
        <v/>
      </c>
      <c r="BI141" s="108">
        <f>10^(0.1*AB141)</f>
        <v/>
      </c>
      <c r="BJ141" s="108">
        <f>10^(0.1*AF141)</f>
        <v/>
      </c>
      <c r="BK141" s="108">
        <f>10^(0.1*AJ141)</f>
        <v/>
      </c>
      <c r="BL141" s="108">
        <f>10^(0.1*AN141)</f>
        <v/>
      </c>
      <c r="BM141" s="106">
        <f>IF(R141&gt;0,(O141-R141),"")</f>
        <v/>
      </c>
      <c r="BN141" s="106">
        <f>IF(X141&gt;0,(O141-X141),"")</f>
        <v/>
      </c>
      <c r="BO141" s="106">
        <f>IF(AB141&gt;0,(O141-AB141),"")</f>
        <v/>
      </c>
      <c r="BP141" s="106">
        <f>IF(AF141&gt;0,(O141-AF141),"")</f>
        <v/>
      </c>
      <c r="BQ141" s="106">
        <f>IF(AJ141&gt;0,(O141-AJ141),"")</f>
        <v/>
      </c>
      <c r="BR141" s="106">
        <f>IF(AN141&gt;0,(O141-AN141),"")</f>
        <v/>
      </c>
      <c r="BS141" s="106">
        <f>COUNT(BM141:BR141)</f>
        <v/>
      </c>
      <c r="BT141" s="464">
        <f>IF(BS141=0,0,IF(BS141=1,0,1/(BS141*(BS141-1))))</f>
        <v/>
      </c>
      <c r="BU141" s="136">
        <f>IF(R141&gt;0,(BM141^2),"")</f>
        <v/>
      </c>
      <c r="BV141" s="136">
        <f>IF(X141&gt;0,(BN141^2),"")</f>
        <v/>
      </c>
      <c r="BW141" s="136">
        <f>IF(AB141&gt;0,(BO141^2),"")</f>
        <v/>
      </c>
      <c r="BX141" s="136">
        <f>IF(AF141&gt;0,(BP141^2),"")</f>
        <v/>
      </c>
      <c r="BY141" s="136">
        <f>IF(AJ141&gt;0,(BQ141^2),"")</f>
        <v/>
      </c>
      <c r="BZ141" s="136">
        <f>IF(AN141&gt;0,(BR141^2),"")</f>
        <v/>
      </c>
    </row>
    <row r="142" ht="18.75" customHeight="1" s="444">
      <c r="A142" s="340" t="inlineStr">
        <is>
          <t>/</t>
        </is>
      </c>
      <c r="B142" s="65">
        <f>B141+1</f>
        <v/>
      </c>
      <c r="C142" s="78" t="n"/>
      <c r="D142" s="83" t="n"/>
      <c r="E142" s="83" t="n"/>
      <c r="F142" s="329" t="n"/>
      <c r="G142" s="71" t="n">
        <v>40725</v>
      </c>
      <c r="H142" s="77" t="inlineStr">
        <is>
          <t>Compito</t>
        </is>
      </c>
      <c r="I142" s="77">
        <f>IF((V142-R142)&gt;3,"SI","")</f>
        <v/>
      </c>
      <c r="J142" s="77">
        <f>IF((U142-R142)&gt;3,"SI","")</f>
        <v/>
      </c>
      <c r="K142" s="77" t="n"/>
      <c r="L142" s="77" t="n"/>
      <c r="M142" s="137">
        <f>IF(R142&gt;0,(SQRT(BT142*(SUM(BU142:BZ142)))),"")</f>
        <v/>
      </c>
      <c r="N142" s="4">
        <f>IF(T142&gt;0,(MAX(T142,Z142,AD142,AH142,AL142,AP142))+SQRT(1.2^2+1^2),"")</f>
        <v/>
      </c>
      <c r="O142" s="3">
        <f>IF(R142="",0,10*LOG10(SUM(BG142:BL142)/(COUNT(R142,X142,AB142,AF142,AJ142,AN142))))</f>
        <v/>
      </c>
      <c r="P142" s="5">
        <f>IF(AND(Y142="",AC142="",AG142="",AK142="",AO142=""),S142,AVERAGE(S142,Y142,AC142,AG142,AK142,AO142)+STDEV(S142,Y142,AC142,AG142,AK142,AO142))</f>
        <v/>
      </c>
      <c r="Q142" s="14" t="n"/>
      <c r="R142" s="11" t="n"/>
      <c r="S142" s="12" t="n"/>
      <c r="T142" s="13" t="n"/>
      <c r="U142" s="79" t="n"/>
      <c r="V142" s="79" t="n"/>
      <c r="W142" s="10" t="n"/>
      <c r="X142" s="11" t="n"/>
      <c r="Y142" s="12" t="n"/>
      <c r="Z142" s="13" t="n"/>
      <c r="AA142" s="10" t="n"/>
      <c r="AB142" s="11" t="n"/>
      <c r="AC142" s="12" t="n"/>
      <c r="AD142" s="13" t="n"/>
      <c r="AE142" s="14" t="n"/>
      <c r="AF142" s="11" t="n"/>
      <c r="AG142" s="12" t="n"/>
      <c r="AH142" s="13" t="n"/>
      <c r="AI142" s="10" t="n"/>
      <c r="AJ142" s="11" t="n"/>
      <c r="AK142" s="12" t="n"/>
      <c r="AL142" s="13" t="n"/>
      <c r="AM142" s="10" t="n"/>
      <c r="AN142" s="11" t="n"/>
      <c r="AO142" s="12" t="n"/>
      <c r="AP142" s="13" t="n"/>
      <c r="AQ142" s="6">
        <f>IF(AND((O142)&lt;85,N142&lt;137),"NO","SI")</f>
        <v/>
      </c>
      <c r="AR142" s="7">
        <f>IF((480*(10^(7.95-(O142/10))))&lt;480,480*(10^(7.95-(O142/10))),480)</f>
        <v/>
      </c>
      <c r="AS142" s="8">
        <f>IF((480*(10^(8.45-(O142/10))))&lt;480,480*(10^(8.45-(O142/10))),480)</f>
        <v/>
      </c>
      <c r="AT142" s="9">
        <f>IF((480*(10^(8.65-(O142/10))))&lt;480,480*(10^(8.65-(O142/10))),480)</f>
        <v/>
      </c>
      <c r="AU142" s="111">
        <f>IF(O142&lt;80,"0",IF((P142-O142)&lt;=2,('DPI art.191'!$G$3-(('DPI art.191'!$F$3-'DPI art.191'!$G$3)/4)*(P142-O142-2)),('DPI art.191'!$G$3-(('DPI art.191'!$G$3-'DPI art.191'!$H$3)/8)*(P142-O142-2))))</f>
        <v/>
      </c>
      <c r="AV142" s="24">
        <f>O142-AU142</f>
        <v/>
      </c>
      <c r="AW142" s="24">
        <f>IF(N142&lt;135,N142,N142-'DPI art.191'!$I$3)</f>
        <v/>
      </c>
      <c r="AX142" s="111">
        <f>IF(I142&lt;80,"0",IF((J142-I142)&lt;=2,('DPI art.191'!$G$7-(('DPI art.191'!$F$7-'DPI art.191'!$G$7)/4)*(I142-J142-2)),('DPI art.191'!$G$7-(('DPI art.191'!$G$7-'DPI art.191'!$H$7)/8)*(J142-I142-2))))</f>
        <v/>
      </c>
      <c r="AY142" s="24">
        <f>I142-AX142</f>
        <v/>
      </c>
      <c r="AZ142" s="24">
        <f>IF(H142&lt;135,H142,H142-'DPI art.191'!$I$7)</f>
        <v/>
      </c>
      <c r="BA142" s="111">
        <f>IF(O142&lt;80,"0",IF((P142-O142)&lt;=2,('DPI art.191'!$G$5-(('DPI art.191'!$F$5-'DPI art.191'!$G$5)/4)*(P142-O142-2)),('DPI art.191'!$G$5-(('DPI art.191'!$G$5-'DPI art.191'!$H$5)/8)*(P142-O142-2))))</f>
        <v/>
      </c>
      <c r="BB142" s="24">
        <f>R142-BA142</f>
        <v/>
      </c>
      <c r="BC142" s="24">
        <f>IF(N142&lt;135,N142,N142-'DPI art.191'!$I$5)</f>
        <v/>
      </c>
      <c r="BD142" s="111">
        <f>IF(O142&lt;80,"0",IF((P142-O142)&lt;=2,('DPI art.191'!$G$7-(('DPI art.191'!$F$7-'DPI art.191'!$G$7)/4)*(O142-P142-2)),('DPI art.191'!$G$7-(('DPI art.191'!$G$7-'DPI art.191'!$H$7)/8)*(P142-O142-2))))</f>
        <v/>
      </c>
      <c r="BE142" s="24">
        <f>O142-BD142</f>
        <v/>
      </c>
      <c r="BF142" s="24">
        <f>IF(N142&lt;135,N142,N142-'DPI art.191'!$I$7)</f>
        <v/>
      </c>
      <c r="BG142" s="108">
        <f>10^(0.1*R142)</f>
        <v/>
      </c>
      <c r="BH142" s="108">
        <f>10^(0.1*X142)</f>
        <v/>
      </c>
      <c r="BI142" s="108">
        <f>10^(0.1*AB142)</f>
        <v/>
      </c>
      <c r="BJ142" s="108">
        <f>10^(0.1*AF142)</f>
        <v/>
      </c>
      <c r="BK142" s="108">
        <f>10^(0.1*AJ142)</f>
        <v/>
      </c>
      <c r="BL142" s="108">
        <f>10^(0.1*AN142)</f>
        <v/>
      </c>
      <c r="BM142" s="106">
        <f>IF(R142&gt;0,(O142-R142),"")</f>
        <v/>
      </c>
      <c r="BN142" s="106">
        <f>IF(X142&gt;0,(O142-X142),"")</f>
        <v/>
      </c>
      <c r="BO142" s="106">
        <f>IF(AB142&gt;0,(O142-AB142),"")</f>
        <v/>
      </c>
      <c r="BP142" s="106">
        <f>IF(AF142&gt;0,(O142-AF142),"")</f>
        <v/>
      </c>
      <c r="BQ142" s="106">
        <f>IF(AJ142&gt;0,(O142-AJ142),"")</f>
        <v/>
      </c>
      <c r="BR142" s="106">
        <f>IF(AN142&gt;0,(O142-AN142),"")</f>
        <v/>
      </c>
      <c r="BS142" s="106">
        <f>COUNT(BM142:BR142)</f>
        <v/>
      </c>
      <c r="BT142" s="464">
        <f>IF(BS142=0,0,IF(BS142=1,0,1/(BS142*(BS142-1))))</f>
        <v/>
      </c>
      <c r="BU142" s="136">
        <f>IF(R142&gt;0,(BM142^2),"")</f>
        <v/>
      </c>
      <c r="BV142" s="136">
        <f>IF(X142&gt;0,(BN142^2),"")</f>
        <v/>
      </c>
      <c r="BW142" s="136">
        <f>IF(AB142&gt;0,(BO142^2),"")</f>
        <v/>
      </c>
      <c r="BX142" s="136">
        <f>IF(AF142&gt;0,(BP142^2),"")</f>
        <v/>
      </c>
      <c r="BY142" s="136">
        <f>IF(AJ142&gt;0,(BQ142^2),"")</f>
        <v/>
      </c>
      <c r="BZ142" s="136">
        <f>IF(AN142&gt;0,(BR142^2),"")</f>
        <v/>
      </c>
    </row>
    <row r="143" ht="18.75" customHeight="1" s="444">
      <c r="A143" s="340" t="inlineStr">
        <is>
          <t>/</t>
        </is>
      </c>
      <c r="B143" s="65">
        <f>B142+1</f>
        <v/>
      </c>
      <c r="C143" s="78" t="n"/>
      <c r="D143" s="83" t="n"/>
      <c r="E143" s="83" t="n"/>
      <c r="F143" s="329" t="n"/>
      <c r="G143" s="71" t="n">
        <v>40725</v>
      </c>
      <c r="H143" s="77" t="inlineStr">
        <is>
          <t>Compito</t>
        </is>
      </c>
      <c r="I143" s="77">
        <f>IF((V143-R143)&gt;3,"SI","")</f>
        <v/>
      </c>
      <c r="J143" s="77">
        <f>IF((U143-R143)&gt;3,"SI","")</f>
        <v/>
      </c>
      <c r="K143" s="77" t="n"/>
      <c r="L143" s="77" t="n"/>
      <c r="M143" s="137">
        <f>IF(R143&gt;0,(SQRT(BT143*(SUM(BU143:BZ143)))),"")</f>
        <v/>
      </c>
      <c r="N143" s="4">
        <f>IF(T143&gt;0,(MAX(T143,Z143,AD143,AH143,AL143,AP143))+SQRT(1.2^2+1^2),"")</f>
        <v/>
      </c>
      <c r="O143" s="3">
        <f>IF(R143="",0,10*LOG10(SUM(BG143:BL143)/(COUNT(R143,X143,AB143,AF143,AJ143,AN143))))</f>
        <v/>
      </c>
      <c r="P143" s="5">
        <f>IF(AND(Y143="",AC143="",AG143="",AK143="",AO143=""),S143,AVERAGE(S143,Y143,AC143,AG143,AK143,AO143)+STDEV(S143,Y143,AC143,AG143,AK143,AO143))</f>
        <v/>
      </c>
      <c r="Q143" s="14" t="n"/>
      <c r="R143" s="11" t="n"/>
      <c r="S143" s="12" t="n"/>
      <c r="T143" s="13" t="n"/>
      <c r="U143" s="79" t="n"/>
      <c r="V143" s="79" t="n"/>
      <c r="W143" s="10" t="n"/>
      <c r="X143" s="11" t="n"/>
      <c r="Y143" s="12" t="n"/>
      <c r="Z143" s="13" t="n"/>
      <c r="AA143" s="10" t="n"/>
      <c r="AB143" s="11" t="n"/>
      <c r="AC143" s="12" t="n"/>
      <c r="AD143" s="13" t="n"/>
      <c r="AE143" s="14" t="n"/>
      <c r="AF143" s="11" t="n"/>
      <c r="AG143" s="12" t="n"/>
      <c r="AH143" s="13" t="n"/>
      <c r="AI143" s="10" t="n"/>
      <c r="AJ143" s="11" t="n"/>
      <c r="AK143" s="12" t="n"/>
      <c r="AL143" s="13" t="n"/>
      <c r="AM143" s="10" t="n"/>
      <c r="AN143" s="11" t="n"/>
      <c r="AO143" s="12" t="n"/>
      <c r="AP143" s="13" t="n"/>
      <c r="AQ143" s="6">
        <f>IF(AND((O143)&lt;85,N143&lt;137),"NO","SI")</f>
        <v/>
      </c>
      <c r="AR143" s="7">
        <f>IF((480*(10^(7.95-(O143/10))))&lt;480,480*(10^(7.95-(O143/10))),480)</f>
        <v/>
      </c>
      <c r="AS143" s="8">
        <f>IF((480*(10^(8.45-(O143/10))))&lt;480,480*(10^(8.45-(O143/10))),480)</f>
        <v/>
      </c>
      <c r="AT143" s="9">
        <f>IF((480*(10^(8.65-(O143/10))))&lt;480,480*(10^(8.65-(O143/10))),480)</f>
        <v/>
      </c>
      <c r="AU143" s="111">
        <f>IF(O143&lt;80,"0",IF((P143-O143)&lt;=2,('DPI art.191'!$G$3-(('DPI art.191'!$F$3-'DPI art.191'!$G$3)/4)*(P143-O143-2)),('DPI art.191'!$G$3-(('DPI art.191'!$G$3-'DPI art.191'!$H$3)/8)*(P143-O143-2))))</f>
        <v/>
      </c>
      <c r="AV143" s="24">
        <f>O143-AU143</f>
        <v/>
      </c>
      <c r="AW143" s="24">
        <f>IF(N143&lt;135,N143,N143-'DPI art.191'!$I$3)</f>
        <v/>
      </c>
      <c r="AX143" s="111">
        <f>IF(I143&lt;80,"0",IF((J143-I143)&lt;=2,('DPI art.191'!$G$7-(('DPI art.191'!$F$7-'DPI art.191'!$G$7)/4)*(I143-J143-2)),('DPI art.191'!$G$7-(('DPI art.191'!$G$7-'DPI art.191'!$H$7)/8)*(J143-I143-2))))</f>
        <v/>
      </c>
      <c r="AY143" s="24">
        <f>I143-AX143</f>
        <v/>
      </c>
      <c r="AZ143" s="24">
        <f>IF(H143&lt;135,H143,H143-'DPI art.191'!$I$7)</f>
        <v/>
      </c>
      <c r="BA143" s="111">
        <f>IF(O143&lt;80,"0",IF((P143-O143)&lt;=2,('DPI art.191'!$G$5-(('DPI art.191'!$F$5-'DPI art.191'!$G$5)/4)*(P143-O143-2)),('DPI art.191'!$G$5-(('DPI art.191'!$G$5-'DPI art.191'!$H$5)/8)*(P143-O143-2))))</f>
        <v/>
      </c>
      <c r="BB143" s="24">
        <f>R143-BA143</f>
        <v/>
      </c>
      <c r="BC143" s="24">
        <f>IF(N143&lt;135,N143,N143-'DPI art.191'!$I$5)</f>
        <v/>
      </c>
      <c r="BD143" s="111">
        <f>IF(O143&lt;80,"0",IF((P143-O143)&lt;=2,('DPI art.191'!$G$7-(('DPI art.191'!$F$7-'DPI art.191'!$G$7)/4)*(O143-P143-2)),('DPI art.191'!$G$7-(('DPI art.191'!$G$7-'DPI art.191'!$H$7)/8)*(P143-O143-2))))</f>
        <v/>
      </c>
      <c r="BE143" s="24">
        <f>O143-BD143</f>
        <v/>
      </c>
      <c r="BF143" s="24">
        <f>IF(N143&lt;135,N143,N143-'DPI art.191'!$I$7)</f>
        <v/>
      </c>
      <c r="BG143" s="108">
        <f>10^(0.1*R143)</f>
        <v/>
      </c>
      <c r="BH143" s="108">
        <f>10^(0.1*X143)</f>
        <v/>
      </c>
      <c r="BI143" s="108">
        <f>10^(0.1*AB143)</f>
        <v/>
      </c>
      <c r="BJ143" s="108">
        <f>10^(0.1*AF143)</f>
        <v/>
      </c>
      <c r="BK143" s="108">
        <f>10^(0.1*AJ143)</f>
        <v/>
      </c>
      <c r="BL143" s="108">
        <f>10^(0.1*AN143)</f>
        <v/>
      </c>
      <c r="BM143" s="106">
        <f>IF(R143&gt;0,(O143-R143),"")</f>
        <v/>
      </c>
      <c r="BN143" s="106">
        <f>IF(X143&gt;0,(O143-X143),"")</f>
        <v/>
      </c>
      <c r="BO143" s="106">
        <f>IF(AB143&gt;0,(O143-AB143),"")</f>
        <v/>
      </c>
      <c r="BP143" s="106">
        <f>IF(AF143&gt;0,(O143-AF143),"")</f>
        <v/>
      </c>
      <c r="BQ143" s="106">
        <f>IF(AJ143&gt;0,(O143-AJ143),"")</f>
        <v/>
      </c>
      <c r="BR143" s="106">
        <f>IF(AN143&gt;0,(O143-AN143),"")</f>
        <v/>
      </c>
      <c r="BS143" s="106">
        <f>COUNT(BM143:BR143)</f>
        <v/>
      </c>
      <c r="BT143" s="464">
        <f>IF(BS143=0,0,IF(BS143=1,0,1/(BS143*(BS143-1))))</f>
        <v/>
      </c>
      <c r="BU143" s="136">
        <f>IF(R143&gt;0,(BM143^2),"")</f>
        <v/>
      </c>
      <c r="BV143" s="136">
        <f>IF(X143&gt;0,(BN143^2),"")</f>
        <v/>
      </c>
      <c r="BW143" s="136">
        <f>IF(AB143&gt;0,(BO143^2),"")</f>
        <v/>
      </c>
      <c r="BX143" s="136">
        <f>IF(AF143&gt;0,(BP143^2),"")</f>
        <v/>
      </c>
      <c r="BY143" s="136">
        <f>IF(AJ143&gt;0,(BQ143^2),"")</f>
        <v/>
      </c>
      <c r="BZ143" s="136">
        <f>IF(AN143&gt;0,(BR143^2),"")</f>
        <v/>
      </c>
    </row>
    <row r="144" ht="18.75" customHeight="1" s="444">
      <c r="A144" s="340" t="inlineStr">
        <is>
          <t>/</t>
        </is>
      </c>
      <c r="B144" s="65">
        <f>B143+1</f>
        <v/>
      </c>
      <c r="C144" s="78" t="n"/>
      <c r="D144" s="83" t="n"/>
      <c r="E144" s="83" t="n"/>
      <c r="F144" s="329" t="n"/>
      <c r="G144" s="71" t="n">
        <v>40725</v>
      </c>
      <c r="H144" s="77" t="inlineStr">
        <is>
          <t>Compito</t>
        </is>
      </c>
      <c r="I144" s="77">
        <f>IF((V144-R144)&gt;3,"SI","")</f>
        <v/>
      </c>
      <c r="J144" s="77">
        <f>IF((U144-R144)&gt;3,"SI","")</f>
        <v/>
      </c>
      <c r="K144" s="77" t="n"/>
      <c r="L144" s="77" t="n"/>
      <c r="M144" s="137">
        <f>IF(R144&gt;0,(SQRT(BT144*(SUM(BU144:BZ144)))),"")</f>
        <v/>
      </c>
      <c r="N144" s="4">
        <f>IF(T144&gt;0,(MAX(T144,Z144,AD144,AH144,AL144,AP144))+SQRT(1.2^2+1^2),"")</f>
        <v/>
      </c>
      <c r="O144" s="3">
        <f>IF(R144="",0,10*LOG10(SUM(BG144:BL144)/(COUNT(R144,X144,AB144,AF144,AJ144,AN144))))</f>
        <v/>
      </c>
      <c r="P144" s="5">
        <f>IF(AND(Y144="",AC144="",AG144="",AK144="",AO144=""),S144,AVERAGE(S144,Y144,AC144,AG144,AK144,AO144)+STDEV(S144,Y144,AC144,AG144,AK144,AO144))</f>
        <v/>
      </c>
      <c r="Q144" s="14" t="n"/>
      <c r="R144" s="11" t="n"/>
      <c r="S144" s="12" t="n"/>
      <c r="T144" s="13" t="n"/>
      <c r="U144" s="79" t="n"/>
      <c r="V144" s="79" t="n"/>
      <c r="W144" s="10" t="n"/>
      <c r="X144" s="11" t="n"/>
      <c r="Y144" s="12" t="n"/>
      <c r="Z144" s="13" t="n"/>
      <c r="AA144" s="10" t="n"/>
      <c r="AB144" s="11" t="n"/>
      <c r="AC144" s="12" t="n"/>
      <c r="AD144" s="13" t="n"/>
      <c r="AE144" s="14" t="n"/>
      <c r="AF144" s="11" t="n"/>
      <c r="AG144" s="12" t="n"/>
      <c r="AH144" s="13" t="n"/>
      <c r="AI144" s="10" t="n"/>
      <c r="AJ144" s="11" t="n"/>
      <c r="AK144" s="12" t="n"/>
      <c r="AL144" s="13" t="n"/>
      <c r="AM144" s="10" t="n"/>
      <c r="AN144" s="11" t="n"/>
      <c r="AO144" s="12" t="n"/>
      <c r="AP144" s="13" t="n"/>
      <c r="AQ144" s="6">
        <f>IF(AND((O144)&lt;85,N144&lt;137),"NO","SI")</f>
        <v/>
      </c>
      <c r="AR144" s="7">
        <f>IF((480*(10^(7.95-(O144/10))))&lt;480,480*(10^(7.95-(O144/10))),480)</f>
        <v/>
      </c>
      <c r="AS144" s="8">
        <f>IF((480*(10^(8.45-(O144/10))))&lt;480,480*(10^(8.45-(O144/10))),480)</f>
        <v/>
      </c>
      <c r="AT144" s="9">
        <f>IF((480*(10^(8.65-(O144/10))))&lt;480,480*(10^(8.65-(O144/10))),480)</f>
        <v/>
      </c>
      <c r="AU144" s="111">
        <f>IF(O144&lt;80,"0",IF((P144-O144)&lt;=2,('DPI art.191'!$G$3-(('DPI art.191'!$F$3-'DPI art.191'!$G$3)/4)*(P144-O144-2)),('DPI art.191'!$G$3-(('DPI art.191'!$G$3-'DPI art.191'!$H$3)/8)*(P144-O144-2))))</f>
        <v/>
      </c>
      <c r="AV144" s="24">
        <f>O144-AU144</f>
        <v/>
      </c>
      <c r="AW144" s="24">
        <f>IF(N144&lt;135,N144,N144-'DPI art.191'!$I$3)</f>
        <v/>
      </c>
      <c r="AX144" s="111">
        <f>IF(I144&lt;80,"0",IF((J144-I144)&lt;=2,('DPI art.191'!$G$7-(('DPI art.191'!$F$7-'DPI art.191'!$G$7)/4)*(I144-J144-2)),('DPI art.191'!$G$7-(('DPI art.191'!$G$7-'DPI art.191'!$H$7)/8)*(J144-I144-2))))</f>
        <v/>
      </c>
      <c r="AY144" s="24">
        <f>I144-AX144</f>
        <v/>
      </c>
      <c r="AZ144" s="24">
        <f>IF(H144&lt;135,H144,H144-'DPI art.191'!$I$7)</f>
        <v/>
      </c>
      <c r="BA144" s="111">
        <f>IF(O144&lt;80,"0",IF((P144-O144)&lt;=2,('DPI art.191'!$G$5-(('DPI art.191'!$F$5-'DPI art.191'!$G$5)/4)*(P144-O144-2)),('DPI art.191'!$G$5-(('DPI art.191'!$G$5-'DPI art.191'!$H$5)/8)*(P144-O144-2))))</f>
        <v/>
      </c>
      <c r="BB144" s="24">
        <f>R144-BA144</f>
        <v/>
      </c>
      <c r="BC144" s="24">
        <f>IF(N144&lt;135,N144,N144-'DPI art.191'!$I$5)</f>
        <v/>
      </c>
      <c r="BD144" s="111">
        <f>IF(O144&lt;80,"0",IF((P144-O144)&lt;=2,('DPI art.191'!$G$7-(('DPI art.191'!$F$7-'DPI art.191'!$G$7)/4)*(O144-P144-2)),('DPI art.191'!$G$7-(('DPI art.191'!$G$7-'DPI art.191'!$H$7)/8)*(P144-O144-2))))</f>
        <v/>
      </c>
      <c r="BE144" s="24">
        <f>O144-BD144</f>
        <v/>
      </c>
      <c r="BF144" s="24">
        <f>IF(N144&lt;135,N144,N144-'DPI art.191'!$I$7)</f>
        <v/>
      </c>
      <c r="BG144" s="108">
        <f>10^(0.1*R144)</f>
        <v/>
      </c>
      <c r="BH144" s="108">
        <f>10^(0.1*X144)</f>
        <v/>
      </c>
      <c r="BI144" s="108">
        <f>10^(0.1*AB144)</f>
        <v/>
      </c>
      <c r="BJ144" s="108">
        <f>10^(0.1*AF144)</f>
        <v/>
      </c>
      <c r="BK144" s="108">
        <f>10^(0.1*AJ144)</f>
        <v/>
      </c>
      <c r="BL144" s="108">
        <f>10^(0.1*AN144)</f>
        <v/>
      </c>
      <c r="BM144" s="106">
        <f>IF(R144&gt;0,(O144-R144),"")</f>
        <v/>
      </c>
      <c r="BN144" s="106">
        <f>IF(X144&gt;0,(O144-X144),"")</f>
        <v/>
      </c>
      <c r="BO144" s="106">
        <f>IF(AB144&gt;0,(O144-AB144),"")</f>
        <v/>
      </c>
      <c r="BP144" s="106">
        <f>IF(AF144&gt;0,(O144-AF144),"")</f>
        <v/>
      </c>
      <c r="BQ144" s="106">
        <f>IF(AJ144&gt;0,(O144-AJ144),"")</f>
        <v/>
      </c>
      <c r="BR144" s="106">
        <f>IF(AN144&gt;0,(O144-AN144),"")</f>
        <v/>
      </c>
      <c r="BS144" s="106">
        <f>COUNT(BM144:BR144)</f>
        <v/>
      </c>
      <c r="BT144" s="464">
        <f>IF(BS144=0,0,IF(BS144=1,0,1/(BS144*(BS144-1))))</f>
        <v/>
      </c>
      <c r="BU144" s="136">
        <f>IF(R144&gt;0,(BM144^2),"")</f>
        <v/>
      </c>
      <c r="BV144" s="136">
        <f>IF(X144&gt;0,(BN144^2),"")</f>
        <v/>
      </c>
      <c r="BW144" s="136">
        <f>IF(AB144&gt;0,(BO144^2),"")</f>
        <v/>
      </c>
      <c r="BX144" s="136">
        <f>IF(AF144&gt;0,(BP144^2),"")</f>
        <v/>
      </c>
      <c r="BY144" s="136">
        <f>IF(AJ144&gt;0,(BQ144^2),"")</f>
        <v/>
      </c>
      <c r="BZ144" s="136">
        <f>IF(AN144&gt;0,(BR144^2),"")</f>
        <v/>
      </c>
    </row>
    <row r="145" ht="18.75" customHeight="1" s="444">
      <c r="A145" s="340" t="inlineStr">
        <is>
          <t>/</t>
        </is>
      </c>
      <c r="B145" s="65">
        <f>B144+1</f>
        <v/>
      </c>
      <c r="C145" s="78" t="n"/>
      <c r="D145" s="83" t="n"/>
      <c r="E145" s="83" t="n"/>
      <c r="F145" s="329" t="n"/>
      <c r="G145" s="71" t="n">
        <v>40725</v>
      </c>
      <c r="H145" s="77" t="inlineStr">
        <is>
          <t>Compito</t>
        </is>
      </c>
      <c r="I145" s="77">
        <f>IF((V145-R145)&gt;3,"SI","")</f>
        <v/>
      </c>
      <c r="J145" s="77">
        <f>IF((U145-R145)&gt;3,"SI","")</f>
        <v/>
      </c>
      <c r="K145" s="77" t="n"/>
      <c r="L145" s="77" t="n"/>
      <c r="M145" s="137">
        <f>IF(R145&gt;0,(SQRT(BT145*(SUM(BU145:BZ145)))),"")</f>
        <v/>
      </c>
      <c r="N145" s="4">
        <f>IF(T145&gt;0,(MAX(T145,Z145,AD145,AH145,AL145,AP145))+SQRT(1.2^2+1^2),"")</f>
        <v/>
      </c>
      <c r="O145" s="3">
        <f>IF(R145="",0,10*LOG10(SUM(BG145:BL145)/(COUNT(R145,X145,AB145,AF145,AJ145,AN145))))</f>
        <v/>
      </c>
      <c r="P145" s="5">
        <f>IF(AND(Y145="",AC145="",AG145="",AK145="",AO145=""),S145,AVERAGE(S145,Y145,AC145,AG145,AK145,AO145)+STDEV(S145,Y145,AC145,AG145,AK145,AO145))</f>
        <v/>
      </c>
      <c r="Q145" s="14" t="n"/>
      <c r="R145" s="11" t="n"/>
      <c r="S145" s="12" t="n"/>
      <c r="T145" s="13" t="n"/>
      <c r="U145" s="79" t="n"/>
      <c r="V145" s="79" t="n"/>
      <c r="W145" s="10" t="n"/>
      <c r="X145" s="11" t="n"/>
      <c r="Y145" s="12" t="n"/>
      <c r="Z145" s="13" t="n"/>
      <c r="AA145" s="10" t="n"/>
      <c r="AB145" s="11" t="n"/>
      <c r="AC145" s="12" t="n"/>
      <c r="AD145" s="13" t="n"/>
      <c r="AE145" s="14" t="n"/>
      <c r="AF145" s="11" t="n"/>
      <c r="AG145" s="12" t="n"/>
      <c r="AH145" s="13" t="n"/>
      <c r="AI145" s="10" t="n"/>
      <c r="AJ145" s="11" t="n"/>
      <c r="AK145" s="12" t="n"/>
      <c r="AL145" s="13" t="n"/>
      <c r="AM145" s="10" t="n"/>
      <c r="AN145" s="11" t="n"/>
      <c r="AO145" s="12" t="n"/>
      <c r="AP145" s="13" t="n"/>
      <c r="AQ145" s="6">
        <f>IF(AND((O145)&lt;85,N145&lt;137),"NO","SI")</f>
        <v/>
      </c>
      <c r="AR145" s="7">
        <f>IF((480*(10^(7.95-(O145/10))))&lt;480,480*(10^(7.95-(O145/10))),480)</f>
        <v/>
      </c>
      <c r="AS145" s="8">
        <f>IF((480*(10^(8.45-(O145/10))))&lt;480,480*(10^(8.45-(O145/10))),480)</f>
        <v/>
      </c>
      <c r="AT145" s="9">
        <f>IF((480*(10^(8.65-(O145/10))))&lt;480,480*(10^(8.65-(O145/10))),480)</f>
        <v/>
      </c>
      <c r="AU145" s="111">
        <f>IF(O145&lt;80,"0",IF((P145-O145)&lt;=2,('DPI art.191'!$G$3-(('DPI art.191'!$F$3-'DPI art.191'!$G$3)/4)*(P145-O145-2)),('DPI art.191'!$G$3-(('DPI art.191'!$G$3-'DPI art.191'!$H$3)/8)*(P145-O145-2))))</f>
        <v/>
      </c>
      <c r="AV145" s="24">
        <f>O145-AU145</f>
        <v/>
      </c>
      <c r="AW145" s="24">
        <f>IF(N145&lt;135,N145,N145-'DPI art.191'!$I$3)</f>
        <v/>
      </c>
      <c r="AX145" s="111">
        <f>IF(I145&lt;80,"0",IF((J145-I145)&lt;=2,('DPI art.191'!$G$7-(('DPI art.191'!$F$7-'DPI art.191'!$G$7)/4)*(I145-J145-2)),('DPI art.191'!$G$7-(('DPI art.191'!$G$7-'DPI art.191'!$H$7)/8)*(J145-I145-2))))</f>
        <v/>
      </c>
      <c r="AY145" s="24">
        <f>I145-AX145</f>
        <v/>
      </c>
      <c r="AZ145" s="24">
        <f>IF(H145&lt;135,H145,H145-'DPI art.191'!$I$7)</f>
        <v/>
      </c>
      <c r="BA145" s="111">
        <f>IF(O145&lt;80,"0",IF((P145-O145)&lt;=2,('DPI art.191'!$G$5-(('DPI art.191'!$F$5-'DPI art.191'!$G$5)/4)*(P145-O145-2)),('DPI art.191'!$G$5-(('DPI art.191'!$G$5-'DPI art.191'!$H$5)/8)*(P145-O145-2))))</f>
        <v/>
      </c>
      <c r="BB145" s="24">
        <f>R145-BA145</f>
        <v/>
      </c>
      <c r="BC145" s="24">
        <f>IF(N145&lt;135,N145,N145-'DPI art.191'!$I$5)</f>
        <v/>
      </c>
      <c r="BD145" s="111">
        <f>IF(O145&lt;80,"0",IF((P145-O145)&lt;=2,('DPI art.191'!$G$7-(('DPI art.191'!$F$7-'DPI art.191'!$G$7)/4)*(O145-P145-2)),('DPI art.191'!$G$7-(('DPI art.191'!$G$7-'DPI art.191'!$H$7)/8)*(P145-O145-2))))</f>
        <v/>
      </c>
      <c r="BE145" s="24">
        <f>O145-BD145</f>
        <v/>
      </c>
      <c r="BF145" s="24">
        <f>IF(N145&lt;135,N145,N145-'DPI art.191'!$I$7)</f>
        <v/>
      </c>
      <c r="BG145" s="108">
        <f>10^(0.1*R145)</f>
        <v/>
      </c>
      <c r="BH145" s="108">
        <f>10^(0.1*X145)</f>
        <v/>
      </c>
      <c r="BI145" s="108">
        <f>10^(0.1*AB145)</f>
        <v/>
      </c>
      <c r="BJ145" s="108">
        <f>10^(0.1*AF145)</f>
        <v/>
      </c>
      <c r="BK145" s="108">
        <f>10^(0.1*AJ145)</f>
        <v/>
      </c>
      <c r="BL145" s="108">
        <f>10^(0.1*AN145)</f>
        <v/>
      </c>
      <c r="BM145" s="106">
        <f>IF(R145&gt;0,(O145-R145),"")</f>
        <v/>
      </c>
      <c r="BN145" s="106">
        <f>IF(X145&gt;0,(O145-X145),"")</f>
        <v/>
      </c>
      <c r="BO145" s="106">
        <f>IF(AB145&gt;0,(O145-AB145),"")</f>
        <v/>
      </c>
      <c r="BP145" s="106">
        <f>IF(AF145&gt;0,(O145-AF145),"")</f>
        <v/>
      </c>
      <c r="BQ145" s="106">
        <f>IF(AJ145&gt;0,(O145-AJ145),"")</f>
        <v/>
      </c>
      <c r="BR145" s="106">
        <f>IF(AN145&gt;0,(O145-AN145),"")</f>
        <v/>
      </c>
      <c r="BS145" s="106">
        <f>COUNT(BM145:BR145)</f>
        <v/>
      </c>
      <c r="BT145" s="464">
        <f>IF(BS145=0,0,IF(BS145=1,0,1/(BS145*(BS145-1))))</f>
        <v/>
      </c>
      <c r="BU145" s="136">
        <f>IF(R145&gt;0,(BM145^2),"")</f>
        <v/>
      </c>
      <c r="BV145" s="136">
        <f>IF(X145&gt;0,(BN145^2),"")</f>
        <v/>
      </c>
      <c r="BW145" s="136">
        <f>IF(AB145&gt;0,(BO145^2),"")</f>
        <v/>
      </c>
      <c r="BX145" s="136">
        <f>IF(AF145&gt;0,(BP145^2),"")</f>
        <v/>
      </c>
      <c r="BY145" s="136">
        <f>IF(AJ145&gt;0,(BQ145^2),"")</f>
        <v/>
      </c>
      <c r="BZ145" s="136">
        <f>IF(AN145&gt;0,(BR145^2),"")</f>
        <v/>
      </c>
    </row>
    <row r="146" ht="18.75" customHeight="1" s="444">
      <c r="A146" s="340" t="inlineStr">
        <is>
          <t>/</t>
        </is>
      </c>
      <c r="B146" s="65">
        <f>B145+1</f>
        <v/>
      </c>
      <c r="C146" s="78" t="n"/>
      <c r="D146" s="83" t="n"/>
      <c r="E146" s="83" t="n"/>
      <c r="F146" s="329" t="n"/>
      <c r="G146" s="71" t="n">
        <v>40725</v>
      </c>
      <c r="H146" s="77" t="inlineStr">
        <is>
          <t>Compito</t>
        </is>
      </c>
      <c r="I146" s="77">
        <f>IF((V146-R146)&gt;3,"SI","")</f>
        <v/>
      </c>
      <c r="J146" s="77">
        <f>IF((U146-R146)&gt;3,"SI","")</f>
        <v/>
      </c>
      <c r="K146" s="77" t="n"/>
      <c r="L146" s="77" t="n"/>
      <c r="M146" s="137">
        <f>IF(R146&gt;0,(SQRT(BT146*(SUM(BU146:BZ146)))),"")</f>
        <v/>
      </c>
      <c r="N146" s="4">
        <f>IF(T146&gt;0,(MAX(T146,Z146,AD146,AH146,AL146,AP146))+SQRT(1.2^2+1^2),"")</f>
        <v/>
      </c>
      <c r="O146" s="3">
        <f>IF(R146="",0,10*LOG10(SUM(BG146:BL146)/(COUNT(R146,X146,AB146,AF146,AJ146,AN146))))</f>
        <v/>
      </c>
      <c r="P146" s="5">
        <f>IF(AND(Y146="",AC146="",AG146="",AK146="",AO146=""),S146,AVERAGE(S146,Y146,AC146,AG146,AK146,AO146)+STDEV(S146,Y146,AC146,AG146,AK146,AO146))</f>
        <v/>
      </c>
      <c r="Q146" s="14" t="n"/>
      <c r="R146" s="11" t="n"/>
      <c r="S146" s="12" t="n"/>
      <c r="T146" s="13" t="n"/>
      <c r="U146" s="79" t="n"/>
      <c r="V146" s="79" t="n"/>
      <c r="W146" s="10" t="n"/>
      <c r="X146" s="11" t="n"/>
      <c r="Y146" s="12" t="n"/>
      <c r="Z146" s="13" t="n"/>
      <c r="AA146" s="10" t="n"/>
      <c r="AB146" s="11" t="n"/>
      <c r="AC146" s="12" t="n"/>
      <c r="AD146" s="13" t="n"/>
      <c r="AE146" s="14" t="n"/>
      <c r="AF146" s="11" t="n"/>
      <c r="AG146" s="12" t="n"/>
      <c r="AH146" s="13" t="n"/>
      <c r="AI146" s="10" t="n"/>
      <c r="AJ146" s="11" t="n"/>
      <c r="AK146" s="12" t="n"/>
      <c r="AL146" s="13" t="n"/>
      <c r="AM146" s="10" t="n"/>
      <c r="AN146" s="11" t="n"/>
      <c r="AO146" s="12" t="n"/>
      <c r="AP146" s="13" t="n"/>
      <c r="AQ146" s="6">
        <f>IF(AND((O146)&lt;85,N146&lt;137),"NO","SI")</f>
        <v/>
      </c>
      <c r="AR146" s="7">
        <f>IF((480*(10^(7.95-(O146/10))))&lt;480,480*(10^(7.95-(O146/10))),480)</f>
        <v/>
      </c>
      <c r="AS146" s="8">
        <f>IF((480*(10^(8.45-(O146/10))))&lt;480,480*(10^(8.45-(O146/10))),480)</f>
        <v/>
      </c>
      <c r="AT146" s="9">
        <f>IF((480*(10^(8.65-(O146/10))))&lt;480,480*(10^(8.65-(O146/10))),480)</f>
        <v/>
      </c>
      <c r="AU146" s="111">
        <f>IF(O146&lt;80,"0",IF((P146-O146)&lt;=2,('DPI art.191'!$G$3-(('DPI art.191'!$F$3-'DPI art.191'!$G$3)/4)*(P146-O146-2)),('DPI art.191'!$G$3-(('DPI art.191'!$G$3-'DPI art.191'!$H$3)/8)*(P146-O146-2))))</f>
        <v/>
      </c>
      <c r="AV146" s="24">
        <f>O146-AU146</f>
        <v/>
      </c>
      <c r="AW146" s="24">
        <f>IF(N146&lt;135,N146,N146-'DPI art.191'!$I$3)</f>
        <v/>
      </c>
      <c r="AX146" s="111">
        <f>IF(I146&lt;80,"0",IF((J146-I146)&lt;=2,('DPI art.191'!$G$7-(('DPI art.191'!$F$7-'DPI art.191'!$G$7)/4)*(I146-J146-2)),('DPI art.191'!$G$7-(('DPI art.191'!$G$7-'DPI art.191'!$H$7)/8)*(J146-I146-2))))</f>
        <v/>
      </c>
      <c r="AY146" s="24">
        <f>I146-AX146</f>
        <v/>
      </c>
      <c r="AZ146" s="24">
        <f>IF(H146&lt;135,H146,H146-'DPI art.191'!$I$7)</f>
        <v/>
      </c>
      <c r="BA146" s="111">
        <f>IF(O146&lt;80,"0",IF((P146-O146)&lt;=2,('DPI art.191'!$G$5-(('DPI art.191'!$F$5-'DPI art.191'!$G$5)/4)*(P146-O146-2)),('DPI art.191'!$G$5-(('DPI art.191'!$G$5-'DPI art.191'!$H$5)/8)*(P146-O146-2))))</f>
        <v/>
      </c>
      <c r="BB146" s="24">
        <f>R146-BA146</f>
        <v/>
      </c>
      <c r="BC146" s="24">
        <f>IF(N146&lt;135,N146,N146-'DPI art.191'!$I$5)</f>
        <v/>
      </c>
      <c r="BD146" s="111">
        <f>IF(O146&lt;80,"0",IF((P146-O146)&lt;=2,('DPI art.191'!$G$7-(('DPI art.191'!$F$7-'DPI art.191'!$G$7)/4)*(O146-P146-2)),('DPI art.191'!$G$7-(('DPI art.191'!$G$7-'DPI art.191'!$H$7)/8)*(P146-O146-2))))</f>
        <v/>
      </c>
      <c r="BE146" s="24">
        <f>O146-BD146</f>
        <v/>
      </c>
      <c r="BF146" s="24">
        <f>IF(N146&lt;135,N146,N146-'DPI art.191'!$I$7)</f>
        <v/>
      </c>
      <c r="BG146" s="108">
        <f>10^(0.1*R146)</f>
        <v/>
      </c>
      <c r="BH146" s="108">
        <f>10^(0.1*X146)</f>
        <v/>
      </c>
      <c r="BI146" s="108">
        <f>10^(0.1*AB146)</f>
        <v/>
      </c>
      <c r="BJ146" s="108">
        <f>10^(0.1*AF146)</f>
        <v/>
      </c>
      <c r="BK146" s="108">
        <f>10^(0.1*AJ146)</f>
        <v/>
      </c>
      <c r="BL146" s="108">
        <f>10^(0.1*AN146)</f>
        <v/>
      </c>
      <c r="BM146" s="106">
        <f>IF(R146&gt;0,(O146-R146),"")</f>
        <v/>
      </c>
      <c r="BN146" s="106">
        <f>IF(X146&gt;0,(O146-X146),"")</f>
        <v/>
      </c>
      <c r="BO146" s="106">
        <f>IF(AB146&gt;0,(O146-AB146),"")</f>
        <v/>
      </c>
      <c r="BP146" s="106">
        <f>IF(AF146&gt;0,(O146-AF146),"")</f>
        <v/>
      </c>
      <c r="BQ146" s="106">
        <f>IF(AJ146&gt;0,(O146-AJ146),"")</f>
        <v/>
      </c>
      <c r="BR146" s="106">
        <f>IF(AN146&gt;0,(O146-AN146),"")</f>
        <v/>
      </c>
      <c r="BS146" s="106">
        <f>COUNT(BM146:BR146)</f>
        <v/>
      </c>
      <c r="BT146" s="464">
        <f>IF(BS146=0,0,IF(BS146=1,0,1/(BS146*(BS146-1))))</f>
        <v/>
      </c>
      <c r="BU146" s="136">
        <f>IF(R146&gt;0,(BM146^2),"")</f>
        <v/>
      </c>
      <c r="BV146" s="136">
        <f>IF(X146&gt;0,(BN146^2),"")</f>
        <v/>
      </c>
      <c r="BW146" s="136">
        <f>IF(AB146&gt;0,(BO146^2),"")</f>
        <v/>
      </c>
      <c r="BX146" s="136">
        <f>IF(AF146&gt;0,(BP146^2),"")</f>
        <v/>
      </c>
      <c r="BY146" s="136">
        <f>IF(AJ146&gt;0,(BQ146^2),"")</f>
        <v/>
      </c>
      <c r="BZ146" s="136">
        <f>IF(AN146&gt;0,(BR146^2),"")</f>
        <v/>
      </c>
    </row>
    <row r="147" ht="18.75" customHeight="1" s="444">
      <c r="A147" s="340" t="inlineStr">
        <is>
          <t>/</t>
        </is>
      </c>
      <c r="B147" s="65">
        <f>B146+1</f>
        <v/>
      </c>
      <c r="C147" s="78" t="n"/>
      <c r="D147" s="83" t="n"/>
      <c r="E147" s="83" t="n"/>
      <c r="F147" s="329" t="n"/>
      <c r="G147" s="71" t="n">
        <v>40725</v>
      </c>
      <c r="H147" s="77" t="inlineStr">
        <is>
          <t>Compito</t>
        </is>
      </c>
      <c r="I147" s="77">
        <f>IF((V147-R147)&gt;3,"SI","")</f>
        <v/>
      </c>
      <c r="J147" s="77">
        <f>IF((U147-R147)&gt;3,"SI","")</f>
        <v/>
      </c>
      <c r="K147" s="77" t="n"/>
      <c r="L147" s="77" t="n"/>
      <c r="M147" s="137">
        <f>IF(R147&gt;0,(SQRT(BT147*(SUM(BU147:BZ147)))),"")</f>
        <v/>
      </c>
      <c r="N147" s="4">
        <f>IF(T147&gt;0,(MAX(T147,Z147,AD147,AH147,AL147,AP147))+SQRT(1.2^2+1^2),"")</f>
        <v/>
      </c>
      <c r="O147" s="3">
        <f>IF(R147="",0,10*LOG10(SUM(BG147:BL147)/(COUNT(R147,X147,AB147,AF147,AJ147,AN147))))</f>
        <v/>
      </c>
      <c r="P147" s="5">
        <f>IF(AND(Y147="",AC147="",AG147="",AK147="",AO147=""),S147,AVERAGE(S147,Y147,AC147,AG147,AK147,AO147)+STDEV(S147,Y147,AC147,AG147,AK147,AO147))</f>
        <v/>
      </c>
      <c r="Q147" s="14" t="n"/>
      <c r="R147" s="11" t="n"/>
      <c r="S147" s="12" t="n"/>
      <c r="T147" s="13" t="n"/>
      <c r="U147" s="79" t="n"/>
      <c r="V147" s="79" t="n"/>
      <c r="W147" s="10" t="n"/>
      <c r="X147" s="11" t="n"/>
      <c r="Y147" s="12" t="n"/>
      <c r="Z147" s="13" t="n"/>
      <c r="AA147" s="10" t="n"/>
      <c r="AB147" s="11" t="n"/>
      <c r="AC147" s="12" t="n"/>
      <c r="AD147" s="13" t="n"/>
      <c r="AE147" s="14" t="n"/>
      <c r="AF147" s="11" t="n"/>
      <c r="AG147" s="12" t="n"/>
      <c r="AH147" s="13" t="n"/>
      <c r="AI147" s="10" t="n"/>
      <c r="AJ147" s="11" t="n"/>
      <c r="AK147" s="12" t="n"/>
      <c r="AL147" s="13" t="n"/>
      <c r="AM147" s="10" t="n"/>
      <c r="AN147" s="11" t="n"/>
      <c r="AO147" s="12" t="n"/>
      <c r="AP147" s="13" t="n"/>
      <c r="AQ147" s="6">
        <f>IF(AND((O147)&lt;85,N147&lt;137),"NO","SI")</f>
        <v/>
      </c>
      <c r="AR147" s="7">
        <f>IF((480*(10^(7.95-(O147/10))))&lt;480,480*(10^(7.95-(O147/10))),480)</f>
        <v/>
      </c>
      <c r="AS147" s="8">
        <f>IF((480*(10^(8.45-(O147/10))))&lt;480,480*(10^(8.45-(O147/10))),480)</f>
        <v/>
      </c>
      <c r="AT147" s="9">
        <f>IF((480*(10^(8.65-(O147/10))))&lt;480,480*(10^(8.65-(O147/10))),480)</f>
        <v/>
      </c>
      <c r="AU147" s="111">
        <f>IF(O147&lt;80,"0",IF((P147-O147)&lt;=2,('DPI art.191'!$G$3-(('DPI art.191'!$F$3-'DPI art.191'!$G$3)/4)*(P147-O147-2)),('DPI art.191'!$G$3-(('DPI art.191'!$G$3-'DPI art.191'!$H$3)/8)*(P147-O147-2))))</f>
        <v/>
      </c>
      <c r="AV147" s="24">
        <f>O147-AU147</f>
        <v/>
      </c>
      <c r="AW147" s="24">
        <f>IF(N147&lt;135,N147,N147-'DPI art.191'!$I$3)</f>
        <v/>
      </c>
      <c r="AX147" s="111">
        <f>IF(I147&lt;80,"0",IF((J147-I147)&lt;=2,('DPI art.191'!$G$7-(('DPI art.191'!$F$7-'DPI art.191'!$G$7)/4)*(I147-J147-2)),('DPI art.191'!$G$7-(('DPI art.191'!$G$7-'DPI art.191'!$H$7)/8)*(J147-I147-2))))</f>
        <v/>
      </c>
      <c r="AY147" s="24">
        <f>I147-AX147</f>
        <v/>
      </c>
      <c r="AZ147" s="24">
        <f>IF(H147&lt;135,H147,H147-'DPI art.191'!$I$7)</f>
        <v/>
      </c>
      <c r="BA147" s="111">
        <f>IF(O147&lt;80,"0",IF((P147-O147)&lt;=2,('DPI art.191'!$G$5-(('DPI art.191'!$F$5-'DPI art.191'!$G$5)/4)*(P147-O147-2)),('DPI art.191'!$G$5-(('DPI art.191'!$G$5-'DPI art.191'!$H$5)/8)*(P147-O147-2))))</f>
        <v/>
      </c>
      <c r="BB147" s="24">
        <f>R147-BA147</f>
        <v/>
      </c>
      <c r="BC147" s="24">
        <f>IF(N147&lt;135,N147,N147-'DPI art.191'!$I$5)</f>
        <v/>
      </c>
      <c r="BD147" s="111">
        <f>IF(O147&lt;80,"0",IF((P147-O147)&lt;=2,('DPI art.191'!$G$7-(('DPI art.191'!$F$7-'DPI art.191'!$G$7)/4)*(O147-P147-2)),('DPI art.191'!$G$7-(('DPI art.191'!$G$7-'DPI art.191'!$H$7)/8)*(P147-O147-2))))</f>
        <v/>
      </c>
      <c r="BE147" s="24">
        <f>O147-BD147</f>
        <v/>
      </c>
      <c r="BF147" s="24">
        <f>IF(N147&lt;135,N147,N147-'DPI art.191'!$I$7)</f>
        <v/>
      </c>
      <c r="BG147" s="108">
        <f>10^(0.1*R147)</f>
        <v/>
      </c>
      <c r="BH147" s="108">
        <f>10^(0.1*X147)</f>
        <v/>
      </c>
      <c r="BI147" s="108">
        <f>10^(0.1*AB147)</f>
        <v/>
      </c>
      <c r="BJ147" s="108">
        <f>10^(0.1*AF147)</f>
        <v/>
      </c>
      <c r="BK147" s="108">
        <f>10^(0.1*AJ147)</f>
        <v/>
      </c>
      <c r="BL147" s="108">
        <f>10^(0.1*AN147)</f>
        <v/>
      </c>
      <c r="BM147" s="106">
        <f>IF(R147&gt;0,(O147-R147),"")</f>
        <v/>
      </c>
      <c r="BN147" s="106">
        <f>IF(X147&gt;0,(O147-X147),"")</f>
        <v/>
      </c>
      <c r="BO147" s="106">
        <f>IF(AB147&gt;0,(O147-AB147),"")</f>
        <v/>
      </c>
      <c r="BP147" s="106">
        <f>IF(AF147&gt;0,(O147-AF147),"")</f>
        <v/>
      </c>
      <c r="BQ147" s="106">
        <f>IF(AJ147&gt;0,(O147-AJ147),"")</f>
        <v/>
      </c>
      <c r="BR147" s="106">
        <f>IF(AN147&gt;0,(O147-AN147),"")</f>
        <v/>
      </c>
      <c r="BS147" s="106">
        <f>COUNT(BM147:BR147)</f>
        <v/>
      </c>
      <c r="BT147" s="464">
        <f>IF(BS147=0,0,IF(BS147=1,0,1/(BS147*(BS147-1))))</f>
        <v/>
      </c>
      <c r="BU147" s="136">
        <f>IF(R147&gt;0,(BM147^2),"")</f>
        <v/>
      </c>
      <c r="BV147" s="136">
        <f>IF(X147&gt;0,(BN147^2),"")</f>
        <v/>
      </c>
      <c r="BW147" s="136">
        <f>IF(AB147&gt;0,(BO147^2),"")</f>
        <v/>
      </c>
      <c r="BX147" s="136">
        <f>IF(AF147&gt;0,(BP147^2),"")</f>
        <v/>
      </c>
      <c r="BY147" s="136">
        <f>IF(AJ147&gt;0,(BQ147^2),"")</f>
        <v/>
      </c>
      <c r="BZ147" s="136">
        <f>IF(AN147&gt;0,(BR147^2),"")</f>
        <v/>
      </c>
    </row>
    <row r="148" ht="18.75" customHeight="1" s="444">
      <c r="A148" s="340" t="inlineStr">
        <is>
          <t>/</t>
        </is>
      </c>
      <c r="B148" s="65">
        <f>B147+1</f>
        <v/>
      </c>
      <c r="C148" s="78" t="n"/>
      <c r="D148" s="83" t="n"/>
      <c r="E148" s="83" t="n"/>
      <c r="F148" s="329" t="n"/>
      <c r="G148" s="71" t="n">
        <v>40725</v>
      </c>
      <c r="H148" s="77" t="inlineStr">
        <is>
          <t>Compito</t>
        </is>
      </c>
      <c r="I148" s="77">
        <f>IF((V148-R148)&gt;3,"SI","")</f>
        <v/>
      </c>
      <c r="J148" s="77">
        <f>IF((U148-R148)&gt;3,"SI","")</f>
        <v/>
      </c>
      <c r="K148" s="77" t="n"/>
      <c r="L148" s="77" t="n"/>
      <c r="M148" s="137">
        <f>IF(R148&gt;0,(SQRT(BT148*(SUM(BU148:BZ148)))),"")</f>
        <v/>
      </c>
      <c r="N148" s="4">
        <f>IF(T148&gt;0,(MAX(T148,Z148,AD148,AH148,AL148,AP148))+SQRT(1.2^2+1^2),"")</f>
        <v/>
      </c>
      <c r="O148" s="3">
        <f>IF(R148="",0,10*LOG10(SUM(BG148:BL148)/(COUNT(R148,X148,AB148,AF148,AJ148,AN148))))</f>
        <v/>
      </c>
      <c r="P148" s="5">
        <f>IF(AND(Y148="",AC148="",AG148="",AK148="",AO148=""),S148,AVERAGE(S148,Y148,AC148,AG148,AK148,AO148)+STDEV(S148,Y148,AC148,AG148,AK148,AO148))</f>
        <v/>
      </c>
      <c r="Q148" s="14" t="n"/>
      <c r="R148" s="11" t="n"/>
      <c r="S148" s="12" t="n"/>
      <c r="T148" s="13" t="n"/>
      <c r="U148" s="79" t="n"/>
      <c r="V148" s="79" t="n"/>
      <c r="W148" s="10" t="n"/>
      <c r="X148" s="11" t="n"/>
      <c r="Y148" s="12" t="n"/>
      <c r="Z148" s="13" t="n"/>
      <c r="AA148" s="10" t="n"/>
      <c r="AB148" s="11" t="n"/>
      <c r="AC148" s="12" t="n"/>
      <c r="AD148" s="13" t="n"/>
      <c r="AE148" s="14" t="n"/>
      <c r="AF148" s="11" t="n"/>
      <c r="AG148" s="12" t="n"/>
      <c r="AH148" s="13" t="n"/>
      <c r="AI148" s="10" t="n"/>
      <c r="AJ148" s="11" t="n"/>
      <c r="AK148" s="12" t="n"/>
      <c r="AL148" s="13" t="n"/>
      <c r="AM148" s="10" t="n"/>
      <c r="AN148" s="11" t="n"/>
      <c r="AO148" s="12" t="n"/>
      <c r="AP148" s="13" t="n"/>
      <c r="AQ148" s="6">
        <f>IF(AND((O148)&lt;85,N148&lt;137),"NO","SI")</f>
        <v/>
      </c>
      <c r="AR148" s="7">
        <f>IF((480*(10^(7.95-(O148/10))))&lt;480,480*(10^(7.95-(O148/10))),480)</f>
        <v/>
      </c>
      <c r="AS148" s="8">
        <f>IF((480*(10^(8.45-(O148/10))))&lt;480,480*(10^(8.45-(O148/10))),480)</f>
        <v/>
      </c>
      <c r="AT148" s="9">
        <f>IF((480*(10^(8.65-(O148/10))))&lt;480,480*(10^(8.65-(O148/10))),480)</f>
        <v/>
      </c>
      <c r="AU148" s="111">
        <f>IF(O148&lt;80,"0",IF((P148-O148)&lt;=2,('DPI art.191'!$G$3-(('DPI art.191'!$F$3-'DPI art.191'!$G$3)/4)*(P148-O148-2)),('DPI art.191'!$G$3-(('DPI art.191'!$G$3-'DPI art.191'!$H$3)/8)*(P148-O148-2))))</f>
        <v/>
      </c>
      <c r="AV148" s="24">
        <f>O148-AU148</f>
        <v/>
      </c>
      <c r="AW148" s="24">
        <f>IF(N148&lt;135,N148,N148-'DPI art.191'!$I$3)</f>
        <v/>
      </c>
      <c r="AX148" s="111">
        <f>IF(I148&lt;80,"0",IF((J148-I148)&lt;=2,('DPI art.191'!$G$7-(('DPI art.191'!$F$7-'DPI art.191'!$G$7)/4)*(I148-J148-2)),('DPI art.191'!$G$7-(('DPI art.191'!$G$7-'DPI art.191'!$H$7)/8)*(J148-I148-2))))</f>
        <v/>
      </c>
      <c r="AY148" s="24">
        <f>I148-AX148</f>
        <v/>
      </c>
      <c r="AZ148" s="24">
        <f>IF(H148&lt;135,H148,H148-'DPI art.191'!$I$7)</f>
        <v/>
      </c>
      <c r="BA148" s="111">
        <f>IF(O148&lt;80,"0",IF((P148-O148)&lt;=2,('DPI art.191'!$G$5-(('DPI art.191'!$F$5-'DPI art.191'!$G$5)/4)*(P148-O148-2)),('DPI art.191'!$G$5-(('DPI art.191'!$G$5-'DPI art.191'!$H$5)/8)*(P148-O148-2))))</f>
        <v/>
      </c>
      <c r="BB148" s="24">
        <f>R148-BA148</f>
        <v/>
      </c>
      <c r="BC148" s="24">
        <f>IF(N148&lt;135,N148,N148-'DPI art.191'!$I$5)</f>
        <v/>
      </c>
      <c r="BD148" s="111">
        <f>IF(O148&lt;80,"0",IF((P148-O148)&lt;=2,('DPI art.191'!$G$7-(('DPI art.191'!$F$7-'DPI art.191'!$G$7)/4)*(O148-P148-2)),('DPI art.191'!$G$7-(('DPI art.191'!$G$7-'DPI art.191'!$H$7)/8)*(P148-O148-2))))</f>
        <v/>
      </c>
      <c r="BE148" s="24">
        <f>O148-BD148</f>
        <v/>
      </c>
      <c r="BF148" s="24">
        <f>IF(N148&lt;135,N148,N148-'DPI art.191'!$I$7)</f>
        <v/>
      </c>
      <c r="BG148" s="108">
        <f>10^(0.1*R148)</f>
        <v/>
      </c>
      <c r="BH148" s="108">
        <f>10^(0.1*X148)</f>
        <v/>
      </c>
      <c r="BI148" s="108">
        <f>10^(0.1*AB148)</f>
        <v/>
      </c>
      <c r="BJ148" s="108">
        <f>10^(0.1*AF148)</f>
        <v/>
      </c>
      <c r="BK148" s="108">
        <f>10^(0.1*AJ148)</f>
        <v/>
      </c>
      <c r="BL148" s="108">
        <f>10^(0.1*AN148)</f>
        <v/>
      </c>
      <c r="BM148" s="106">
        <f>IF(R148&gt;0,(O148-R148),"")</f>
        <v/>
      </c>
      <c r="BN148" s="106">
        <f>IF(X148&gt;0,(O148-X148),"")</f>
        <v/>
      </c>
      <c r="BO148" s="106">
        <f>IF(AB148&gt;0,(O148-AB148),"")</f>
        <v/>
      </c>
      <c r="BP148" s="106">
        <f>IF(AF148&gt;0,(O148-AF148),"")</f>
        <v/>
      </c>
      <c r="BQ148" s="106">
        <f>IF(AJ148&gt;0,(O148-AJ148),"")</f>
        <v/>
      </c>
      <c r="BR148" s="106">
        <f>IF(AN148&gt;0,(O148-AN148),"")</f>
        <v/>
      </c>
      <c r="BS148" s="106">
        <f>COUNT(BM148:BR148)</f>
        <v/>
      </c>
      <c r="BT148" s="464">
        <f>IF(BS148=0,0,IF(BS148=1,0,1/(BS148*(BS148-1))))</f>
        <v/>
      </c>
      <c r="BU148" s="136">
        <f>IF(R148&gt;0,(BM148^2),"")</f>
        <v/>
      </c>
      <c r="BV148" s="136">
        <f>IF(X148&gt;0,(BN148^2),"")</f>
        <v/>
      </c>
      <c r="BW148" s="136">
        <f>IF(AB148&gt;0,(BO148^2),"")</f>
        <v/>
      </c>
      <c r="BX148" s="136">
        <f>IF(AF148&gt;0,(BP148^2),"")</f>
        <v/>
      </c>
      <c r="BY148" s="136">
        <f>IF(AJ148&gt;0,(BQ148^2),"")</f>
        <v/>
      </c>
      <c r="BZ148" s="136">
        <f>IF(AN148&gt;0,(BR148^2),"")</f>
        <v/>
      </c>
    </row>
    <row r="149" ht="18.75" customHeight="1" s="444">
      <c r="A149" s="340" t="inlineStr">
        <is>
          <t>/</t>
        </is>
      </c>
      <c r="B149" s="65">
        <f>B148+1</f>
        <v/>
      </c>
      <c r="C149" s="78" t="n"/>
      <c r="D149" s="83" t="n"/>
      <c r="E149" s="83" t="n"/>
      <c r="F149" s="329" t="n"/>
      <c r="G149" s="71" t="n">
        <v>40725</v>
      </c>
      <c r="H149" s="77" t="inlineStr">
        <is>
          <t>Compito</t>
        </is>
      </c>
      <c r="I149" s="77">
        <f>IF((V149-R149)&gt;3,"SI","")</f>
        <v/>
      </c>
      <c r="J149" s="77">
        <f>IF((U149-R149)&gt;3,"SI","")</f>
        <v/>
      </c>
      <c r="K149" s="77" t="n"/>
      <c r="L149" s="77" t="n"/>
      <c r="M149" s="137">
        <f>IF(R149&gt;0,(SQRT(BT149*(SUM(BU149:BZ149)))),"")</f>
        <v/>
      </c>
      <c r="N149" s="4">
        <f>IF(T149&gt;0,(MAX(T149,Z149,AD149,AH149,AL149,AP149))+SQRT(1.2^2+1^2),"")</f>
        <v/>
      </c>
      <c r="O149" s="3">
        <f>IF(R149="",0,10*LOG10(SUM(BG149:BL149)/(COUNT(R149,X149,AB149,AF149,AJ149,AN149))))</f>
        <v/>
      </c>
      <c r="P149" s="5">
        <f>IF(AND(Y149="",AC149="",AG149="",AK149="",AO149=""),S149,AVERAGE(S149,Y149,AC149,AG149,AK149,AO149)+STDEV(S149,Y149,AC149,AG149,AK149,AO149))</f>
        <v/>
      </c>
      <c r="Q149" s="14" t="n"/>
      <c r="R149" s="11" t="n"/>
      <c r="S149" s="12" t="n"/>
      <c r="T149" s="13" t="n"/>
      <c r="U149" s="79" t="n"/>
      <c r="V149" s="79" t="n"/>
      <c r="W149" s="10" t="n"/>
      <c r="X149" s="11" t="n"/>
      <c r="Y149" s="12" t="n"/>
      <c r="Z149" s="13" t="n"/>
      <c r="AA149" s="10" t="n"/>
      <c r="AB149" s="11" t="n"/>
      <c r="AC149" s="12" t="n"/>
      <c r="AD149" s="13" t="n"/>
      <c r="AE149" s="14" t="n"/>
      <c r="AF149" s="11" t="n"/>
      <c r="AG149" s="12" t="n"/>
      <c r="AH149" s="13" t="n"/>
      <c r="AI149" s="10" t="n"/>
      <c r="AJ149" s="11" t="n"/>
      <c r="AK149" s="12" t="n"/>
      <c r="AL149" s="13" t="n"/>
      <c r="AM149" s="10" t="n"/>
      <c r="AN149" s="11" t="n"/>
      <c r="AO149" s="12" t="n"/>
      <c r="AP149" s="13" t="n"/>
      <c r="AQ149" s="6">
        <f>IF(AND((O149)&lt;85,N149&lt;137),"NO","SI")</f>
        <v/>
      </c>
      <c r="AR149" s="7">
        <f>IF((480*(10^(7.95-(O149/10))))&lt;480,480*(10^(7.95-(O149/10))),480)</f>
        <v/>
      </c>
      <c r="AS149" s="8">
        <f>IF((480*(10^(8.45-(O149/10))))&lt;480,480*(10^(8.45-(O149/10))),480)</f>
        <v/>
      </c>
      <c r="AT149" s="9">
        <f>IF((480*(10^(8.65-(O149/10))))&lt;480,480*(10^(8.65-(O149/10))),480)</f>
        <v/>
      </c>
      <c r="AU149" s="111">
        <f>IF(O149&lt;80,"0",IF((P149-O149)&lt;=2,('DPI art.191'!$G$3-(('DPI art.191'!$F$3-'DPI art.191'!$G$3)/4)*(P149-O149-2)),('DPI art.191'!$G$3-(('DPI art.191'!$G$3-'DPI art.191'!$H$3)/8)*(P149-O149-2))))</f>
        <v/>
      </c>
      <c r="AV149" s="24">
        <f>O149-AU149</f>
        <v/>
      </c>
      <c r="AW149" s="24">
        <f>IF(N149&lt;135,N149,N149-'DPI art.191'!$I$3)</f>
        <v/>
      </c>
      <c r="AX149" s="111">
        <f>IF(I149&lt;80,"0",IF((J149-I149)&lt;=2,('DPI art.191'!$G$7-(('DPI art.191'!$F$7-'DPI art.191'!$G$7)/4)*(I149-J149-2)),('DPI art.191'!$G$7-(('DPI art.191'!$G$7-'DPI art.191'!$H$7)/8)*(J149-I149-2))))</f>
        <v/>
      </c>
      <c r="AY149" s="24">
        <f>I149-AX149</f>
        <v/>
      </c>
      <c r="AZ149" s="24">
        <f>IF(H149&lt;135,H149,H149-'DPI art.191'!$I$7)</f>
        <v/>
      </c>
      <c r="BA149" s="111">
        <f>IF(O149&lt;80,"0",IF((P149-O149)&lt;=2,('DPI art.191'!$G$5-(('DPI art.191'!$F$5-'DPI art.191'!$G$5)/4)*(P149-O149-2)),('DPI art.191'!$G$5-(('DPI art.191'!$G$5-'DPI art.191'!$H$5)/8)*(P149-O149-2))))</f>
        <v/>
      </c>
      <c r="BB149" s="24">
        <f>R149-BA149</f>
        <v/>
      </c>
      <c r="BC149" s="24">
        <f>IF(N149&lt;135,N149,N149-'DPI art.191'!$I$5)</f>
        <v/>
      </c>
      <c r="BD149" s="111">
        <f>IF(O149&lt;80,"0",IF((P149-O149)&lt;=2,('DPI art.191'!$G$7-(('DPI art.191'!$F$7-'DPI art.191'!$G$7)/4)*(O149-P149-2)),('DPI art.191'!$G$7-(('DPI art.191'!$G$7-'DPI art.191'!$H$7)/8)*(P149-O149-2))))</f>
        <v/>
      </c>
      <c r="BE149" s="24">
        <f>O149-BD149</f>
        <v/>
      </c>
      <c r="BF149" s="24">
        <f>IF(N149&lt;135,N149,N149-'DPI art.191'!$I$7)</f>
        <v/>
      </c>
      <c r="BG149" s="108">
        <f>10^(0.1*R149)</f>
        <v/>
      </c>
      <c r="BH149" s="108">
        <f>10^(0.1*X149)</f>
        <v/>
      </c>
      <c r="BI149" s="108">
        <f>10^(0.1*AB149)</f>
        <v/>
      </c>
      <c r="BJ149" s="108">
        <f>10^(0.1*AF149)</f>
        <v/>
      </c>
      <c r="BK149" s="108">
        <f>10^(0.1*AJ149)</f>
        <v/>
      </c>
      <c r="BL149" s="108">
        <f>10^(0.1*AN149)</f>
        <v/>
      </c>
      <c r="BM149" s="106">
        <f>IF(R149&gt;0,(O149-R149),"")</f>
        <v/>
      </c>
      <c r="BN149" s="106">
        <f>IF(X149&gt;0,(O149-X149),"")</f>
        <v/>
      </c>
      <c r="BO149" s="106">
        <f>IF(AB149&gt;0,(O149-AB149),"")</f>
        <v/>
      </c>
      <c r="BP149" s="106">
        <f>IF(AF149&gt;0,(O149-AF149),"")</f>
        <v/>
      </c>
      <c r="BQ149" s="106">
        <f>IF(AJ149&gt;0,(O149-AJ149),"")</f>
        <v/>
      </c>
      <c r="BR149" s="106">
        <f>IF(AN149&gt;0,(O149-AN149),"")</f>
        <v/>
      </c>
      <c r="BS149" s="106">
        <f>COUNT(BM149:BR149)</f>
        <v/>
      </c>
      <c r="BT149" s="464">
        <f>IF(BS149=0,0,IF(BS149=1,0,1/(BS149*(BS149-1))))</f>
        <v/>
      </c>
      <c r="BU149" s="136">
        <f>IF(R149&gt;0,(BM149^2),"")</f>
        <v/>
      </c>
      <c r="BV149" s="136">
        <f>IF(X149&gt;0,(BN149^2),"")</f>
        <v/>
      </c>
      <c r="BW149" s="136">
        <f>IF(AB149&gt;0,(BO149^2),"")</f>
        <v/>
      </c>
      <c r="BX149" s="136">
        <f>IF(AF149&gt;0,(BP149^2),"")</f>
        <v/>
      </c>
      <c r="BY149" s="136">
        <f>IF(AJ149&gt;0,(BQ149^2),"")</f>
        <v/>
      </c>
      <c r="BZ149" s="136">
        <f>IF(AN149&gt;0,(BR149^2),"")</f>
        <v/>
      </c>
    </row>
    <row r="150" ht="18.75" customHeight="1" s="444">
      <c r="A150" s="340" t="inlineStr">
        <is>
          <t>/</t>
        </is>
      </c>
      <c r="B150" s="65">
        <f>B149+1</f>
        <v/>
      </c>
      <c r="C150" s="78" t="n"/>
      <c r="D150" s="83" t="n"/>
      <c r="E150" s="83" t="n"/>
      <c r="F150" s="329" t="n"/>
      <c r="G150" s="71" t="n">
        <v>40725</v>
      </c>
      <c r="H150" s="77" t="inlineStr">
        <is>
          <t>Compito</t>
        </is>
      </c>
      <c r="I150" s="77">
        <f>IF((V150-R150)&gt;3,"SI","")</f>
        <v/>
      </c>
      <c r="J150" s="77">
        <f>IF((U150-R150)&gt;3,"SI","")</f>
        <v/>
      </c>
      <c r="K150" s="77" t="n"/>
      <c r="L150" s="77" t="n"/>
      <c r="M150" s="137">
        <f>IF(R150&gt;0,(SQRT(BT150*(SUM(BU150:BZ150)))),"")</f>
        <v/>
      </c>
      <c r="N150" s="4">
        <f>IF(T150&gt;0,(MAX(T150,Z150,AD150,AH150,AL150,AP150))+SQRT(1.2^2+1^2),"")</f>
        <v/>
      </c>
      <c r="O150" s="3">
        <f>IF(R150="",0,10*LOG10(SUM(BG150:BL150)/(COUNT(R150,X150,AB150,AF150,AJ150,AN150))))</f>
        <v/>
      </c>
      <c r="P150" s="5">
        <f>IF(AND(Y150="",AC150="",AG150="",AK150="",AO150=""),S150,AVERAGE(S150,Y150,AC150,AG150,AK150,AO150)+STDEV(S150,Y150,AC150,AG150,AK150,AO150))</f>
        <v/>
      </c>
      <c r="Q150" s="14" t="n"/>
      <c r="R150" s="11" t="n"/>
      <c r="S150" s="12" t="n"/>
      <c r="T150" s="13" t="n"/>
      <c r="U150" s="79" t="n"/>
      <c r="V150" s="79" t="n"/>
      <c r="W150" s="10" t="n"/>
      <c r="X150" s="11" t="n"/>
      <c r="Y150" s="12" t="n"/>
      <c r="Z150" s="13" t="n"/>
      <c r="AA150" s="10" t="n"/>
      <c r="AB150" s="11" t="n"/>
      <c r="AC150" s="12" t="n"/>
      <c r="AD150" s="13" t="n"/>
      <c r="AE150" s="14" t="n"/>
      <c r="AF150" s="11" t="n"/>
      <c r="AG150" s="12" t="n"/>
      <c r="AH150" s="13" t="n"/>
      <c r="AI150" s="10" t="n"/>
      <c r="AJ150" s="11" t="n"/>
      <c r="AK150" s="12" t="n"/>
      <c r="AL150" s="13" t="n"/>
      <c r="AM150" s="10" t="n"/>
      <c r="AN150" s="11" t="n"/>
      <c r="AO150" s="12" t="n"/>
      <c r="AP150" s="13" t="n"/>
      <c r="AQ150" s="6">
        <f>IF(AND((O150)&lt;85,N150&lt;137),"NO","SI")</f>
        <v/>
      </c>
      <c r="AR150" s="7">
        <f>IF((480*(10^(7.95-(O150/10))))&lt;480,480*(10^(7.95-(O150/10))),480)</f>
        <v/>
      </c>
      <c r="AS150" s="8">
        <f>IF((480*(10^(8.45-(O150/10))))&lt;480,480*(10^(8.45-(O150/10))),480)</f>
        <v/>
      </c>
      <c r="AT150" s="9">
        <f>IF((480*(10^(8.65-(O150/10))))&lt;480,480*(10^(8.65-(O150/10))),480)</f>
        <v/>
      </c>
      <c r="AU150" s="111">
        <f>IF(O150&lt;80,"0",IF((P150-O150)&lt;=2,('DPI art.191'!$G$3-(('DPI art.191'!$F$3-'DPI art.191'!$G$3)/4)*(P150-O150-2)),('DPI art.191'!$G$3-(('DPI art.191'!$G$3-'DPI art.191'!$H$3)/8)*(P150-O150-2))))</f>
        <v/>
      </c>
      <c r="AV150" s="24">
        <f>O150-AU150</f>
        <v/>
      </c>
      <c r="AW150" s="24">
        <f>IF(N150&lt;135,N150,N150-'DPI art.191'!$I$3)</f>
        <v/>
      </c>
      <c r="AX150" s="111">
        <f>IF(I150&lt;80,"0",IF((J150-I150)&lt;=2,('DPI art.191'!$G$7-(('DPI art.191'!$F$7-'DPI art.191'!$G$7)/4)*(I150-J150-2)),('DPI art.191'!$G$7-(('DPI art.191'!$G$7-'DPI art.191'!$H$7)/8)*(J150-I150-2))))</f>
        <v/>
      </c>
      <c r="AY150" s="24">
        <f>I150-AX150</f>
        <v/>
      </c>
      <c r="AZ150" s="24">
        <f>IF(H150&lt;135,H150,H150-'DPI art.191'!$I$7)</f>
        <v/>
      </c>
      <c r="BA150" s="111">
        <f>IF(O150&lt;80,"0",IF((P150-O150)&lt;=2,('DPI art.191'!$G$5-(('DPI art.191'!$F$5-'DPI art.191'!$G$5)/4)*(P150-O150-2)),('DPI art.191'!$G$5-(('DPI art.191'!$G$5-'DPI art.191'!$H$5)/8)*(P150-O150-2))))</f>
        <v/>
      </c>
      <c r="BB150" s="24">
        <f>R150-BA150</f>
        <v/>
      </c>
      <c r="BC150" s="24">
        <f>IF(N150&lt;135,N150,N150-'DPI art.191'!$I$5)</f>
        <v/>
      </c>
      <c r="BD150" s="111">
        <f>IF(O150&lt;80,"0",IF((P150-O150)&lt;=2,('DPI art.191'!$G$7-(('DPI art.191'!$F$7-'DPI art.191'!$G$7)/4)*(O150-P150-2)),('DPI art.191'!$G$7-(('DPI art.191'!$G$7-'DPI art.191'!$H$7)/8)*(P150-O150-2))))</f>
        <v/>
      </c>
      <c r="BE150" s="24">
        <f>O150-BD150</f>
        <v/>
      </c>
      <c r="BF150" s="24">
        <f>IF(N150&lt;135,N150,N150-'DPI art.191'!$I$7)</f>
        <v/>
      </c>
      <c r="BG150" s="108">
        <f>10^(0.1*R150)</f>
        <v/>
      </c>
      <c r="BH150" s="108">
        <f>10^(0.1*X150)</f>
        <v/>
      </c>
      <c r="BI150" s="108">
        <f>10^(0.1*AB150)</f>
        <v/>
      </c>
      <c r="BJ150" s="108">
        <f>10^(0.1*AF150)</f>
        <v/>
      </c>
      <c r="BK150" s="108">
        <f>10^(0.1*AJ150)</f>
        <v/>
      </c>
      <c r="BL150" s="108">
        <f>10^(0.1*AN150)</f>
        <v/>
      </c>
      <c r="BM150" s="106">
        <f>IF(R150&gt;0,(O150-R150),"")</f>
        <v/>
      </c>
      <c r="BN150" s="106">
        <f>IF(X150&gt;0,(O150-X150),"")</f>
        <v/>
      </c>
      <c r="BO150" s="106">
        <f>IF(AB150&gt;0,(O150-AB150),"")</f>
        <v/>
      </c>
      <c r="BP150" s="106">
        <f>IF(AF150&gt;0,(O150-AF150),"")</f>
        <v/>
      </c>
      <c r="BQ150" s="106">
        <f>IF(AJ150&gt;0,(O150-AJ150),"")</f>
        <v/>
      </c>
      <c r="BR150" s="106">
        <f>IF(AN150&gt;0,(O150-AN150),"")</f>
        <v/>
      </c>
      <c r="BS150" s="106">
        <f>COUNT(BM150:BR150)</f>
        <v/>
      </c>
      <c r="BT150" s="464">
        <f>IF(BS150=0,0,IF(BS150=1,0,1/(BS150*(BS150-1))))</f>
        <v/>
      </c>
      <c r="BU150" s="136">
        <f>IF(R150&gt;0,(BM150^2),"")</f>
        <v/>
      </c>
      <c r="BV150" s="136">
        <f>IF(X150&gt;0,(BN150^2),"")</f>
        <v/>
      </c>
      <c r="BW150" s="136">
        <f>IF(AB150&gt;0,(BO150^2),"")</f>
        <v/>
      </c>
      <c r="BX150" s="136">
        <f>IF(AF150&gt;0,(BP150^2),"")</f>
        <v/>
      </c>
      <c r="BY150" s="136">
        <f>IF(AJ150&gt;0,(BQ150^2),"")</f>
        <v/>
      </c>
      <c r="BZ150" s="136">
        <f>IF(AN150&gt;0,(BR150^2),"")</f>
        <v/>
      </c>
    </row>
    <row r="151" ht="18.75" customHeight="1" s="444">
      <c r="A151" s="340" t="inlineStr">
        <is>
          <t>/</t>
        </is>
      </c>
      <c r="B151" s="65">
        <f>B150+1</f>
        <v/>
      </c>
      <c r="C151" s="78" t="n"/>
      <c r="D151" s="83" t="n"/>
      <c r="E151" s="83" t="n"/>
      <c r="F151" s="329" t="n"/>
      <c r="G151" s="71" t="n">
        <v>40725</v>
      </c>
      <c r="H151" s="77" t="inlineStr">
        <is>
          <t>Compito</t>
        </is>
      </c>
      <c r="I151" s="77">
        <f>IF((V151-R151)&gt;3,"SI","")</f>
        <v/>
      </c>
      <c r="J151" s="77">
        <f>IF((U151-R151)&gt;3,"SI","")</f>
        <v/>
      </c>
      <c r="K151" s="77" t="n"/>
      <c r="L151" s="77" t="n"/>
      <c r="M151" s="137">
        <f>IF(R151&gt;0,(SQRT(BT151*(SUM(BU151:BZ151)))),"")</f>
        <v/>
      </c>
      <c r="N151" s="4">
        <f>IF(T151&gt;0,(MAX(T151,Z151,AD151,AH151,AL151,AP151))+SQRT(1.2^2+1^2),"")</f>
        <v/>
      </c>
      <c r="O151" s="3">
        <f>IF(R151="",0,10*LOG10(SUM(BG151:BL151)/(COUNT(R151,X151,AB151,AF151,AJ151,AN151))))</f>
        <v/>
      </c>
      <c r="P151" s="5">
        <f>IF(AND(Y151="",AC151="",AG151="",AK151="",AO151=""),S151,AVERAGE(S151,Y151,AC151,AG151,AK151,AO151)+STDEV(S151,Y151,AC151,AG151,AK151,AO151))</f>
        <v/>
      </c>
      <c r="Q151" s="14" t="n"/>
      <c r="R151" s="11" t="n"/>
      <c r="S151" s="12" t="n"/>
      <c r="T151" s="13" t="n"/>
      <c r="U151" s="79" t="n"/>
      <c r="V151" s="79" t="n"/>
      <c r="W151" s="10" t="n"/>
      <c r="X151" s="11" t="n"/>
      <c r="Y151" s="12" t="n"/>
      <c r="Z151" s="13" t="n"/>
      <c r="AA151" s="10" t="n"/>
      <c r="AB151" s="11" t="n"/>
      <c r="AC151" s="12" t="n"/>
      <c r="AD151" s="13" t="n"/>
      <c r="AE151" s="14" t="n"/>
      <c r="AF151" s="11" t="n"/>
      <c r="AG151" s="12" t="n"/>
      <c r="AH151" s="13" t="n"/>
      <c r="AI151" s="10" t="n"/>
      <c r="AJ151" s="11" t="n"/>
      <c r="AK151" s="12" t="n"/>
      <c r="AL151" s="13" t="n"/>
      <c r="AM151" s="10" t="n"/>
      <c r="AN151" s="11" t="n"/>
      <c r="AO151" s="12" t="n"/>
      <c r="AP151" s="13" t="n"/>
      <c r="AQ151" s="6">
        <f>IF(AND((O151)&lt;85,N151&lt;137),"NO","SI")</f>
        <v/>
      </c>
      <c r="AR151" s="7">
        <f>IF((480*(10^(7.95-(O151/10))))&lt;480,480*(10^(7.95-(O151/10))),480)</f>
        <v/>
      </c>
      <c r="AS151" s="8">
        <f>IF((480*(10^(8.45-(O151/10))))&lt;480,480*(10^(8.45-(O151/10))),480)</f>
        <v/>
      </c>
      <c r="AT151" s="9">
        <f>IF((480*(10^(8.65-(O151/10))))&lt;480,480*(10^(8.65-(O151/10))),480)</f>
        <v/>
      </c>
      <c r="AU151" s="111">
        <f>IF(O151&lt;80,"0",IF((P151-O151)&lt;=2,('DPI art.191'!$G$3-(('DPI art.191'!$F$3-'DPI art.191'!$G$3)/4)*(P151-O151-2)),('DPI art.191'!$G$3-(('DPI art.191'!$G$3-'DPI art.191'!$H$3)/8)*(P151-O151-2))))</f>
        <v/>
      </c>
      <c r="AV151" s="24">
        <f>O151-AU151</f>
        <v/>
      </c>
      <c r="AW151" s="24">
        <f>IF(N151&lt;135,N151,N151-'DPI art.191'!$I$3)</f>
        <v/>
      </c>
      <c r="AX151" s="111">
        <f>IF(I151&lt;80,"0",IF((J151-I151)&lt;=2,('DPI art.191'!$G$7-(('DPI art.191'!$F$7-'DPI art.191'!$G$7)/4)*(I151-J151-2)),('DPI art.191'!$G$7-(('DPI art.191'!$G$7-'DPI art.191'!$H$7)/8)*(J151-I151-2))))</f>
        <v/>
      </c>
      <c r="AY151" s="24">
        <f>I151-AX151</f>
        <v/>
      </c>
      <c r="AZ151" s="24">
        <f>IF(H151&lt;135,H151,H151-'DPI art.191'!$I$7)</f>
        <v/>
      </c>
      <c r="BA151" s="111">
        <f>IF(O151&lt;80,"0",IF((P151-O151)&lt;=2,('DPI art.191'!$G$5-(('DPI art.191'!$F$5-'DPI art.191'!$G$5)/4)*(P151-O151-2)),('DPI art.191'!$G$5-(('DPI art.191'!$G$5-'DPI art.191'!$H$5)/8)*(P151-O151-2))))</f>
        <v/>
      </c>
      <c r="BB151" s="24">
        <f>R151-BA151</f>
        <v/>
      </c>
      <c r="BC151" s="24">
        <f>IF(N151&lt;135,N151,N151-'DPI art.191'!$I$5)</f>
        <v/>
      </c>
      <c r="BD151" s="111">
        <f>IF(O151&lt;80,"0",IF((P151-O151)&lt;=2,('DPI art.191'!$G$7-(('DPI art.191'!$F$7-'DPI art.191'!$G$7)/4)*(O151-P151-2)),('DPI art.191'!$G$7-(('DPI art.191'!$G$7-'DPI art.191'!$H$7)/8)*(P151-O151-2))))</f>
        <v/>
      </c>
      <c r="BE151" s="24">
        <f>O151-BD151</f>
        <v/>
      </c>
      <c r="BF151" s="24">
        <f>IF(N151&lt;135,N151,N151-'DPI art.191'!$I$7)</f>
        <v/>
      </c>
      <c r="BG151" s="108">
        <f>10^(0.1*R151)</f>
        <v/>
      </c>
      <c r="BH151" s="108">
        <f>10^(0.1*X151)</f>
        <v/>
      </c>
      <c r="BI151" s="108">
        <f>10^(0.1*AB151)</f>
        <v/>
      </c>
      <c r="BJ151" s="108">
        <f>10^(0.1*AF151)</f>
        <v/>
      </c>
      <c r="BK151" s="108">
        <f>10^(0.1*AJ151)</f>
        <v/>
      </c>
      <c r="BL151" s="108">
        <f>10^(0.1*AN151)</f>
        <v/>
      </c>
      <c r="BM151" s="106">
        <f>IF(R151&gt;0,(O151-R151),"")</f>
        <v/>
      </c>
      <c r="BN151" s="106">
        <f>IF(X151&gt;0,(O151-X151),"")</f>
        <v/>
      </c>
      <c r="BO151" s="106">
        <f>IF(AB151&gt;0,(O151-AB151),"")</f>
        <v/>
      </c>
      <c r="BP151" s="106">
        <f>IF(AF151&gt;0,(O151-AF151),"")</f>
        <v/>
      </c>
      <c r="BQ151" s="106">
        <f>IF(AJ151&gt;0,(O151-AJ151),"")</f>
        <v/>
      </c>
      <c r="BR151" s="106">
        <f>IF(AN151&gt;0,(O151-AN151),"")</f>
        <v/>
      </c>
      <c r="BS151" s="106">
        <f>COUNT(BM151:BR151)</f>
        <v/>
      </c>
      <c r="BT151" s="464">
        <f>IF(BS151=0,0,IF(BS151=1,0,1/(BS151*(BS151-1))))</f>
        <v/>
      </c>
      <c r="BU151" s="136">
        <f>IF(R151&gt;0,(BM151^2),"")</f>
        <v/>
      </c>
      <c r="BV151" s="136">
        <f>IF(X151&gt;0,(BN151^2),"")</f>
        <v/>
      </c>
      <c r="BW151" s="136">
        <f>IF(AB151&gt;0,(BO151^2),"")</f>
        <v/>
      </c>
      <c r="BX151" s="136">
        <f>IF(AF151&gt;0,(BP151^2),"")</f>
        <v/>
      </c>
      <c r="BY151" s="136">
        <f>IF(AJ151&gt;0,(BQ151^2),"")</f>
        <v/>
      </c>
      <c r="BZ151" s="136">
        <f>IF(AN151&gt;0,(BR151^2),"")</f>
        <v/>
      </c>
    </row>
    <row r="152" ht="18.75" customHeight="1" s="444">
      <c r="A152" s="340" t="inlineStr">
        <is>
          <t>/</t>
        </is>
      </c>
      <c r="B152" s="65">
        <f>B151+1</f>
        <v/>
      </c>
      <c r="C152" s="78" t="n"/>
      <c r="D152" s="83" t="n"/>
      <c r="E152" s="83" t="n"/>
      <c r="F152" s="329" t="n"/>
      <c r="G152" s="71" t="n">
        <v>40725</v>
      </c>
      <c r="H152" s="77" t="inlineStr">
        <is>
          <t>Compito</t>
        </is>
      </c>
      <c r="I152" s="77">
        <f>IF((V152-R152)&gt;3,"SI","")</f>
        <v/>
      </c>
      <c r="J152" s="77">
        <f>IF((U152-R152)&gt;3,"SI","")</f>
        <v/>
      </c>
      <c r="K152" s="77" t="n"/>
      <c r="L152" s="77" t="n"/>
      <c r="M152" s="137">
        <f>IF(R152&gt;0,(SQRT(BT152*(SUM(BU152:BZ152)))),"")</f>
        <v/>
      </c>
      <c r="N152" s="4">
        <f>IF(T152&gt;0,(MAX(T152,Z152,AD152,AH152,AL152,AP152))+SQRT(1.2^2+1^2),"")</f>
        <v/>
      </c>
      <c r="O152" s="3">
        <f>IF(R152="",0,10*LOG10(SUM(BG152:BL152)/(COUNT(R152,X152,AB152,AF152,AJ152,AN152))))</f>
        <v/>
      </c>
      <c r="P152" s="5">
        <f>IF(AND(Y152="",AC152="",AG152="",AK152="",AO152=""),S152,AVERAGE(S152,Y152,AC152,AG152,AK152,AO152)+STDEV(S152,Y152,AC152,AG152,AK152,AO152))</f>
        <v/>
      </c>
      <c r="Q152" s="14" t="n"/>
      <c r="R152" s="11" t="n"/>
      <c r="S152" s="12" t="n"/>
      <c r="T152" s="13" t="n"/>
      <c r="U152" s="79" t="n"/>
      <c r="V152" s="79" t="n"/>
      <c r="W152" s="10" t="n"/>
      <c r="X152" s="11" t="n"/>
      <c r="Y152" s="12" t="n"/>
      <c r="Z152" s="13" t="n"/>
      <c r="AA152" s="10" t="n"/>
      <c r="AB152" s="11" t="n"/>
      <c r="AC152" s="12" t="n"/>
      <c r="AD152" s="13" t="n"/>
      <c r="AE152" s="14" t="n"/>
      <c r="AF152" s="11" t="n"/>
      <c r="AG152" s="12" t="n"/>
      <c r="AH152" s="13" t="n"/>
      <c r="AI152" s="10" t="n"/>
      <c r="AJ152" s="11" t="n"/>
      <c r="AK152" s="12" t="n"/>
      <c r="AL152" s="13" t="n"/>
      <c r="AM152" s="10" t="n"/>
      <c r="AN152" s="11" t="n"/>
      <c r="AO152" s="12" t="n"/>
      <c r="AP152" s="13" t="n"/>
      <c r="AQ152" s="6">
        <f>IF(AND((O152)&lt;85,N152&lt;137),"NO","SI")</f>
        <v/>
      </c>
      <c r="AR152" s="7">
        <f>IF((480*(10^(7.95-(O152/10))))&lt;480,480*(10^(7.95-(O152/10))),480)</f>
        <v/>
      </c>
      <c r="AS152" s="8">
        <f>IF((480*(10^(8.45-(O152/10))))&lt;480,480*(10^(8.45-(O152/10))),480)</f>
        <v/>
      </c>
      <c r="AT152" s="9">
        <f>IF((480*(10^(8.65-(O152/10))))&lt;480,480*(10^(8.65-(O152/10))),480)</f>
        <v/>
      </c>
      <c r="AU152" s="111">
        <f>IF(O152&lt;80,"0",IF((P152-O152)&lt;=2,('DPI art.191'!$G$3-(('DPI art.191'!$F$3-'DPI art.191'!$G$3)/4)*(P152-O152-2)),('DPI art.191'!$G$3-(('DPI art.191'!$G$3-'DPI art.191'!$H$3)/8)*(P152-O152-2))))</f>
        <v/>
      </c>
      <c r="AV152" s="24">
        <f>O152-AU152</f>
        <v/>
      </c>
      <c r="AW152" s="24">
        <f>IF(N152&lt;135,N152,N152-'DPI art.191'!$I$3)</f>
        <v/>
      </c>
      <c r="AX152" s="111">
        <f>IF(I152&lt;80,"0",IF((J152-I152)&lt;=2,('DPI art.191'!$G$7-(('DPI art.191'!$F$7-'DPI art.191'!$G$7)/4)*(I152-J152-2)),('DPI art.191'!$G$7-(('DPI art.191'!$G$7-'DPI art.191'!$H$7)/8)*(J152-I152-2))))</f>
        <v/>
      </c>
      <c r="AY152" s="24">
        <f>I152-AX152</f>
        <v/>
      </c>
      <c r="AZ152" s="24">
        <f>IF(H152&lt;135,H152,H152-'DPI art.191'!$I$7)</f>
        <v/>
      </c>
      <c r="BA152" s="111">
        <f>IF(O152&lt;80,"0",IF((P152-O152)&lt;=2,('DPI art.191'!$G$5-(('DPI art.191'!$F$5-'DPI art.191'!$G$5)/4)*(P152-O152-2)),('DPI art.191'!$G$5-(('DPI art.191'!$G$5-'DPI art.191'!$H$5)/8)*(P152-O152-2))))</f>
        <v/>
      </c>
      <c r="BB152" s="24">
        <f>R152-BA152</f>
        <v/>
      </c>
      <c r="BC152" s="24">
        <f>IF(N152&lt;135,N152,N152-'DPI art.191'!$I$5)</f>
        <v/>
      </c>
      <c r="BD152" s="111">
        <f>IF(O152&lt;80,"0",IF((P152-O152)&lt;=2,('DPI art.191'!$G$7-(('DPI art.191'!$F$7-'DPI art.191'!$G$7)/4)*(O152-P152-2)),('DPI art.191'!$G$7-(('DPI art.191'!$G$7-'DPI art.191'!$H$7)/8)*(P152-O152-2))))</f>
        <v/>
      </c>
      <c r="BE152" s="24">
        <f>O152-BD152</f>
        <v/>
      </c>
      <c r="BF152" s="24">
        <f>IF(N152&lt;135,N152,N152-'DPI art.191'!$I$7)</f>
        <v/>
      </c>
      <c r="BG152" s="108">
        <f>10^(0.1*R152)</f>
        <v/>
      </c>
      <c r="BH152" s="108">
        <f>10^(0.1*X152)</f>
        <v/>
      </c>
      <c r="BI152" s="108">
        <f>10^(0.1*AB152)</f>
        <v/>
      </c>
      <c r="BJ152" s="108">
        <f>10^(0.1*AF152)</f>
        <v/>
      </c>
      <c r="BK152" s="108">
        <f>10^(0.1*AJ152)</f>
        <v/>
      </c>
      <c r="BL152" s="108">
        <f>10^(0.1*AN152)</f>
        <v/>
      </c>
      <c r="BM152" s="106">
        <f>IF(R152&gt;0,(O152-R152),"")</f>
        <v/>
      </c>
      <c r="BN152" s="106">
        <f>IF(X152&gt;0,(O152-X152),"")</f>
        <v/>
      </c>
      <c r="BO152" s="106">
        <f>IF(AB152&gt;0,(O152-AB152),"")</f>
        <v/>
      </c>
      <c r="BP152" s="106">
        <f>IF(AF152&gt;0,(O152-AF152),"")</f>
        <v/>
      </c>
      <c r="BQ152" s="106">
        <f>IF(AJ152&gt;0,(O152-AJ152),"")</f>
        <v/>
      </c>
      <c r="BR152" s="106">
        <f>IF(AN152&gt;0,(O152-AN152),"")</f>
        <v/>
      </c>
      <c r="BS152" s="106">
        <f>COUNT(BM152:BR152)</f>
        <v/>
      </c>
      <c r="BT152" s="464">
        <f>IF(BS152=0,0,IF(BS152=1,0,1/(BS152*(BS152-1))))</f>
        <v/>
      </c>
      <c r="BU152" s="136">
        <f>IF(R152&gt;0,(BM152^2),"")</f>
        <v/>
      </c>
      <c r="BV152" s="136">
        <f>IF(X152&gt;0,(BN152^2),"")</f>
        <v/>
      </c>
      <c r="BW152" s="136">
        <f>IF(AB152&gt;0,(BO152^2),"")</f>
        <v/>
      </c>
      <c r="BX152" s="136">
        <f>IF(AF152&gt;0,(BP152^2),"")</f>
        <v/>
      </c>
      <c r="BY152" s="136">
        <f>IF(AJ152&gt;0,(BQ152^2),"")</f>
        <v/>
      </c>
      <c r="BZ152" s="136">
        <f>IF(AN152&gt;0,(BR152^2),"")</f>
        <v/>
      </c>
    </row>
    <row r="153" ht="18.75" customHeight="1" s="444">
      <c r="A153" s="340" t="inlineStr">
        <is>
          <t>/</t>
        </is>
      </c>
      <c r="B153" s="65">
        <f>B152+1</f>
        <v/>
      </c>
      <c r="C153" s="78" t="n"/>
      <c r="D153" s="83" t="n"/>
      <c r="E153" s="83" t="n"/>
      <c r="F153" s="329" t="n"/>
      <c r="G153" s="71" t="n">
        <v>40725</v>
      </c>
      <c r="H153" s="77" t="inlineStr">
        <is>
          <t>Compito</t>
        </is>
      </c>
      <c r="I153" s="77">
        <f>IF((V153-R153)&gt;3,"SI","")</f>
        <v/>
      </c>
      <c r="J153" s="77">
        <f>IF((U153-R153)&gt;3,"SI","")</f>
        <v/>
      </c>
      <c r="K153" s="77" t="n"/>
      <c r="L153" s="77" t="n"/>
      <c r="M153" s="137">
        <f>IF(R153&gt;0,(SQRT(BT153*(SUM(BU153:BZ153)))),"")</f>
        <v/>
      </c>
      <c r="N153" s="4">
        <f>IF(T153&gt;0,(MAX(T153,Z153,AD153,AH153,AL153,AP153))+SQRT(1.2^2+1^2),"")</f>
        <v/>
      </c>
      <c r="O153" s="3">
        <f>IF(R153="",0,10*LOG10(SUM(BG153:BL153)/(COUNT(R153,X153,AB153,AF153,AJ153,AN153))))</f>
        <v/>
      </c>
      <c r="P153" s="5">
        <f>IF(AND(Y153="",AC153="",AG153="",AK153="",AO153=""),S153,AVERAGE(S153,Y153,AC153,AG153,AK153,AO153)+STDEV(S153,Y153,AC153,AG153,AK153,AO153))</f>
        <v/>
      </c>
      <c r="Q153" s="14" t="n"/>
      <c r="R153" s="11" t="n"/>
      <c r="S153" s="12" t="n"/>
      <c r="T153" s="13" t="n"/>
      <c r="U153" s="79" t="n"/>
      <c r="V153" s="79" t="n"/>
      <c r="W153" s="10" t="n"/>
      <c r="X153" s="11" t="n"/>
      <c r="Y153" s="12" t="n"/>
      <c r="Z153" s="13" t="n"/>
      <c r="AA153" s="10" t="n"/>
      <c r="AB153" s="11" t="n"/>
      <c r="AC153" s="12" t="n"/>
      <c r="AD153" s="13" t="n"/>
      <c r="AE153" s="14" t="n"/>
      <c r="AF153" s="11" t="n"/>
      <c r="AG153" s="12" t="n"/>
      <c r="AH153" s="13" t="n"/>
      <c r="AI153" s="10" t="n"/>
      <c r="AJ153" s="11" t="n"/>
      <c r="AK153" s="12" t="n"/>
      <c r="AL153" s="13" t="n"/>
      <c r="AM153" s="10" t="n"/>
      <c r="AN153" s="11" t="n"/>
      <c r="AO153" s="12" t="n"/>
      <c r="AP153" s="13" t="n"/>
      <c r="AQ153" s="6">
        <f>IF(AND((O153)&lt;85,N153&lt;137),"NO","SI")</f>
        <v/>
      </c>
      <c r="AR153" s="7">
        <f>IF((480*(10^(7.95-(O153/10))))&lt;480,480*(10^(7.95-(O153/10))),480)</f>
        <v/>
      </c>
      <c r="AS153" s="8">
        <f>IF((480*(10^(8.45-(O153/10))))&lt;480,480*(10^(8.45-(O153/10))),480)</f>
        <v/>
      </c>
      <c r="AT153" s="9">
        <f>IF((480*(10^(8.65-(O153/10))))&lt;480,480*(10^(8.65-(O153/10))),480)</f>
        <v/>
      </c>
      <c r="AU153" s="111">
        <f>IF(O153&lt;80,"0",IF((P153-O153)&lt;=2,('DPI art.191'!$G$3-(('DPI art.191'!$F$3-'DPI art.191'!$G$3)/4)*(P153-O153-2)),('DPI art.191'!$G$3-(('DPI art.191'!$G$3-'DPI art.191'!$H$3)/8)*(P153-O153-2))))</f>
        <v/>
      </c>
      <c r="AV153" s="24">
        <f>O153-AU153</f>
        <v/>
      </c>
      <c r="AW153" s="24">
        <f>IF(N153&lt;135,N153,N153-'DPI art.191'!$I$3)</f>
        <v/>
      </c>
      <c r="AX153" s="111">
        <f>IF(I153&lt;80,"0",IF((J153-I153)&lt;=2,('DPI art.191'!$G$7-(('DPI art.191'!$F$7-'DPI art.191'!$G$7)/4)*(I153-J153-2)),('DPI art.191'!$G$7-(('DPI art.191'!$G$7-'DPI art.191'!$H$7)/8)*(J153-I153-2))))</f>
        <v/>
      </c>
      <c r="AY153" s="24">
        <f>I153-AX153</f>
        <v/>
      </c>
      <c r="AZ153" s="24">
        <f>IF(H153&lt;135,H153,H153-'DPI art.191'!$I$7)</f>
        <v/>
      </c>
      <c r="BA153" s="111">
        <f>IF(O153&lt;80,"0",IF((P153-O153)&lt;=2,('DPI art.191'!$G$5-(('DPI art.191'!$F$5-'DPI art.191'!$G$5)/4)*(P153-O153-2)),('DPI art.191'!$G$5-(('DPI art.191'!$G$5-'DPI art.191'!$H$5)/8)*(P153-O153-2))))</f>
        <v/>
      </c>
      <c r="BB153" s="24">
        <f>R153-BA153</f>
        <v/>
      </c>
      <c r="BC153" s="24">
        <f>IF(N153&lt;135,N153,N153-'DPI art.191'!$I$5)</f>
        <v/>
      </c>
      <c r="BD153" s="111">
        <f>IF(O153&lt;80,"0",IF((P153-O153)&lt;=2,('DPI art.191'!$G$7-(('DPI art.191'!$F$7-'DPI art.191'!$G$7)/4)*(O153-P153-2)),('DPI art.191'!$G$7-(('DPI art.191'!$G$7-'DPI art.191'!$H$7)/8)*(P153-O153-2))))</f>
        <v/>
      </c>
      <c r="BE153" s="24">
        <f>O153-BD153</f>
        <v/>
      </c>
      <c r="BF153" s="24">
        <f>IF(N153&lt;135,N153,N153-'DPI art.191'!$I$7)</f>
        <v/>
      </c>
      <c r="BG153" s="108">
        <f>10^(0.1*R153)</f>
        <v/>
      </c>
      <c r="BH153" s="108">
        <f>10^(0.1*X153)</f>
        <v/>
      </c>
      <c r="BI153" s="108">
        <f>10^(0.1*AB153)</f>
        <v/>
      </c>
      <c r="BJ153" s="108">
        <f>10^(0.1*AF153)</f>
        <v/>
      </c>
      <c r="BK153" s="108">
        <f>10^(0.1*AJ153)</f>
        <v/>
      </c>
      <c r="BL153" s="108">
        <f>10^(0.1*AN153)</f>
        <v/>
      </c>
      <c r="BM153" s="106">
        <f>IF(R153&gt;0,(O153-R153),"")</f>
        <v/>
      </c>
      <c r="BN153" s="106">
        <f>IF(X153&gt;0,(O153-X153),"")</f>
        <v/>
      </c>
      <c r="BO153" s="106">
        <f>IF(AB153&gt;0,(O153-AB153),"")</f>
        <v/>
      </c>
      <c r="BP153" s="106">
        <f>IF(AF153&gt;0,(O153-AF153),"")</f>
        <v/>
      </c>
      <c r="BQ153" s="106">
        <f>IF(AJ153&gt;0,(O153-AJ153),"")</f>
        <v/>
      </c>
      <c r="BR153" s="106">
        <f>IF(AN153&gt;0,(O153-AN153),"")</f>
        <v/>
      </c>
      <c r="BS153" s="106">
        <f>COUNT(BM153:BR153)</f>
        <v/>
      </c>
      <c r="BT153" s="464">
        <f>IF(BS153=0,0,IF(BS153=1,0,1/(BS153*(BS153-1))))</f>
        <v/>
      </c>
      <c r="BU153" s="136">
        <f>IF(R153&gt;0,(BM153^2),"")</f>
        <v/>
      </c>
      <c r="BV153" s="136">
        <f>IF(X153&gt;0,(BN153^2),"")</f>
        <v/>
      </c>
      <c r="BW153" s="136">
        <f>IF(AB153&gt;0,(BO153^2),"")</f>
        <v/>
      </c>
      <c r="BX153" s="136">
        <f>IF(AF153&gt;0,(BP153^2),"")</f>
        <v/>
      </c>
      <c r="BY153" s="136">
        <f>IF(AJ153&gt;0,(BQ153^2),"")</f>
        <v/>
      </c>
      <c r="BZ153" s="136">
        <f>IF(AN153&gt;0,(BR153^2),"")</f>
        <v/>
      </c>
    </row>
    <row r="154" ht="18.75" customHeight="1" s="444">
      <c r="A154" s="340" t="inlineStr">
        <is>
          <t>/</t>
        </is>
      </c>
      <c r="B154" s="65">
        <f>B153+1</f>
        <v/>
      </c>
      <c r="C154" s="78" t="n"/>
      <c r="D154" s="83" t="n"/>
      <c r="E154" s="83" t="n"/>
      <c r="F154" s="329" t="n"/>
      <c r="G154" s="71" t="n">
        <v>40725</v>
      </c>
      <c r="H154" s="77" t="inlineStr">
        <is>
          <t>Compito</t>
        </is>
      </c>
      <c r="I154" s="77">
        <f>IF((V154-R154)&gt;3,"SI","")</f>
        <v/>
      </c>
      <c r="J154" s="77">
        <f>IF((U154-R154)&gt;3,"SI","")</f>
        <v/>
      </c>
      <c r="K154" s="77" t="n"/>
      <c r="L154" s="77" t="n"/>
      <c r="M154" s="137">
        <f>IF(R154&gt;0,(SQRT(BT154*(SUM(BU154:BZ154)))),"")</f>
        <v/>
      </c>
      <c r="N154" s="4">
        <f>IF(T154&gt;0,(MAX(T154,Z154,AD154,AH154,AL154,AP154))+SQRT(1.2^2+1^2),"")</f>
        <v/>
      </c>
      <c r="O154" s="3">
        <f>IF(R154="",0,10*LOG10(SUM(BG154:BL154)/(COUNT(R154,X154,AB154,AF154,AJ154,AN154))))</f>
        <v/>
      </c>
      <c r="P154" s="5">
        <f>IF(AND(Y154="",AC154="",AG154="",AK154="",AO154=""),S154,AVERAGE(S154,Y154,AC154,AG154,AK154,AO154)+STDEV(S154,Y154,AC154,AG154,AK154,AO154))</f>
        <v/>
      </c>
      <c r="Q154" s="14" t="n"/>
      <c r="R154" s="11" t="n"/>
      <c r="S154" s="12" t="n"/>
      <c r="T154" s="13" t="n"/>
      <c r="U154" s="79" t="n"/>
      <c r="V154" s="79" t="n"/>
      <c r="W154" s="10" t="n"/>
      <c r="X154" s="11" t="n"/>
      <c r="Y154" s="12" t="n"/>
      <c r="Z154" s="13" t="n"/>
      <c r="AA154" s="10" t="n"/>
      <c r="AB154" s="11" t="n"/>
      <c r="AC154" s="12" t="n"/>
      <c r="AD154" s="13" t="n"/>
      <c r="AE154" s="14" t="n"/>
      <c r="AF154" s="11" t="n"/>
      <c r="AG154" s="12" t="n"/>
      <c r="AH154" s="13" t="n"/>
      <c r="AI154" s="10" t="n"/>
      <c r="AJ154" s="11" t="n"/>
      <c r="AK154" s="12" t="n"/>
      <c r="AL154" s="13" t="n"/>
      <c r="AM154" s="10" t="n"/>
      <c r="AN154" s="11" t="n"/>
      <c r="AO154" s="12" t="n"/>
      <c r="AP154" s="13" t="n"/>
      <c r="AQ154" s="6">
        <f>IF(AND((O154)&lt;85,N154&lt;137),"NO","SI")</f>
        <v/>
      </c>
      <c r="AR154" s="7">
        <f>IF((480*(10^(7.95-(O154/10))))&lt;480,480*(10^(7.95-(O154/10))),480)</f>
        <v/>
      </c>
      <c r="AS154" s="8">
        <f>IF((480*(10^(8.45-(O154/10))))&lt;480,480*(10^(8.45-(O154/10))),480)</f>
        <v/>
      </c>
      <c r="AT154" s="9">
        <f>IF((480*(10^(8.65-(O154/10))))&lt;480,480*(10^(8.65-(O154/10))),480)</f>
        <v/>
      </c>
      <c r="AU154" s="111">
        <f>IF(O154&lt;80,"0",IF((P154-O154)&lt;=2,('DPI art.191'!$G$3-(('DPI art.191'!$F$3-'DPI art.191'!$G$3)/4)*(P154-O154-2)),('DPI art.191'!$G$3-(('DPI art.191'!$G$3-'DPI art.191'!$H$3)/8)*(P154-O154-2))))</f>
        <v/>
      </c>
      <c r="AV154" s="24">
        <f>O154-AU154</f>
        <v/>
      </c>
      <c r="AW154" s="24">
        <f>IF(N154&lt;135,N154,N154-'DPI art.191'!$I$3)</f>
        <v/>
      </c>
      <c r="AX154" s="111">
        <f>IF(I154&lt;80,"0",IF((J154-I154)&lt;=2,('DPI art.191'!$G$7-(('DPI art.191'!$F$7-'DPI art.191'!$G$7)/4)*(I154-J154-2)),('DPI art.191'!$G$7-(('DPI art.191'!$G$7-'DPI art.191'!$H$7)/8)*(J154-I154-2))))</f>
        <v/>
      </c>
      <c r="AY154" s="24">
        <f>I154-AX154</f>
        <v/>
      </c>
      <c r="AZ154" s="24">
        <f>IF(H154&lt;135,H154,H154-'DPI art.191'!$I$7)</f>
        <v/>
      </c>
      <c r="BA154" s="111">
        <f>IF(O154&lt;80,"0",IF((P154-O154)&lt;=2,('DPI art.191'!$G$5-(('DPI art.191'!$F$5-'DPI art.191'!$G$5)/4)*(P154-O154-2)),('DPI art.191'!$G$5-(('DPI art.191'!$G$5-'DPI art.191'!$H$5)/8)*(P154-O154-2))))</f>
        <v/>
      </c>
      <c r="BB154" s="24">
        <f>R154-BA154</f>
        <v/>
      </c>
      <c r="BC154" s="24">
        <f>IF(N154&lt;135,N154,N154-'DPI art.191'!$I$5)</f>
        <v/>
      </c>
      <c r="BD154" s="111">
        <f>IF(O154&lt;80,"0",IF((P154-O154)&lt;=2,('DPI art.191'!$G$7-(('DPI art.191'!$F$7-'DPI art.191'!$G$7)/4)*(O154-P154-2)),('DPI art.191'!$G$7-(('DPI art.191'!$G$7-'DPI art.191'!$H$7)/8)*(P154-O154-2))))</f>
        <v/>
      </c>
      <c r="BE154" s="24">
        <f>O154-BD154</f>
        <v/>
      </c>
      <c r="BF154" s="24">
        <f>IF(N154&lt;135,N154,N154-'DPI art.191'!$I$7)</f>
        <v/>
      </c>
      <c r="BG154" s="108">
        <f>10^(0.1*R154)</f>
        <v/>
      </c>
      <c r="BH154" s="108">
        <f>10^(0.1*X154)</f>
        <v/>
      </c>
      <c r="BI154" s="108">
        <f>10^(0.1*AB154)</f>
        <v/>
      </c>
      <c r="BJ154" s="108">
        <f>10^(0.1*AF154)</f>
        <v/>
      </c>
      <c r="BK154" s="108">
        <f>10^(0.1*AJ154)</f>
        <v/>
      </c>
      <c r="BL154" s="108">
        <f>10^(0.1*AN154)</f>
        <v/>
      </c>
      <c r="BM154" s="106">
        <f>IF(R154&gt;0,(O154-R154),"")</f>
        <v/>
      </c>
      <c r="BN154" s="106">
        <f>IF(X154&gt;0,(O154-X154),"")</f>
        <v/>
      </c>
      <c r="BO154" s="106">
        <f>IF(AB154&gt;0,(O154-AB154),"")</f>
        <v/>
      </c>
      <c r="BP154" s="106">
        <f>IF(AF154&gt;0,(O154-AF154),"")</f>
        <v/>
      </c>
      <c r="BQ154" s="106">
        <f>IF(AJ154&gt;0,(O154-AJ154),"")</f>
        <v/>
      </c>
      <c r="BR154" s="106">
        <f>IF(AN154&gt;0,(O154-AN154),"")</f>
        <v/>
      </c>
      <c r="BS154" s="106">
        <f>COUNT(BM154:BR154)</f>
        <v/>
      </c>
      <c r="BT154" s="464">
        <f>IF(BS154=0,0,IF(BS154=1,0,1/(BS154*(BS154-1))))</f>
        <v/>
      </c>
      <c r="BU154" s="136">
        <f>IF(R154&gt;0,(BM154^2),"")</f>
        <v/>
      </c>
      <c r="BV154" s="136">
        <f>IF(X154&gt;0,(BN154^2),"")</f>
        <v/>
      </c>
      <c r="BW154" s="136">
        <f>IF(AB154&gt;0,(BO154^2),"")</f>
        <v/>
      </c>
      <c r="BX154" s="136">
        <f>IF(AF154&gt;0,(BP154^2),"")</f>
        <v/>
      </c>
      <c r="BY154" s="136">
        <f>IF(AJ154&gt;0,(BQ154^2),"")</f>
        <v/>
      </c>
      <c r="BZ154" s="136">
        <f>IF(AN154&gt;0,(BR154^2),"")</f>
        <v/>
      </c>
    </row>
    <row r="155" ht="18.75" customHeight="1" s="444">
      <c r="A155" s="340" t="inlineStr">
        <is>
          <t>/</t>
        </is>
      </c>
      <c r="B155" s="65">
        <f>B154+1</f>
        <v/>
      </c>
      <c r="C155" s="78" t="n"/>
      <c r="D155" s="83" t="n"/>
      <c r="E155" s="83" t="n"/>
      <c r="F155" s="329" t="n"/>
      <c r="G155" s="71" t="n">
        <v>40725</v>
      </c>
      <c r="H155" s="77" t="inlineStr">
        <is>
          <t>Compito</t>
        </is>
      </c>
      <c r="I155" s="77">
        <f>IF((V155-R155)&gt;3,"SI","")</f>
        <v/>
      </c>
      <c r="J155" s="77">
        <f>IF((U155-R155)&gt;3,"SI","")</f>
        <v/>
      </c>
      <c r="K155" s="77" t="n"/>
      <c r="L155" s="77" t="n"/>
      <c r="M155" s="137">
        <f>IF(R155&gt;0,(SQRT(BT155*(SUM(BU155:BZ155)))),"")</f>
        <v/>
      </c>
      <c r="N155" s="4">
        <f>IF(T155&gt;0,(MAX(T155,Z155,AD155,AH155,AL155,AP155))+SQRT(1.2^2+1^2),"")</f>
        <v/>
      </c>
      <c r="O155" s="3">
        <f>IF(R155="",0,10*LOG10(SUM(BG155:BL155)/(COUNT(R155,X155,AB155,AF155,AJ155,AN155))))</f>
        <v/>
      </c>
      <c r="P155" s="5">
        <f>IF(AND(Y155="",AC155="",AG155="",AK155="",AO155=""),S155,AVERAGE(S155,Y155,AC155,AG155,AK155,AO155)+STDEV(S155,Y155,AC155,AG155,AK155,AO155))</f>
        <v/>
      </c>
      <c r="Q155" s="14" t="n"/>
      <c r="R155" s="11" t="n"/>
      <c r="S155" s="12" t="n"/>
      <c r="T155" s="13" t="n"/>
      <c r="U155" s="79" t="n"/>
      <c r="V155" s="79" t="n"/>
      <c r="W155" s="10" t="n"/>
      <c r="X155" s="11" t="n"/>
      <c r="Y155" s="12" t="n"/>
      <c r="Z155" s="13" t="n"/>
      <c r="AA155" s="10" t="n"/>
      <c r="AB155" s="11" t="n"/>
      <c r="AC155" s="12" t="n"/>
      <c r="AD155" s="13" t="n"/>
      <c r="AE155" s="14" t="n"/>
      <c r="AF155" s="11" t="n"/>
      <c r="AG155" s="12" t="n"/>
      <c r="AH155" s="13" t="n"/>
      <c r="AI155" s="10" t="n"/>
      <c r="AJ155" s="11" t="n"/>
      <c r="AK155" s="12" t="n"/>
      <c r="AL155" s="13" t="n"/>
      <c r="AM155" s="10" t="n"/>
      <c r="AN155" s="11" t="n"/>
      <c r="AO155" s="12" t="n"/>
      <c r="AP155" s="13" t="n"/>
      <c r="AQ155" s="6">
        <f>IF(AND((O155)&lt;85,N155&lt;137),"NO","SI")</f>
        <v/>
      </c>
      <c r="AR155" s="7">
        <f>IF((480*(10^(7.95-(O155/10))))&lt;480,480*(10^(7.95-(O155/10))),480)</f>
        <v/>
      </c>
      <c r="AS155" s="8">
        <f>IF((480*(10^(8.45-(O155/10))))&lt;480,480*(10^(8.45-(O155/10))),480)</f>
        <v/>
      </c>
      <c r="AT155" s="9">
        <f>IF((480*(10^(8.65-(O155/10))))&lt;480,480*(10^(8.65-(O155/10))),480)</f>
        <v/>
      </c>
      <c r="AU155" s="111">
        <f>IF(O155&lt;80,"0",IF((P155-O155)&lt;=2,('DPI art.191'!$G$3-(('DPI art.191'!$F$3-'DPI art.191'!$G$3)/4)*(P155-O155-2)),('DPI art.191'!$G$3-(('DPI art.191'!$G$3-'DPI art.191'!$H$3)/8)*(P155-O155-2))))</f>
        <v/>
      </c>
      <c r="AV155" s="24">
        <f>O155-AU155</f>
        <v/>
      </c>
      <c r="AW155" s="24">
        <f>IF(N155&lt;135,N155,N155-'DPI art.191'!$I$3)</f>
        <v/>
      </c>
      <c r="AX155" s="111">
        <f>IF(I155&lt;80,"0",IF((J155-I155)&lt;=2,('DPI art.191'!$G$7-(('DPI art.191'!$F$7-'DPI art.191'!$G$7)/4)*(I155-J155-2)),('DPI art.191'!$G$7-(('DPI art.191'!$G$7-'DPI art.191'!$H$7)/8)*(J155-I155-2))))</f>
        <v/>
      </c>
      <c r="AY155" s="24">
        <f>I155-AX155</f>
        <v/>
      </c>
      <c r="AZ155" s="24">
        <f>IF(H155&lt;135,H155,H155-'DPI art.191'!$I$7)</f>
        <v/>
      </c>
      <c r="BA155" s="111">
        <f>IF(O155&lt;80,"0",IF((P155-O155)&lt;=2,('DPI art.191'!$G$5-(('DPI art.191'!$F$5-'DPI art.191'!$G$5)/4)*(P155-O155-2)),('DPI art.191'!$G$5-(('DPI art.191'!$G$5-'DPI art.191'!$H$5)/8)*(P155-O155-2))))</f>
        <v/>
      </c>
      <c r="BB155" s="24">
        <f>R155-BA155</f>
        <v/>
      </c>
      <c r="BC155" s="24">
        <f>IF(N155&lt;135,N155,N155-'DPI art.191'!$I$5)</f>
        <v/>
      </c>
      <c r="BD155" s="111">
        <f>IF(O155&lt;80,"0",IF((P155-O155)&lt;=2,('DPI art.191'!$G$7-(('DPI art.191'!$F$7-'DPI art.191'!$G$7)/4)*(O155-P155-2)),('DPI art.191'!$G$7-(('DPI art.191'!$G$7-'DPI art.191'!$H$7)/8)*(P155-O155-2))))</f>
        <v/>
      </c>
      <c r="BE155" s="24">
        <f>O155-BD155</f>
        <v/>
      </c>
      <c r="BF155" s="24">
        <f>IF(N155&lt;135,N155,N155-'DPI art.191'!$I$7)</f>
        <v/>
      </c>
      <c r="BG155" s="108">
        <f>10^(0.1*R155)</f>
        <v/>
      </c>
      <c r="BH155" s="108">
        <f>10^(0.1*X155)</f>
        <v/>
      </c>
      <c r="BI155" s="108">
        <f>10^(0.1*AB155)</f>
        <v/>
      </c>
      <c r="BJ155" s="108">
        <f>10^(0.1*AF155)</f>
        <v/>
      </c>
      <c r="BK155" s="108">
        <f>10^(0.1*AJ155)</f>
        <v/>
      </c>
      <c r="BL155" s="108">
        <f>10^(0.1*AN155)</f>
        <v/>
      </c>
      <c r="BM155" s="106">
        <f>IF(R155&gt;0,(O155-R155),"")</f>
        <v/>
      </c>
      <c r="BN155" s="106">
        <f>IF(X155&gt;0,(O155-X155),"")</f>
        <v/>
      </c>
      <c r="BO155" s="106">
        <f>IF(AB155&gt;0,(O155-AB155),"")</f>
        <v/>
      </c>
      <c r="BP155" s="106">
        <f>IF(AF155&gt;0,(O155-AF155),"")</f>
        <v/>
      </c>
      <c r="BQ155" s="106">
        <f>IF(AJ155&gt;0,(O155-AJ155),"")</f>
        <v/>
      </c>
      <c r="BR155" s="106">
        <f>IF(AN155&gt;0,(O155-AN155),"")</f>
        <v/>
      </c>
      <c r="BS155" s="106">
        <f>COUNT(BM155:BR155)</f>
        <v/>
      </c>
      <c r="BT155" s="464">
        <f>IF(BS155=0,0,IF(BS155=1,0,1/(BS155*(BS155-1))))</f>
        <v/>
      </c>
      <c r="BU155" s="136">
        <f>IF(R155&gt;0,(BM155^2),"")</f>
        <v/>
      </c>
      <c r="BV155" s="136">
        <f>IF(X155&gt;0,(BN155^2),"")</f>
        <v/>
      </c>
      <c r="BW155" s="136">
        <f>IF(AB155&gt;0,(BO155^2),"")</f>
        <v/>
      </c>
      <c r="BX155" s="136">
        <f>IF(AF155&gt;0,(BP155^2),"")</f>
        <v/>
      </c>
      <c r="BY155" s="136">
        <f>IF(AJ155&gt;0,(BQ155^2),"")</f>
        <v/>
      </c>
      <c r="BZ155" s="136">
        <f>IF(AN155&gt;0,(BR155^2),"")</f>
        <v/>
      </c>
    </row>
    <row r="156" ht="18.75" customHeight="1" s="444">
      <c r="A156" s="340" t="inlineStr">
        <is>
          <t>/</t>
        </is>
      </c>
      <c r="B156" s="65">
        <f>B155+1</f>
        <v/>
      </c>
      <c r="C156" s="78" t="n"/>
      <c r="D156" s="83" t="n"/>
      <c r="E156" s="83" t="n"/>
      <c r="F156" s="329" t="n"/>
      <c r="G156" s="71" t="n">
        <v>40725</v>
      </c>
      <c r="H156" s="77" t="inlineStr">
        <is>
          <t>Compito</t>
        </is>
      </c>
      <c r="I156" s="77">
        <f>IF((V156-R156)&gt;3,"SI","")</f>
        <v/>
      </c>
      <c r="J156" s="77">
        <f>IF((U156-R156)&gt;3,"SI","")</f>
        <v/>
      </c>
      <c r="K156" s="77" t="n"/>
      <c r="L156" s="77" t="n"/>
      <c r="M156" s="137">
        <f>IF(R156&gt;0,(SQRT(BT156*(SUM(BU156:BZ156)))),"")</f>
        <v/>
      </c>
      <c r="N156" s="4">
        <f>IF(T156&gt;0,(MAX(T156,Z156,AD156,AH156,AL156,AP156))+SQRT(1.2^2+1^2),"")</f>
        <v/>
      </c>
      <c r="O156" s="3">
        <f>IF(R156="",0,10*LOG10(SUM(BG156:BL156)/(COUNT(R156,X156,AB156,AF156,AJ156,AN156))))</f>
        <v/>
      </c>
      <c r="P156" s="5">
        <f>IF(AND(Y156="",AC156="",AG156="",AK156="",AO156=""),S156,AVERAGE(S156,Y156,AC156,AG156,AK156,AO156)+STDEV(S156,Y156,AC156,AG156,AK156,AO156))</f>
        <v/>
      </c>
      <c r="Q156" s="14" t="n"/>
      <c r="R156" s="11" t="n"/>
      <c r="S156" s="12" t="n"/>
      <c r="T156" s="13" t="n"/>
      <c r="U156" s="79" t="n"/>
      <c r="V156" s="79" t="n"/>
      <c r="W156" s="10" t="n"/>
      <c r="X156" s="11" t="n"/>
      <c r="Y156" s="12" t="n"/>
      <c r="Z156" s="13" t="n"/>
      <c r="AA156" s="10" t="n"/>
      <c r="AB156" s="11" t="n"/>
      <c r="AC156" s="12" t="n"/>
      <c r="AD156" s="13" t="n"/>
      <c r="AE156" s="14" t="n"/>
      <c r="AF156" s="11" t="n"/>
      <c r="AG156" s="12" t="n"/>
      <c r="AH156" s="13" t="n"/>
      <c r="AI156" s="10" t="n"/>
      <c r="AJ156" s="11" t="n"/>
      <c r="AK156" s="12" t="n"/>
      <c r="AL156" s="13" t="n"/>
      <c r="AM156" s="10" t="n"/>
      <c r="AN156" s="11" t="n"/>
      <c r="AO156" s="12" t="n"/>
      <c r="AP156" s="13" t="n"/>
      <c r="AQ156" s="6">
        <f>IF(AND((O156)&lt;85,N156&lt;137),"NO","SI")</f>
        <v/>
      </c>
      <c r="AR156" s="7">
        <f>IF((480*(10^(7.95-(O156/10))))&lt;480,480*(10^(7.95-(O156/10))),480)</f>
        <v/>
      </c>
      <c r="AS156" s="8">
        <f>IF((480*(10^(8.45-(O156/10))))&lt;480,480*(10^(8.45-(O156/10))),480)</f>
        <v/>
      </c>
      <c r="AT156" s="9">
        <f>IF((480*(10^(8.65-(O156/10))))&lt;480,480*(10^(8.65-(O156/10))),480)</f>
        <v/>
      </c>
      <c r="AU156" s="111">
        <f>IF(O156&lt;80,"0",IF((P156-O156)&lt;=2,('DPI art.191'!$G$3-(('DPI art.191'!$F$3-'DPI art.191'!$G$3)/4)*(P156-O156-2)),('DPI art.191'!$G$3-(('DPI art.191'!$G$3-'DPI art.191'!$H$3)/8)*(P156-O156-2))))</f>
        <v/>
      </c>
      <c r="AV156" s="24">
        <f>O156-AU156</f>
        <v/>
      </c>
      <c r="AW156" s="24">
        <f>IF(N156&lt;135,N156,N156-'DPI art.191'!$I$3)</f>
        <v/>
      </c>
      <c r="AX156" s="111">
        <f>IF(I156&lt;80,"0",IF((J156-I156)&lt;=2,('DPI art.191'!$G$7-(('DPI art.191'!$F$7-'DPI art.191'!$G$7)/4)*(I156-J156-2)),('DPI art.191'!$G$7-(('DPI art.191'!$G$7-'DPI art.191'!$H$7)/8)*(J156-I156-2))))</f>
        <v/>
      </c>
      <c r="AY156" s="24">
        <f>I156-AX156</f>
        <v/>
      </c>
      <c r="AZ156" s="24">
        <f>IF(H156&lt;135,H156,H156-'DPI art.191'!$I$7)</f>
        <v/>
      </c>
      <c r="BA156" s="111">
        <f>IF(O156&lt;80,"0",IF((P156-O156)&lt;=2,('DPI art.191'!$G$5-(('DPI art.191'!$F$5-'DPI art.191'!$G$5)/4)*(P156-O156-2)),('DPI art.191'!$G$5-(('DPI art.191'!$G$5-'DPI art.191'!$H$5)/8)*(P156-O156-2))))</f>
        <v/>
      </c>
      <c r="BB156" s="24">
        <f>R156-BA156</f>
        <v/>
      </c>
      <c r="BC156" s="24">
        <f>IF(N156&lt;135,N156,N156-'DPI art.191'!$I$5)</f>
        <v/>
      </c>
      <c r="BD156" s="111">
        <f>IF(O156&lt;80,"0",IF((P156-O156)&lt;=2,('DPI art.191'!$G$7-(('DPI art.191'!$F$7-'DPI art.191'!$G$7)/4)*(O156-P156-2)),('DPI art.191'!$G$7-(('DPI art.191'!$G$7-'DPI art.191'!$H$7)/8)*(P156-O156-2))))</f>
        <v/>
      </c>
      <c r="BE156" s="24">
        <f>O156-BD156</f>
        <v/>
      </c>
      <c r="BF156" s="24">
        <f>IF(N156&lt;135,N156,N156-'DPI art.191'!$I$7)</f>
        <v/>
      </c>
      <c r="BG156" s="108">
        <f>10^(0.1*R156)</f>
        <v/>
      </c>
      <c r="BH156" s="108">
        <f>10^(0.1*X156)</f>
        <v/>
      </c>
      <c r="BI156" s="108">
        <f>10^(0.1*AB156)</f>
        <v/>
      </c>
      <c r="BJ156" s="108">
        <f>10^(0.1*AF156)</f>
        <v/>
      </c>
      <c r="BK156" s="108">
        <f>10^(0.1*AJ156)</f>
        <v/>
      </c>
      <c r="BL156" s="108">
        <f>10^(0.1*AN156)</f>
        <v/>
      </c>
      <c r="BM156" s="106">
        <f>IF(R156&gt;0,(O156-R156),"")</f>
        <v/>
      </c>
      <c r="BN156" s="106">
        <f>IF(X156&gt;0,(O156-X156),"")</f>
        <v/>
      </c>
      <c r="BO156" s="106">
        <f>IF(AB156&gt;0,(O156-AB156),"")</f>
        <v/>
      </c>
      <c r="BP156" s="106">
        <f>IF(AF156&gt;0,(O156-AF156),"")</f>
        <v/>
      </c>
      <c r="BQ156" s="106">
        <f>IF(AJ156&gt;0,(O156-AJ156),"")</f>
        <v/>
      </c>
      <c r="BR156" s="106">
        <f>IF(AN156&gt;0,(O156-AN156),"")</f>
        <v/>
      </c>
      <c r="BS156" s="106">
        <f>COUNT(BM156:BR156)</f>
        <v/>
      </c>
      <c r="BT156" s="464">
        <f>IF(BS156=0,0,IF(BS156=1,0,1/(BS156*(BS156-1))))</f>
        <v/>
      </c>
      <c r="BU156" s="136">
        <f>IF(R156&gt;0,(BM156^2),"")</f>
        <v/>
      </c>
      <c r="BV156" s="136">
        <f>IF(X156&gt;0,(BN156^2),"")</f>
        <v/>
      </c>
      <c r="BW156" s="136">
        <f>IF(AB156&gt;0,(BO156^2),"")</f>
        <v/>
      </c>
      <c r="BX156" s="136">
        <f>IF(AF156&gt;0,(BP156^2),"")</f>
        <v/>
      </c>
      <c r="BY156" s="136">
        <f>IF(AJ156&gt;0,(BQ156^2),"")</f>
        <v/>
      </c>
      <c r="BZ156" s="136">
        <f>IF(AN156&gt;0,(BR156^2),"")</f>
        <v/>
      </c>
    </row>
    <row r="157" ht="18.75" customHeight="1" s="444">
      <c r="A157" s="340" t="inlineStr">
        <is>
          <t>/</t>
        </is>
      </c>
      <c r="B157" s="65">
        <f>B156+1</f>
        <v/>
      </c>
      <c r="C157" s="78" t="n"/>
      <c r="D157" s="83" t="n"/>
      <c r="E157" s="83" t="n"/>
      <c r="F157" s="329" t="n"/>
      <c r="G157" s="71" t="n">
        <v>40725</v>
      </c>
      <c r="H157" s="77" t="inlineStr">
        <is>
          <t>Compito</t>
        </is>
      </c>
      <c r="I157" s="77">
        <f>IF((V157-R157)&gt;3,"SI","")</f>
        <v/>
      </c>
      <c r="J157" s="77">
        <f>IF((U157-R157)&gt;3,"SI","")</f>
        <v/>
      </c>
      <c r="K157" s="77" t="n"/>
      <c r="L157" s="77" t="n"/>
      <c r="M157" s="137">
        <f>IF(R157&gt;0,(SQRT(BT157*(SUM(BU157:BZ157)))),"")</f>
        <v/>
      </c>
      <c r="N157" s="4">
        <f>IF(T157&gt;0,(MAX(T157,Z157,AD157,AH157,AL157,AP157))+SQRT(1.2^2+1^2),"")</f>
        <v/>
      </c>
      <c r="O157" s="3">
        <f>IF(R157="",0,10*LOG10(SUM(BG157:BL157)/(COUNT(R157,X157,AB157,AF157,AJ157,AN157))))</f>
        <v/>
      </c>
      <c r="P157" s="5">
        <f>IF(AND(Y157="",AC157="",AG157="",AK157="",AO157=""),S157,AVERAGE(S157,Y157,AC157,AG157,AK157,AO157)+STDEV(S157,Y157,AC157,AG157,AK157,AO157))</f>
        <v/>
      </c>
      <c r="Q157" s="14" t="n"/>
      <c r="R157" s="11" t="n"/>
      <c r="S157" s="12" t="n"/>
      <c r="T157" s="13" t="n"/>
      <c r="U157" s="79" t="n"/>
      <c r="V157" s="79" t="n"/>
      <c r="W157" s="10" t="n"/>
      <c r="X157" s="11" t="n"/>
      <c r="Y157" s="12" t="n"/>
      <c r="Z157" s="13" t="n"/>
      <c r="AA157" s="10" t="n"/>
      <c r="AB157" s="11" t="n"/>
      <c r="AC157" s="12" t="n"/>
      <c r="AD157" s="13" t="n"/>
      <c r="AE157" s="14" t="n"/>
      <c r="AF157" s="11" t="n"/>
      <c r="AG157" s="12" t="n"/>
      <c r="AH157" s="13" t="n"/>
      <c r="AI157" s="10" t="n"/>
      <c r="AJ157" s="11" t="n"/>
      <c r="AK157" s="12" t="n"/>
      <c r="AL157" s="13" t="n"/>
      <c r="AM157" s="10" t="n"/>
      <c r="AN157" s="11" t="n"/>
      <c r="AO157" s="12" t="n"/>
      <c r="AP157" s="13" t="n"/>
      <c r="AQ157" s="6">
        <f>IF(AND((O157)&lt;85,N157&lt;137),"NO","SI")</f>
        <v/>
      </c>
      <c r="AR157" s="7">
        <f>IF((480*(10^(7.95-(O157/10))))&lt;480,480*(10^(7.95-(O157/10))),480)</f>
        <v/>
      </c>
      <c r="AS157" s="8">
        <f>IF((480*(10^(8.45-(O157/10))))&lt;480,480*(10^(8.45-(O157/10))),480)</f>
        <v/>
      </c>
      <c r="AT157" s="9">
        <f>IF((480*(10^(8.65-(O157/10))))&lt;480,480*(10^(8.65-(O157/10))),480)</f>
        <v/>
      </c>
      <c r="AU157" s="111">
        <f>IF(O157&lt;80,"0",IF((P157-O157)&lt;=2,('DPI art.191'!$G$3-(('DPI art.191'!$F$3-'DPI art.191'!$G$3)/4)*(P157-O157-2)),('DPI art.191'!$G$3-(('DPI art.191'!$G$3-'DPI art.191'!$H$3)/8)*(P157-O157-2))))</f>
        <v/>
      </c>
      <c r="AV157" s="24">
        <f>O157-AU157</f>
        <v/>
      </c>
      <c r="AW157" s="24">
        <f>IF(N157&lt;135,N157,N157-'DPI art.191'!$I$3)</f>
        <v/>
      </c>
      <c r="AX157" s="111">
        <f>IF(I157&lt;80,"0",IF((J157-I157)&lt;=2,('DPI art.191'!$G$7-(('DPI art.191'!$F$7-'DPI art.191'!$G$7)/4)*(I157-J157-2)),('DPI art.191'!$G$7-(('DPI art.191'!$G$7-'DPI art.191'!$H$7)/8)*(J157-I157-2))))</f>
        <v/>
      </c>
      <c r="AY157" s="24">
        <f>I157-AX157</f>
        <v/>
      </c>
      <c r="AZ157" s="24">
        <f>IF(H157&lt;135,H157,H157-'DPI art.191'!$I$7)</f>
        <v/>
      </c>
      <c r="BA157" s="111">
        <f>IF(O157&lt;80,"0",IF((P157-O157)&lt;=2,('DPI art.191'!$G$5-(('DPI art.191'!$F$5-'DPI art.191'!$G$5)/4)*(P157-O157-2)),('DPI art.191'!$G$5-(('DPI art.191'!$G$5-'DPI art.191'!$H$5)/8)*(P157-O157-2))))</f>
        <v/>
      </c>
      <c r="BB157" s="24">
        <f>R157-BA157</f>
        <v/>
      </c>
      <c r="BC157" s="24">
        <f>IF(N157&lt;135,N157,N157-'DPI art.191'!$I$5)</f>
        <v/>
      </c>
      <c r="BD157" s="111">
        <f>IF(O157&lt;80,"0",IF((P157-O157)&lt;=2,('DPI art.191'!$G$7-(('DPI art.191'!$F$7-'DPI art.191'!$G$7)/4)*(O157-P157-2)),('DPI art.191'!$G$7-(('DPI art.191'!$G$7-'DPI art.191'!$H$7)/8)*(P157-O157-2))))</f>
        <v/>
      </c>
      <c r="BE157" s="24">
        <f>O157-BD157</f>
        <v/>
      </c>
      <c r="BF157" s="24">
        <f>IF(N157&lt;135,N157,N157-'DPI art.191'!$I$7)</f>
        <v/>
      </c>
      <c r="BG157" s="108">
        <f>10^(0.1*R157)</f>
        <v/>
      </c>
      <c r="BH157" s="108">
        <f>10^(0.1*X157)</f>
        <v/>
      </c>
      <c r="BI157" s="108">
        <f>10^(0.1*AB157)</f>
        <v/>
      </c>
      <c r="BJ157" s="108">
        <f>10^(0.1*AF157)</f>
        <v/>
      </c>
      <c r="BK157" s="108">
        <f>10^(0.1*AJ157)</f>
        <v/>
      </c>
      <c r="BL157" s="108">
        <f>10^(0.1*AN157)</f>
        <v/>
      </c>
      <c r="BM157" s="106">
        <f>IF(R157&gt;0,(O157-R157),"")</f>
        <v/>
      </c>
      <c r="BN157" s="106">
        <f>IF(X157&gt;0,(O157-X157),"")</f>
        <v/>
      </c>
      <c r="BO157" s="106">
        <f>IF(AB157&gt;0,(O157-AB157),"")</f>
        <v/>
      </c>
      <c r="BP157" s="106">
        <f>IF(AF157&gt;0,(O157-AF157),"")</f>
        <v/>
      </c>
      <c r="BQ157" s="106">
        <f>IF(AJ157&gt;0,(O157-AJ157),"")</f>
        <v/>
      </c>
      <c r="BR157" s="106">
        <f>IF(AN157&gt;0,(O157-AN157),"")</f>
        <v/>
      </c>
      <c r="BS157" s="106">
        <f>COUNT(BM157:BR157)</f>
        <v/>
      </c>
      <c r="BT157" s="464">
        <f>IF(BS157=0,0,IF(BS157=1,0,1/(BS157*(BS157-1))))</f>
        <v/>
      </c>
      <c r="BU157" s="136">
        <f>IF(R157&gt;0,(BM157^2),"")</f>
        <v/>
      </c>
      <c r="BV157" s="136">
        <f>IF(X157&gt;0,(BN157^2),"")</f>
        <v/>
      </c>
      <c r="BW157" s="136">
        <f>IF(AB157&gt;0,(BO157^2),"")</f>
        <v/>
      </c>
      <c r="BX157" s="136">
        <f>IF(AF157&gt;0,(BP157^2),"")</f>
        <v/>
      </c>
      <c r="BY157" s="136">
        <f>IF(AJ157&gt;0,(BQ157^2),"")</f>
        <v/>
      </c>
      <c r="BZ157" s="136">
        <f>IF(AN157&gt;0,(BR157^2),"")</f>
        <v/>
      </c>
    </row>
    <row r="158" ht="18.75" customHeight="1" s="444">
      <c r="A158" s="340" t="inlineStr">
        <is>
          <t>/</t>
        </is>
      </c>
      <c r="B158" s="65">
        <f>B157+1</f>
        <v/>
      </c>
      <c r="C158" s="78" t="n"/>
      <c r="D158" s="83" t="n"/>
      <c r="E158" s="83" t="n"/>
      <c r="F158" s="329" t="n"/>
      <c r="G158" s="71" t="n">
        <v>40725</v>
      </c>
      <c r="H158" s="77" t="inlineStr">
        <is>
          <t>Compito</t>
        </is>
      </c>
      <c r="I158" s="77">
        <f>IF((V158-R158)&gt;3,"SI","")</f>
        <v/>
      </c>
      <c r="J158" s="77">
        <f>IF((U158-R158)&gt;3,"SI","")</f>
        <v/>
      </c>
      <c r="K158" s="77" t="n"/>
      <c r="L158" s="77" t="n"/>
      <c r="M158" s="137">
        <f>IF(R158&gt;0,(SQRT(BT158*(SUM(BU158:BZ158)))),"")</f>
        <v/>
      </c>
      <c r="N158" s="4">
        <f>IF(T158&gt;0,(MAX(T158,Z158,AD158,AH158,AL158,AP158))+SQRT(1.2^2+1^2),"")</f>
        <v/>
      </c>
      <c r="O158" s="3">
        <f>IF(R158="",0,10*LOG10(SUM(BG158:BL158)/(COUNT(R158,X158,AB158,AF158,AJ158,AN158))))</f>
        <v/>
      </c>
      <c r="P158" s="5">
        <f>IF(AND(Y158="",AC158="",AG158="",AK158="",AO158=""),S158,AVERAGE(S158,Y158,AC158,AG158,AK158,AO158)+STDEV(S158,Y158,AC158,AG158,AK158,AO158))</f>
        <v/>
      </c>
      <c r="Q158" s="14" t="n"/>
      <c r="R158" s="11" t="n"/>
      <c r="S158" s="12" t="n"/>
      <c r="T158" s="13" t="n"/>
      <c r="U158" s="79" t="n"/>
      <c r="V158" s="79" t="n"/>
      <c r="W158" s="10" t="n"/>
      <c r="X158" s="11" t="n"/>
      <c r="Y158" s="12" t="n"/>
      <c r="Z158" s="13" t="n"/>
      <c r="AA158" s="10" t="n"/>
      <c r="AB158" s="11" t="n"/>
      <c r="AC158" s="12" t="n"/>
      <c r="AD158" s="13" t="n"/>
      <c r="AE158" s="14" t="n"/>
      <c r="AF158" s="11" t="n"/>
      <c r="AG158" s="12" t="n"/>
      <c r="AH158" s="13" t="n"/>
      <c r="AI158" s="10" t="n"/>
      <c r="AJ158" s="11" t="n"/>
      <c r="AK158" s="12" t="n"/>
      <c r="AL158" s="13" t="n"/>
      <c r="AM158" s="10" t="n"/>
      <c r="AN158" s="11" t="n"/>
      <c r="AO158" s="12" t="n"/>
      <c r="AP158" s="13" t="n"/>
      <c r="AQ158" s="6">
        <f>IF(AND((O158)&lt;85,N158&lt;137),"NO","SI")</f>
        <v/>
      </c>
      <c r="AR158" s="7">
        <f>IF((480*(10^(7.95-(O158/10))))&lt;480,480*(10^(7.95-(O158/10))),480)</f>
        <v/>
      </c>
      <c r="AS158" s="8">
        <f>IF((480*(10^(8.45-(O158/10))))&lt;480,480*(10^(8.45-(O158/10))),480)</f>
        <v/>
      </c>
      <c r="AT158" s="9">
        <f>IF((480*(10^(8.65-(O158/10))))&lt;480,480*(10^(8.65-(O158/10))),480)</f>
        <v/>
      </c>
      <c r="AU158" s="111">
        <f>IF(O158&lt;80,"0",IF((P158-O158)&lt;=2,('DPI art.191'!$G$3-(('DPI art.191'!$F$3-'DPI art.191'!$G$3)/4)*(P158-O158-2)),('DPI art.191'!$G$3-(('DPI art.191'!$G$3-'DPI art.191'!$H$3)/8)*(P158-O158-2))))</f>
        <v/>
      </c>
      <c r="AV158" s="24">
        <f>O158-AU158</f>
        <v/>
      </c>
      <c r="AW158" s="24">
        <f>IF(N158&lt;135,N158,N158-'DPI art.191'!$I$3)</f>
        <v/>
      </c>
      <c r="AX158" s="111">
        <f>IF(I158&lt;80,"0",IF((J158-I158)&lt;=2,('DPI art.191'!$G$7-(('DPI art.191'!$F$7-'DPI art.191'!$G$7)/4)*(I158-J158-2)),('DPI art.191'!$G$7-(('DPI art.191'!$G$7-'DPI art.191'!$H$7)/8)*(J158-I158-2))))</f>
        <v/>
      </c>
      <c r="AY158" s="24">
        <f>I158-AX158</f>
        <v/>
      </c>
      <c r="AZ158" s="24">
        <f>IF(H158&lt;135,H158,H158-'DPI art.191'!$I$7)</f>
        <v/>
      </c>
      <c r="BA158" s="111">
        <f>IF(O158&lt;80,"0",IF((P158-O158)&lt;=2,('DPI art.191'!$G$5-(('DPI art.191'!$F$5-'DPI art.191'!$G$5)/4)*(P158-O158-2)),('DPI art.191'!$G$5-(('DPI art.191'!$G$5-'DPI art.191'!$H$5)/8)*(P158-O158-2))))</f>
        <v/>
      </c>
      <c r="BB158" s="24">
        <f>R158-BA158</f>
        <v/>
      </c>
      <c r="BC158" s="24">
        <f>IF(N158&lt;135,N158,N158-'DPI art.191'!$I$5)</f>
        <v/>
      </c>
      <c r="BD158" s="111">
        <f>IF(O158&lt;80,"0",IF((P158-O158)&lt;=2,('DPI art.191'!$G$7-(('DPI art.191'!$F$7-'DPI art.191'!$G$7)/4)*(O158-P158-2)),('DPI art.191'!$G$7-(('DPI art.191'!$G$7-'DPI art.191'!$H$7)/8)*(P158-O158-2))))</f>
        <v/>
      </c>
      <c r="BE158" s="24">
        <f>O158-BD158</f>
        <v/>
      </c>
      <c r="BF158" s="24">
        <f>IF(N158&lt;135,N158,N158-'DPI art.191'!$I$7)</f>
        <v/>
      </c>
      <c r="BG158" s="108">
        <f>10^(0.1*R158)</f>
        <v/>
      </c>
      <c r="BH158" s="108">
        <f>10^(0.1*X158)</f>
        <v/>
      </c>
      <c r="BI158" s="108">
        <f>10^(0.1*AB158)</f>
        <v/>
      </c>
      <c r="BJ158" s="108">
        <f>10^(0.1*AF158)</f>
        <v/>
      </c>
      <c r="BK158" s="108">
        <f>10^(0.1*AJ158)</f>
        <v/>
      </c>
      <c r="BL158" s="108">
        <f>10^(0.1*AN158)</f>
        <v/>
      </c>
      <c r="BM158" s="106">
        <f>IF(R158&gt;0,(O158-R158),"")</f>
        <v/>
      </c>
      <c r="BN158" s="106">
        <f>IF(X158&gt;0,(O158-X158),"")</f>
        <v/>
      </c>
      <c r="BO158" s="106">
        <f>IF(AB158&gt;0,(O158-AB158),"")</f>
        <v/>
      </c>
      <c r="BP158" s="106">
        <f>IF(AF158&gt;0,(O158-AF158),"")</f>
        <v/>
      </c>
      <c r="BQ158" s="106">
        <f>IF(AJ158&gt;0,(O158-AJ158),"")</f>
        <v/>
      </c>
      <c r="BR158" s="106">
        <f>IF(AN158&gt;0,(O158-AN158),"")</f>
        <v/>
      </c>
      <c r="BS158" s="106">
        <f>COUNT(BM158:BR158)</f>
        <v/>
      </c>
      <c r="BT158" s="464">
        <f>IF(BS158=0,0,IF(BS158=1,0,1/(BS158*(BS158-1))))</f>
        <v/>
      </c>
      <c r="BU158" s="136">
        <f>IF(R158&gt;0,(BM158^2),"")</f>
        <v/>
      </c>
      <c r="BV158" s="136">
        <f>IF(X158&gt;0,(BN158^2),"")</f>
        <v/>
      </c>
      <c r="BW158" s="136">
        <f>IF(AB158&gt;0,(BO158^2),"")</f>
        <v/>
      </c>
      <c r="BX158" s="136">
        <f>IF(AF158&gt;0,(BP158^2),"")</f>
        <v/>
      </c>
      <c r="BY158" s="136">
        <f>IF(AJ158&gt;0,(BQ158^2),"")</f>
        <v/>
      </c>
      <c r="BZ158" s="136">
        <f>IF(AN158&gt;0,(BR158^2),"")</f>
        <v/>
      </c>
    </row>
    <row r="159" ht="18.75" customHeight="1" s="444">
      <c r="A159" s="340" t="inlineStr">
        <is>
          <t>/</t>
        </is>
      </c>
      <c r="B159" s="65">
        <f>B158+1</f>
        <v/>
      </c>
      <c r="C159" s="78" t="n"/>
      <c r="D159" s="83" t="n"/>
      <c r="E159" s="83" t="n"/>
      <c r="F159" s="329" t="n"/>
      <c r="G159" s="71" t="n">
        <v>40725</v>
      </c>
      <c r="H159" s="77" t="inlineStr">
        <is>
          <t>Compito</t>
        </is>
      </c>
      <c r="I159" s="77">
        <f>IF((V159-R159)&gt;3,"SI","")</f>
        <v/>
      </c>
      <c r="J159" s="77">
        <f>IF((U159-R159)&gt;3,"SI","")</f>
        <v/>
      </c>
      <c r="K159" s="77" t="n"/>
      <c r="L159" s="77" t="n"/>
      <c r="M159" s="137">
        <f>IF(R159&gt;0,(SQRT(BT159*(SUM(BU159:BZ159)))),"")</f>
        <v/>
      </c>
      <c r="N159" s="4">
        <f>IF(T159&gt;0,(MAX(T159,Z159,AD159,AH159,AL159,AP159))+SQRT(1.2^2+1^2),"")</f>
        <v/>
      </c>
      <c r="O159" s="3">
        <f>IF(R159="",0,10*LOG10(SUM(BG159:BL159)/(COUNT(R159,X159,AB159,AF159,AJ159,AN159))))</f>
        <v/>
      </c>
      <c r="P159" s="5">
        <f>IF(AND(Y159="",AC159="",AG159="",AK159="",AO159=""),S159,AVERAGE(S159,Y159,AC159,AG159,AK159,AO159)+STDEV(S159,Y159,AC159,AG159,AK159,AO159))</f>
        <v/>
      </c>
      <c r="Q159" s="14" t="n"/>
      <c r="R159" s="11" t="n"/>
      <c r="S159" s="12" t="n"/>
      <c r="T159" s="13" t="n"/>
      <c r="U159" s="79" t="n"/>
      <c r="V159" s="79" t="n"/>
      <c r="W159" s="10" t="n"/>
      <c r="X159" s="11" t="n"/>
      <c r="Y159" s="12" t="n"/>
      <c r="Z159" s="13" t="n"/>
      <c r="AA159" s="10" t="n"/>
      <c r="AB159" s="11" t="n"/>
      <c r="AC159" s="12" t="n"/>
      <c r="AD159" s="13" t="n"/>
      <c r="AE159" s="14" t="n"/>
      <c r="AF159" s="11" t="n"/>
      <c r="AG159" s="12" t="n"/>
      <c r="AH159" s="13" t="n"/>
      <c r="AI159" s="10" t="n"/>
      <c r="AJ159" s="11" t="n"/>
      <c r="AK159" s="12" t="n"/>
      <c r="AL159" s="13" t="n"/>
      <c r="AM159" s="10" t="n"/>
      <c r="AN159" s="11" t="n"/>
      <c r="AO159" s="12" t="n"/>
      <c r="AP159" s="13" t="n"/>
      <c r="AQ159" s="6">
        <f>IF(AND((O159)&lt;85,N159&lt;137),"NO","SI")</f>
        <v/>
      </c>
      <c r="AR159" s="7">
        <f>IF((480*(10^(7.95-(O159/10))))&lt;480,480*(10^(7.95-(O159/10))),480)</f>
        <v/>
      </c>
      <c r="AS159" s="8">
        <f>IF((480*(10^(8.45-(O159/10))))&lt;480,480*(10^(8.45-(O159/10))),480)</f>
        <v/>
      </c>
      <c r="AT159" s="9">
        <f>IF((480*(10^(8.65-(O159/10))))&lt;480,480*(10^(8.65-(O159/10))),480)</f>
        <v/>
      </c>
      <c r="AU159" s="111">
        <f>IF(O159&lt;80,"0",IF((P159-O159)&lt;=2,('DPI art.191'!$G$3-(('DPI art.191'!$F$3-'DPI art.191'!$G$3)/4)*(P159-O159-2)),('DPI art.191'!$G$3-(('DPI art.191'!$G$3-'DPI art.191'!$H$3)/8)*(P159-O159-2))))</f>
        <v/>
      </c>
      <c r="AV159" s="24">
        <f>O159-AU159</f>
        <v/>
      </c>
      <c r="AW159" s="24">
        <f>IF(N159&lt;135,N159,N159-'DPI art.191'!$I$3)</f>
        <v/>
      </c>
      <c r="AX159" s="111">
        <f>IF(I159&lt;80,"0",IF((J159-I159)&lt;=2,('DPI art.191'!$G$7-(('DPI art.191'!$F$7-'DPI art.191'!$G$7)/4)*(I159-J159-2)),('DPI art.191'!$G$7-(('DPI art.191'!$G$7-'DPI art.191'!$H$7)/8)*(J159-I159-2))))</f>
        <v/>
      </c>
      <c r="AY159" s="24">
        <f>I159-AX159</f>
        <v/>
      </c>
      <c r="AZ159" s="24">
        <f>IF(H159&lt;135,H159,H159-'DPI art.191'!$I$7)</f>
        <v/>
      </c>
      <c r="BA159" s="111">
        <f>IF(O159&lt;80,"0",IF((P159-O159)&lt;=2,('DPI art.191'!$G$5-(('DPI art.191'!$F$5-'DPI art.191'!$G$5)/4)*(P159-O159-2)),('DPI art.191'!$G$5-(('DPI art.191'!$G$5-'DPI art.191'!$H$5)/8)*(P159-O159-2))))</f>
        <v/>
      </c>
      <c r="BB159" s="24">
        <f>R159-BA159</f>
        <v/>
      </c>
      <c r="BC159" s="24">
        <f>IF(N159&lt;135,N159,N159-'DPI art.191'!$I$5)</f>
        <v/>
      </c>
      <c r="BD159" s="111">
        <f>IF(O159&lt;80,"0",IF((P159-O159)&lt;=2,('DPI art.191'!$G$7-(('DPI art.191'!$F$7-'DPI art.191'!$G$7)/4)*(O159-P159-2)),('DPI art.191'!$G$7-(('DPI art.191'!$G$7-'DPI art.191'!$H$7)/8)*(P159-O159-2))))</f>
        <v/>
      </c>
      <c r="BE159" s="24">
        <f>O159-BD159</f>
        <v/>
      </c>
      <c r="BF159" s="24">
        <f>IF(N159&lt;135,N159,N159-'DPI art.191'!$I$7)</f>
        <v/>
      </c>
      <c r="BG159" s="108">
        <f>10^(0.1*R159)</f>
        <v/>
      </c>
      <c r="BH159" s="108">
        <f>10^(0.1*X159)</f>
        <v/>
      </c>
      <c r="BI159" s="108">
        <f>10^(0.1*AB159)</f>
        <v/>
      </c>
      <c r="BJ159" s="108">
        <f>10^(0.1*AF159)</f>
        <v/>
      </c>
      <c r="BK159" s="108">
        <f>10^(0.1*AJ159)</f>
        <v/>
      </c>
      <c r="BL159" s="108">
        <f>10^(0.1*AN159)</f>
        <v/>
      </c>
      <c r="BM159" s="106">
        <f>IF(R159&gt;0,(O159-R159),"")</f>
        <v/>
      </c>
      <c r="BN159" s="106">
        <f>IF(X159&gt;0,(O159-X159),"")</f>
        <v/>
      </c>
      <c r="BO159" s="106">
        <f>IF(AB159&gt;0,(O159-AB159),"")</f>
        <v/>
      </c>
      <c r="BP159" s="106">
        <f>IF(AF159&gt;0,(O159-AF159),"")</f>
        <v/>
      </c>
      <c r="BQ159" s="106">
        <f>IF(AJ159&gt;0,(O159-AJ159),"")</f>
        <v/>
      </c>
      <c r="BR159" s="106">
        <f>IF(AN159&gt;0,(O159-AN159),"")</f>
        <v/>
      </c>
      <c r="BS159" s="106">
        <f>COUNT(BM159:BR159)</f>
        <v/>
      </c>
      <c r="BT159" s="464">
        <f>IF(BS159=0,0,IF(BS159=1,0,1/(BS159*(BS159-1))))</f>
        <v/>
      </c>
      <c r="BU159" s="136">
        <f>IF(R159&gt;0,(BM159^2),"")</f>
        <v/>
      </c>
      <c r="BV159" s="136">
        <f>IF(X159&gt;0,(BN159^2),"")</f>
        <v/>
      </c>
      <c r="BW159" s="136">
        <f>IF(AB159&gt;0,(BO159^2),"")</f>
        <v/>
      </c>
      <c r="BX159" s="136">
        <f>IF(AF159&gt;0,(BP159^2),"")</f>
        <v/>
      </c>
      <c r="BY159" s="136">
        <f>IF(AJ159&gt;0,(BQ159^2),"")</f>
        <v/>
      </c>
      <c r="BZ159" s="136">
        <f>IF(AN159&gt;0,(BR159^2),"")</f>
        <v/>
      </c>
    </row>
    <row r="160" ht="18.75" customHeight="1" s="444">
      <c r="A160" s="340" t="inlineStr">
        <is>
          <t>/</t>
        </is>
      </c>
      <c r="B160" s="65">
        <f>B159+1</f>
        <v/>
      </c>
      <c r="C160" s="78" t="n"/>
      <c r="D160" s="83" t="n"/>
      <c r="E160" s="83" t="n"/>
      <c r="F160" s="329" t="n"/>
      <c r="G160" s="71" t="n">
        <v>40725</v>
      </c>
      <c r="H160" s="77" t="inlineStr">
        <is>
          <t>Compito</t>
        </is>
      </c>
      <c r="I160" s="77">
        <f>IF((V160-R160)&gt;3,"SI","")</f>
        <v/>
      </c>
      <c r="J160" s="77">
        <f>IF((U160-R160)&gt;3,"SI","")</f>
        <v/>
      </c>
      <c r="K160" s="77" t="n"/>
      <c r="L160" s="77" t="n"/>
      <c r="M160" s="137">
        <f>IF(R160&gt;0,(SQRT(BT160*(SUM(BU160:BZ160)))),"")</f>
        <v/>
      </c>
      <c r="N160" s="4">
        <f>IF(T160&gt;0,(MAX(T160,Z160,AD160,AH160,AL160,AP160))+SQRT(1.2^2+1^2),"")</f>
        <v/>
      </c>
      <c r="O160" s="3">
        <f>IF(R160="",0,10*LOG10(SUM(BG160:BL160)/(COUNT(R160,X160,AB160,AF160,AJ160,AN160))))</f>
        <v/>
      </c>
      <c r="P160" s="5">
        <f>IF(AND(Y160="",AC160="",AG160="",AK160="",AO160=""),S160,AVERAGE(S160,Y160,AC160,AG160,AK160,AO160)+STDEV(S160,Y160,AC160,AG160,AK160,AO160))</f>
        <v/>
      </c>
      <c r="Q160" s="14" t="n"/>
      <c r="R160" s="11" t="n"/>
      <c r="S160" s="12" t="n"/>
      <c r="T160" s="13" t="n"/>
      <c r="U160" s="79" t="n"/>
      <c r="V160" s="79" t="n"/>
      <c r="W160" s="10" t="n"/>
      <c r="X160" s="11" t="n"/>
      <c r="Y160" s="12" t="n"/>
      <c r="Z160" s="13" t="n"/>
      <c r="AA160" s="10" t="n"/>
      <c r="AB160" s="11" t="n"/>
      <c r="AC160" s="12" t="n"/>
      <c r="AD160" s="13" t="n"/>
      <c r="AE160" s="14" t="n"/>
      <c r="AF160" s="11" t="n"/>
      <c r="AG160" s="12" t="n"/>
      <c r="AH160" s="13" t="n"/>
      <c r="AI160" s="10" t="n"/>
      <c r="AJ160" s="11" t="n"/>
      <c r="AK160" s="12" t="n"/>
      <c r="AL160" s="13" t="n"/>
      <c r="AM160" s="10" t="n"/>
      <c r="AN160" s="11" t="n"/>
      <c r="AO160" s="12" t="n"/>
      <c r="AP160" s="13" t="n"/>
      <c r="AQ160" s="6">
        <f>IF(AND((O160)&lt;85,N160&lt;137),"NO","SI")</f>
        <v/>
      </c>
      <c r="AR160" s="7">
        <f>IF((480*(10^(7.95-(O160/10))))&lt;480,480*(10^(7.95-(O160/10))),480)</f>
        <v/>
      </c>
      <c r="AS160" s="8">
        <f>IF((480*(10^(8.45-(O160/10))))&lt;480,480*(10^(8.45-(O160/10))),480)</f>
        <v/>
      </c>
      <c r="AT160" s="9">
        <f>IF((480*(10^(8.65-(O160/10))))&lt;480,480*(10^(8.65-(O160/10))),480)</f>
        <v/>
      </c>
      <c r="AU160" s="111">
        <f>IF(O160&lt;80,"0",IF((P160-O160)&lt;=2,('DPI art.191'!$G$3-(('DPI art.191'!$F$3-'DPI art.191'!$G$3)/4)*(P160-O160-2)),('DPI art.191'!$G$3-(('DPI art.191'!$G$3-'DPI art.191'!$H$3)/8)*(P160-O160-2))))</f>
        <v/>
      </c>
      <c r="AV160" s="24">
        <f>O160-AU160</f>
        <v/>
      </c>
      <c r="AW160" s="24">
        <f>IF(N160&lt;135,N160,N160-'DPI art.191'!$I$3)</f>
        <v/>
      </c>
      <c r="AX160" s="111">
        <f>IF(I160&lt;80,"0",IF((J160-I160)&lt;=2,('DPI art.191'!$G$7-(('DPI art.191'!$F$7-'DPI art.191'!$G$7)/4)*(I160-J160-2)),('DPI art.191'!$G$7-(('DPI art.191'!$G$7-'DPI art.191'!$H$7)/8)*(J160-I160-2))))</f>
        <v/>
      </c>
      <c r="AY160" s="24">
        <f>I160-AX160</f>
        <v/>
      </c>
      <c r="AZ160" s="24">
        <f>IF(H160&lt;135,H160,H160-'DPI art.191'!$I$7)</f>
        <v/>
      </c>
      <c r="BA160" s="111">
        <f>IF(O160&lt;80,"0",IF((P160-O160)&lt;=2,('DPI art.191'!$G$5-(('DPI art.191'!$F$5-'DPI art.191'!$G$5)/4)*(P160-O160-2)),('DPI art.191'!$G$5-(('DPI art.191'!$G$5-'DPI art.191'!$H$5)/8)*(P160-O160-2))))</f>
        <v/>
      </c>
      <c r="BB160" s="24">
        <f>R160-BA160</f>
        <v/>
      </c>
      <c r="BC160" s="24">
        <f>IF(N160&lt;135,N160,N160-'DPI art.191'!$I$5)</f>
        <v/>
      </c>
      <c r="BD160" s="111">
        <f>IF(O160&lt;80,"0",IF((P160-O160)&lt;=2,('DPI art.191'!$G$7-(('DPI art.191'!$F$7-'DPI art.191'!$G$7)/4)*(O160-P160-2)),('DPI art.191'!$G$7-(('DPI art.191'!$G$7-'DPI art.191'!$H$7)/8)*(P160-O160-2))))</f>
        <v/>
      </c>
      <c r="BE160" s="24">
        <f>O160-BD160</f>
        <v/>
      </c>
      <c r="BF160" s="24">
        <f>IF(N160&lt;135,N160,N160-'DPI art.191'!$I$7)</f>
        <v/>
      </c>
      <c r="BG160" s="108">
        <f>10^(0.1*R160)</f>
        <v/>
      </c>
      <c r="BH160" s="108">
        <f>10^(0.1*X160)</f>
        <v/>
      </c>
      <c r="BI160" s="108">
        <f>10^(0.1*AB160)</f>
        <v/>
      </c>
      <c r="BJ160" s="108">
        <f>10^(0.1*AF160)</f>
        <v/>
      </c>
      <c r="BK160" s="108">
        <f>10^(0.1*AJ160)</f>
        <v/>
      </c>
      <c r="BL160" s="108">
        <f>10^(0.1*AN160)</f>
        <v/>
      </c>
      <c r="BM160" s="106">
        <f>IF(R160&gt;0,(O160-R160),"")</f>
        <v/>
      </c>
      <c r="BN160" s="106">
        <f>IF(X160&gt;0,(O160-X160),"")</f>
        <v/>
      </c>
      <c r="BO160" s="106">
        <f>IF(AB160&gt;0,(O160-AB160),"")</f>
        <v/>
      </c>
      <c r="BP160" s="106">
        <f>IF(AF160&gt;0,(O160-AF160),"")</f>
        <v/>
      </c>
      <c r="BQ160" s="106">
        <f>IF(AJ160&gt;0,(O160-AJ160),"")</f>
        <v/>
      </c>
      <c r="BR160" s="106">
        <f>IF(AN160&gt;0,(O160-AN160),"")</f>
        <v/>
      </c>
      <c r="BS160" s="106">
        <f>COUNT(BM160:BR160)</f>
        <v/>
      </c>
      <c r="BT160" s="464">
        <f>IF(BS160=0,0,IF(BS160=1,0,1/(BS160*(BS160-1))))</f>
        <v/>
      </c>
      <c r="BU160" s="136">
        <f>IF(R160&gt;0,(BM160^2),"")</f>
        <v/>
      </c>
      <c r="BV160" s="136">
        <f>IF(X160&gt;0,(BN160^2),"")</f>
        <v/>
      </c>
      <c r="BW160" s="136">
        <f>IF(AB160&gt;0,(BO160^2),"")</f>
        <v/>
      </c>
      <c r="BX160" s="136">
        <f>IF(AF160&gt;0,(BP160^2),"")</f>
        <v/>
      </c>
      <c r="BY160" s="136">
        <f>IF(AJ160&gt;0,(BQ160^2),"")</f>
        <v/>
      </c>
      <c r="BZ160" s="136">
        <f>IF(AN160&gt;0,(BR160^2),"")</f>
        <v/>
      </c>
    </row>
    <row r="161" ht="18.75" customHeight="1" s="444">
      <c r="A161" s="340" t="inlineStr">
        <is>
          <t>/</t>
        </is>
      </c>
      <c r="B161" s="65">
        <f>B160+1</f>
        <v/>
      </c>
      <c r="C161" s="78" t="n"/>
      <c r="D161" s="83" t="n"/>
      <c r="E161" s="83" t="n"/>
      <c r="F161" s="329" t="n"/>
      <c r="G161" s="71" t="n">
        <v>40725</v>
      </c>
      <c r="H161" s="77" t="inlineStr">
        <is>
          <t>Compito</t>
        </is>
      </c>
      <c r="I161" s="77">
        <f>IF((V161-R161)&gt;3,"SI","")</f>
        <v/>
      </c>
      <c r="J161" s="77">
        <f>IF((U161-R161)&gt;3,"SI","")</f>
        <v/>
      </c>
      <c r="K161" s="77" t="n"/>
      <c r="L161" s="77" t="n"/>
      <c r="M161" s="137">
        <f>IF(R161&gt;0,(SQRT(BT161*(SUM(BU161:BZ161)))),"")</f>
        <v/>
      </c>
      <c r="N161" s="4">
        <f>IF(T161&gt;0,(MAX(T161,Z161,AD161,AH161,AL161,AP161))+SQRT(1.2^2+1^2),"")</f>
        <v/>
      </c>
      <c r="O161" s="3">
        <f>IF(R161="",0,10*LOG10(SUM(BG161:BL161)/(COUNT(R161,X161,AB161,AF161,AJ161,AN161))))</f>
        <v/>
      </c>
      <c r="P161" s="5">
        <f>IF(AND(Y161="",AC161="",AG161="",AK161="",AO161=""),S161,AVERAGE(S161,Y161,AC161,AG161,AK161,AO161)+STDEV(S161,Y161,AC161,AG161,AK161,AO161))</f>
        <v/>
      </c>
      <c r="Q161" s="14" t="n"/>
      <c r="R161" s="11" t="n"/>
      <c r="S161" s="12" t="n"/>
      <c r="T161" s="13" t="n"/>
      <c r="U161" s="79" t="n"/>
      <c r="V161" s="79" t="n"/>
      <c r="W161" s="10" t="n"/>
      <c r="X161" s="11" t="n"/>
      <c r="Y161" s="12" t="n"/>
      <c r="Z161" s="13" t="n"/>
      <c r="AA161" s="10" t="n"/>
      <c r="AB161" s="11" t="n"/>
      <c r="AC161" s="12" t="n"/>
      <c r="AD161" s="13" t="n"/>
      <c r="AE161" s="14" t="n"/>
      <c r="AF161" s="11" t="n"/>
      <c r="AG161" s="12" t="n"/>
      <c r="AH161" s="13" t="n"/>
      <c r="AI161" s="10" t="n"/>
      <c r="AJ161" s="11" t="n"/>
      <c r="AK161" s="12" t="n"/>
      <c r="AL161" s="13" t="n"/>
      <c r="AM161" s="10" t="n"/>
      <c r="AN161" s="11" t="n"/>
      <c r="AO161" s="12" t="n"/>
      <c r="AP161" s="13" t="n"/>
      <c r="AQ161" s="6">
        <f>IF(AND((O161)&lt;85,N161&lt;137),"NO","SI")</f>
        <v/>
      </c>
      <c r="AR161" s="7">
        <f>IF((480*(10^(7.95-(O161/10))))&lt;480,480*(10^(7.95-(O161/10))),480)</f>
        <v/>
      </c>
      <c r="AS161" s="8">
        <f>IF((480*(10^(8.45-(O161/10))))&lt;480,480*(10^(8.45-(O161/10))),480)</f>
        <v/>
      </c>
      <c r="AT161" s="9">
        <f>IF((480*(10^(8.65-(O161/10))))&lt;480,480*(10^(8.65-(O161/10))),480)</f>
        <v/>
      </c>
      <c r="AU161" s="111">
        <f>IF(O161&lt;80,"0",IF((P161-O161)&lt;=2,('DPI art.191'!$G$3-(('DPI art.191'!$F$3-'DPI art.191'!$G$3)/4)*(P161-O161-2)),('DPI art.191'!$G$3-(('DPI art.191'!$G$3-'DPI art.191'!$H$3)/8)*(P161-O161-2))))</f>
        <v/>
      </c>
      <c r="AV161" s="24">
        <f>O161-AU161</f>
        <v/>
      </c>
      <c r="AW161" s="24">
        <f>IF(N161&lt;135,N161,N161-'DPI art.191'!$I$3)</f>
        <v/>
      </c>
      <c r="AX161" s="111">
        <f>IF(I161&lt;80,"0",IF((J161-I161)&lt;=2,('DPI art.191'!$G$7-(('DPI art.191'!$F$7-'DPI art.191'!$G$7)/4)*(I161-J161-2)),('DPI art.191'!$G$7-(('DPI art.191'!$G$7-'DPI art.191'!$H$7)/8)*(J161-I161-2))))</f>
        <v/>
      </c>
      <c r="AY161" s="24">
        <f>I161-AX161</f>
        <v/>
      </c>
      <c r="AZ161" s="24">
        <f>IF(H161&lt;135,H161,H161-'DPI art.191'!$I$7)</f>
        <v/>
      </c>
      <c r="BA161" s="111">
        <f>IF(O161&lt;80,"0",IF((P161-O161)&lt;=2,('DPI art.191'!$G$5-(('DPI art.191'!$F$5-'DPI art.191'!$G$5)/4)*(P161-O161-2)),('DPI art.191'!$G$5-(('DPI art.191'!$G$5-'DPI art.191'!$H$5)/8)*(P161-O161-2))))</f>
        <v/>
      </c>
      <c r="BB161" s="24">
        <f>R161-BA161</f>
        <v/>
      </c>
      <c r="BC161" s="24">
        <f>IF(N161&lt;135,N161,N161-'DPI art.191'!$I$5)</f>
        <v/>
      </c>
      <c r="BD161" s="111">
        <f>IF(O161&lt;80,"0",IF((P161-O161)&lt;=2,('DPI art.191'!$G$7-(('DPI art.191'!$F$7-'DPI art.191'!$G$7)/4)*(O161-P161-2)),('DPI art.191'!$G$7-(('DPI art.191'!$G$7-'DPI art.191'!$H$7)/8)*(P161-O161-2))))</f>
        <v/>
      </c>
      <c r="BE161" s="24">
        <f>O161-BD161</f>
        <v/>
      </c>
      <c r="BF161" s="24">
        <f>IF(N161&lt;135,N161,N161-'DPI art.191'!$I$7)</f>
        <v/>
      </c>
      <c r="BG161" s="108">
        <f>10^(0.1*R161)</f>
        <v/>
      </c>
      <c r="BH161" s="108">
        <f>10^(0.1*X161)</f>
        <v/>
      </c>
      <c r="BI161" s="108">
        <f>10^(0.1*AB161)</f>
        <v/>
      </c>
      <c r="BJ161" s="108">
        <f>10^(0.1*AF161)</f>
        <v/>
      </c>
      <c r="BK161" s="108">
        <f>10^(0.1*AJ161)</f>
        <v/>
      </c>
      <c r="BL161" s="108">
        <f>10^(0.1*AN161)</f>
        <v/>
      </c>
      <c r="BM161" s="106">
        <f>IF(R161&gt;0,(O161-R161),"")</f>
        <v/>
      </c>
      <c r="BN161" s="106">
        <f>IF(X161&gt;0,(O161-X161),"")</f>
        <v/>
      </c>
      <c r="BO161" s="106">
        <f>IF(AB161&gt;0,(O161-AB161),"")</f>
        <v/>
      </c>
      <c r="BP161" s="106">
        <f>IF(AF161&gt;0,(O161-AF161),"")</f>
        <v/>
      </c>
      <c r="BQ161" s="106">
        <f>IF(AJ161&gt;0,(O161-AJ161),"")</f>
        <v/>
      </c>
      <c r="BR161" s="106">
        <f>IF(AN161&gt;0,(O161-AN161),"")</f>
        <v/>
      </c>
      <c r="BS161" s="106">
        <f>COUNT(BM161:BR161)</f>
        <v/>
      </c>
      <c r="BT161" s="464">
        <f>IF(BS161=0,0,IF(BS161=1,0,1/(BS161*(BS161-1))))</f>
        <v/>
      </c>
      <c r="BU161" s="136">
        <f>IF(R161&gt;0,(BM161^2),"")</f>
        <v/>
      </c>
      <c r="BV161" s="136">
        <f>IF(X161&gt;0,(BN161^2),"")</f>
        <v/>
      </c>
      <c r="BW161" s="136">
        <f>IF(AB161&gt;0,(BO161^2),"")</f>
        <v/>
      </c>
      <c r="BX161" s="136">
        <f>IF(AF161&gt;0,(BP161^2),"")</f>
        <v/>
      </c>
      <c r="BY161" s="136">
        <f>IF(AJ161&gt;0,(BQ161^2),"")</f>
        <v/>
      </c>
      <c r="BZ161" s="136">
        <f>IF(AN161&gt;0,(BR161^2),"")</f>
        <v/>
      </c>
    </row>
    <row r="162" ht="18.75" customHeight="1" s="444">
      <c r="A162" s="340" t="inlineStr">
        <is>
          <t>/</t>
        </is>
      </c>
      <c r="B162" s="65">
        <f>B161+1</f>
        <v/>
      </c>
      <c r="C162" s="78" t="n"/>
      <c r="D162" s="83" t="n"/>
      <c r="E162" s="83" t="n"/>
      <c r="F162" s="329" t="n"/>
      <c r="G162" s="71" t="n">
        <v>40725</v>
      </c>
      <c r="H162" s="77" t="inlineStr">
        <is>
          <t>Compito</t>
        </is>
      </c>
      <c r="I162" s="77">
        <f>IF((V162-R162)&gt;3,"SI","")</f>
        <v/>
      </c>
      <c r="J162" s="77">
        <f>IF((U162-R162)&gt;3,"SI","")</f>
        <v/>
      </c>
      <c r="K162" s="77" t="n"/>
      <c r="L162" s="77" t="n"/>
      <c r="M162" s="137">
        <f>IF(R162&gt;0,(SQRT(BT162*(SUM(BU162:BZ162)))),"")</f>
        <v/>
      </c>
      <c r="N162" s="4">
        <f>IF(T162&gt;0,(MAX(T162,Z162,AD162,AH162,AL162,AP162))+SQRT(1.2^2+1^2),"")</f>
        <v/>
      </c>
      <c r="O162" s="3">
        <f>IF(R162="",0,10*LOG10(SUM(BG162:BL162)/(COUNT(R162,X162,AB162,AF162,AJ162,AN162))))</f>
        <v/>
      </c>
      <c r="P162" s="5">
        <f>IF(AND(Y162="",AC162="",AG162="",AK162="",AO162=""),S162,AVERAGE(S162,Y162,AC162,AG162,AK162,AO162)+STDEV(S162,Y162,AC162,AG162,AK162,AO162))</f>
        <v/>
      </c>
      <c r="Q162" s="14" t="n"/>
      <c r="R162" s="11" t="n"/>
      <c r="S162" s="12" t="n"/>
      <c r="T162" s="13" t="n"/>
      <c r="U162" s="79" t="n"/>
      <c r="V162" s="79" t="n"/>
      <c r="W162" s="10" t="n"/>
      <c r="X162" s="11" t="n"/>
      <c r="Y162" s="12" t="n"/>
      <c r="Z162" s="13" t="n"/>
      <c r="AA162" s="10" t="n"/>
      <c r="AB162" s="11" t="n"/>
      <c r="AC162" s="12" t="n"/>
      <c r="AD162" s="13" t="n"/>
      <c r="AE162" s="14" t="n"/>
      <c r="AF162" s="11" t="n"/>
      <c r="AG162" s="12" t="n"/>
      <c r="AH162" s="13" t="n"/>
      <c r="AI162" s="10" t="n"/>
      <c r="AJ162" s="11" t="n"/>
      <c r="AK162" s="12" t="n"/>
      <c r="AL162" s="13" t="n"/>
      <c r="AM162" s="10" t="n"/>
      <c r="AN162" s="11" t="n"/>
      <c r="AO162" s="12" t="n"/>
      <c r="AP162" s="13" t="n"/>
      <c r="AQ162" s="6">
        <f>IF(AND((O162)&lt;85,N162&lt;137),"NO","SI")</f>
        <v/>
      </c>
      <c r="AR162" s="7">
        <f>IF((480*(10^(7.95-(O162/10))))&lt;480,480*(10^(7.95-(O162/10))),480)</f>
        <v/>
      </c>
      <c r="AS162" s="8">
        <f>IF((480*(10^(8.45-(O162/10))))&lt;480,480*(10^(8.45-(O162/10))),480)</f>
        <v/>
      </c>
      <c r="AT162" s="9">
        <f>IF((480*(10^(8.65-(O162/10))))&lt;480,480*(10^(8.65-(O162/10))),480)</f>
        <v/>
      </c>
      <c r="AU162" s="111">
        <f>IF(O162&lt;80,"0",IF((P162-O162)&lt;=2,('DPI art.191'!$G$3-(('DPI art.191'!$F$3-'DPI art.191'!$G$3)/4)*(P162-O162-2)),('DPI art.191'!$G$3-(('DPI art.191'!$G$3-'DPI art.191'!$H$3)/8)*(P162-O162-2))))</f>
        <v/>
      </c>
      <c r="AV162" s="24">
        <f>O162-AU162</f>
        <v/>
      </c>
      <c r="AW162" s="24">
        <f>IF(N162&lt;135,N162,N162-'DPI art.191'!$I$3)</f>
        <v/>
      </c>
      <c r="AX162" s="111">
        <f>IF(I162&lt;80,"0",IF((J162-I162)&lt;=2,('DPI art.191'!$G$7-(('DPI art.191'!$F$7-'DPI art.191'!$G$7)/4)*(I162-J162-2)),('DPI art.191'!$G$7-(('DPI art.191'!$G$7-'DPI art.191'!$H$7)/8)*(J162-I162-2))))</f>
        <v/>
      </c>
      <c r="AY162" s="24">
        <f>I162-AX162</f>
        <v/>
      </c>
      <c r="AZ162" s="24">
        <f>IF(H162&lt;135,H162,H162-'DPI art.191'!$I$7)</f>
        <v/>
      </c>
      <c r="BA162" s="111">
        <f>IF(O162&lt;80,"0",IF((P162-O162)&lt;=2,('DPI art.191'!$G$5-(('DPI art.191'!$F$5-'DPI art.191'!$G$5)/4)*(P162-O162-2)),('DPI art.191'!$G$5-(('DPI art.191'!$G$5-'DPI art.191'!$H$5)/8)*(P162-O162-2))))</f>
        <v/>
      </c>
      <c r="BB162" s="24">
        <f>R162-BA162</f>
        <v/>
      </c>
      <c r="BC162" s="24">
        <f>IF(N162&lt;135,N162,N162-'DPI art.191'!$I$5)</f>
        <v/>
      </c>
      <c r="BD162" s="111">
        <f>IF(O162&lt;80,"0",IF((P162-O162)&lt;=2,('DPI art.191'!$G$7-(('DPI art.191'!$F$7-'DPI art.191'!$G$7)/4)*(O162-P162-2)),('DPI art.191'!$G$7-(('DPI art.191'!$G$7-'DPI art.191'!$H$7)/8)*(P162-O162-2))))</f>
        <v/>
      </c>
      <c r="BE162" s="24">
        <f>O162-BD162</f>
        <v/>
      </c>
      <c r="BF162" s="24">
        <f>IF(N162&lt;135,N162,N162-'DPI art.191'!$I$7)</f>
        <v/>
      </c>
      <c r="BG162" s="108">
        <f>10^(0.1*R162)</f>
        <v/>
      </c>
      <c r="BH162" s="108">
        <f>10^(0.1*X162)</f>
        <v/>
      </c>
      <c r="BI162" s="108">
        <f>10^(0.1*AB162)</f>
        <v/>
      </c>
      <c r="BJ162" s="108">
        <f>10^(0.1*AF162)</f>
        <v/>
      </c>
      <c r="BK162" s="108">
        <f>10^(0.1*AJ162)</f>
        <v/>
      </c>
      <c r="BL162" s="108">
        <f>10^(0.1*AN162)</f>
        <v/>
      </c>
      <c r="BM162" s="106">
        <f>IF(R162&gt;0,(O162-R162),"")</f>
        <v/>
      </c>
      <c r="BN162" s="106">
        <f>IF(X162&gt;0,(O162-X162),"")</f>
        <v/>
      </c>
      <c r="BO162" s="106">
        <f>IF(AB162&gt;0,(O162-AB162),"")</f>
        <v/>
      </c>
      <c r="BP162" s="106">
        <f>IF(AF162&gt;0,(O162-AF162),"")</f>
        <v/>
      </c>
      <c r="BQ162" s="106">
        <f>IF(AJ162&gt;0,(O162-AJ162),"")</f>
        <v/>
      </c>
      <c r="BR162" s="106">
        <f>IF(AN162&gt;0,(O162-AN162),"")</f>
        <v/>
      </c>
      <c r="BS162" s="106">
        <f>COUNT(BM162:BR162)</f>
        <v/>
      </c>
      <c r="BT162" s="464">
        <f>IF(BS162=0,0,IF(BS162=1,0,1/(BS162*(BS162-1))))</f>
        <v/>
      </c>
      <c r="BU162" s="136">
        <f>IF(R162&gt;0,(BM162^2),"")</f>
        <v/>
      </c>
      <c r="BV162" s="136">
        <f>IF(X162&gt;0,(BN162^2),"")</f>
        <v/>
      </c>
      <c r="BW162" s="136">
        <f>IF(AB162&gt;0,(BO162^2),"")</f>
        <v/>
      </c>
      <c r="BX162" s="136">
        <f>IF(AF162&gt;0,(BP162^2),"")</f>
        <v/>
      </c>
      <c r="BY162" s="136">
        <f>IF(AJ162&gt;0,(BQ162^2),"")</f>
        <v/>
      </c>
      <c r="BZ162" s="136">
        <f>IF(AN162&gt;0,(BR162^2),"")</f>
        <v/>
      </c>
    </row>
    <row r="163" ht="18.75" customHeight="1" s="444">
      <c r="A163" s="340" t="inlineStr">
        <is>
          <t>/</t>
        </is>
      </c>
      <c r="B163" s="65">
        <f>B162+1</f>
        <v/>
      </c>
      <c r="C163" s="78" t="n"/>
      <c r="D163" s="83" t="n"/>
      <c r="E163" s="83" t="n"/>
      <c r="F163" s="329" t="n"/>
      <c r="G163" s="71" t="n">
        <v>40725</v>
      </c>
      <c r="H163" s="77" t="inlineStr">
        <is>
          <t>Compito</t>
        </is>
      </c>
      <c r="I163" s="77">
        <f>IF((V163-R163)&gt;3,"SI","")</f>
        <v/>
      </c>
      <c r="J163" s="77">
        <f>IF((U163-R163)&gt;3,"SI","")</f>
        <v/>
      </c>
      <c r="K163" s="77" t="n"/>
      <c r="L163" s="77" t="n"/>
      <c r="M163" s="137">
        <f>IF(R163&gt;0,(SQRT(BT163*(SUM(BU163:BZ163)))),"")</f>
        <v/>
      </c>
      <c r="N163" s="4">
        <f>IF(T163&gt;0,(MAX(T163,Z163,AD163,AH163,AL163,AP163))+SQRT(1.2^2+1^2),"")</f>
        <v/>
      </c>
      <c r="O163" s="3">
        <f>IF(R163="",0,10*LOG10(SUM(BG163:BL163)/(COUNT(R163,X163,AB163,AF163,AJ163,AN163))))</f>
        <v/>
      </c>
      <c r="P163" s="5">
        <f>IF(AND(Y163="",AC163="",AG163="",AK163="",AO163=""),S163,AVERAGE(S163,Y163,AC163,AG163,AK163,AO163)+STDEV(S163,Y163,AC163,AG163,AK163,AO163))</f>
        <v/>
      </c>
      <c r="Q163" s="14" t="n"/>
      <c r="R163" s="11" t="n"/>
      <c r="S163" s="12" t="n"/>
      <c r="T163" s="13" t="n"/>
      <c r="U163" s="79" t="n"/>
      <c r="V163" s="79" t="n"/>
      <c r="W163" s="10" t="n"/>
      <c r="X163" s="11" t="n"/>
      <c r="Y163" s="12" t="n"/>
      <c r="Z163" s="13" t="n"/>
      <c r="AA163" s="10" t="n"/>
      <c r="AB163" s="11" t="n"/>
      <c r="AC163" s="12" t="n"/>
      <c r="AD163" s="13" t="n"/>
      <c r="AE163" s="14" t="n"/>
      <c r="AF163" s="11" t="n"/>
      <c r="AG163" s="12" t="n"/>
      <c r="AH163" s="13" t="n"/>
      <c r="AI163" s="10" t="n"/>
      <c r="AJ163" s="11" t="n"/>
      <c r="AK163" s="12" t="n"/>
      <c r="AL163" s="13" t="n"/>
      <c r="AM163" s="10" t="n"/>
      <c r="AN163" s="11" t="n"/>
      <c r="AO163" s="12" t="n"/>
      <c r="AP163" s="13" t="n"/>
      <c r="AQ163" s="6">
        <f>IF(AND((O163)&lt;85,N163&lt;137),"NO","SI")</f>
        <v/>
      </c>
      <c r="AR163" s="7">
        <f>IF((480*(10^(7.95-(O163/10))))&lt;480,480*(10^(7.95-(O163/10))),480)</f>
        <v/>
      </c>
      <c r="AS163" s="8">
        <f>IF((480*(10^(8.45-(O163/10))))&lt;480,480*(10^(8.45-(O163/10))),480)</f>
        <v/>
      </c>
      <c r="AT163" s="9">
        <f>IF((480*(10^(8.65-(O163/10))))&lt;480,480*(10^(8.65-(O163/10))),480)</f>
        <v/>
      </c>
      <c r="AU163" s="111">
        <f>IF(O163&lt;80,"0",IF((P163-O163)&lt;=2,('DPI art.191'!$G$3-(('DPI art.191'!$F$3-'DPI art.191'!$G$3)/4)*(P163-O163-2)),('DPI art.191'!$G$3-(('DPI art.191'!$G$3-'DPI art.191'!$H$3)/8)*(P163-O163-2))))</f>
        <v/>
      </c>
      <c r="AV163" s="24">
        <f>O163-AU163</f>
        <v/>
      </c>
      <c r="AW163" s="24">
        <f>IF(N163&lt;135,N163,N163-'DPI art.191'!$I$3)</f>
        <v/>
      </c>
      <c r="AX163" s="111">
        <f>IF(I163&lt;80,"0",IF((J163-I163)&lt;=2,('DPI art.191'!$G$7-(('DPI art.191'!$F$7-'DPI art.191'!$G$7)/4)*(I163-J163-2)),('DPI art.191'!$G$7-(('DPI art.191'!$G$7-'DPI art.191'!$H$7)/8)*(J163-I163-2))))</f>
        <v/>
      </c>
      <c r="AY163" s="24">
        <f>I163-AX163</f>
        <v/>
      </c>
      <c r="AZ163" s="24">
        <f>IF(H163&lt;135,H163,H163-'DPI art.191'!$I$7)</f>
        <v/>
      </c>
      <c r="BA163" s="111">
        <f>IF(O163&lt;80,"0",IF((P163-O163)&lt;=2,('DPI art.191'!$G$5-(('DPI art.191'!$F$5-'DPI art.191'!$G$5)/4)*(P163-O163-2)),('DPI art.191'!$G$5-(('DPI art.191'!$G$5-'DPI art.191'!$H$5)/8)*(P163-O163-2))))</f>
        <v/>
      </c>
      <c r="BB163" s="24">
        <f>R163-BA163</f>
        <v/>
      </c>
      <c r="BC163" s="24">
        <f>IF(N163&lt;135,N163,N163-'DPI art.191'!$I$5)</f>
        <v/>
      </c>
      <c r="BD163" s="111">
        <f>IF(O163&lt;80,"0",IF((P163-O163)&lt;=2,('DPI art.191'!$G$7-(('DPI art.191'!$F$7-'DPI art.191'!$G$7)/4)*(O163-P163-2)),('DPI art.191'!$G$7-(('DPI art.191'!$G$7-'DPI art.191'!$H$7)/8)*(P163-O163-2))))</f>
        <v/>
      </c>
      <c r="BE163" s="24">
        <f>O163-BD163</f>
        <v/>
      </c>
      <c r="BF163" s="24">
        <f>IF(N163&lt;135,N163,N163-'DPI art.191'!$I$7)</f>
        <v/>
      </c>
      <c r="BG163" s="108">
        <f>10^(0.1*R163)</f>
        <v/>
      </c>
      <c r="BH163" s="108">
        <f>10^(0.1*X163)</f>
        <v/>
      </c>
      <c r="BI163" s="108">
        <f>10^(0.1*AB163)</f>
        <v/>
      </c>
      <c r="BJ163" s="108">
        <f>10^(0.1*AF163)</f>
        <v/>
      </c>
      <c r="BK163" s="108">
        <f>10^(0.1*AJ163)</f>
        <v/>
      </c>
      <c r="BL163" s="108">
        <f>10^(0.1*AN163)</f>
        <v/>
      </c>
      <c r="BM163" s="106">
        <f>IF(R163&gt;0,(O163-R163),"")</f>
        <v/>
      </c>
      <c r="BN163" s="106">
        <f>IF(X163&gt;0,(O163-X163),"")</f>
        <v/>
      </c>
      <c r="BO163" s="106">
        <f>IF(AB163&gt;0,(O163-AB163),"")</f>
        <v/>
      </c>
      <c r="BP163" s="106">
        <f>IF(AF163&gt;0,(O163-AF163),"")</f>
        <v/>
      </c>
      <c r="BQ163" s="106">
        <f>IF(AJ163&gt;0,(O163-AJ163),"")</f>
        <v/>
      </c>
      <c r="BR163" s="106">
        <f>IF(AN163&gt;0,(O163-AN163),"")</f>
        <v/>
      </c>
      <c r="BS163" s="106">
        <f>COUNT(BM163:BR163)</f>
        <v/>
      </c>
      <c r="BT163" s="464">
        <f>IF(BS163=0,0,IF(BS163=1,0,1/(BS163*(BS163-1))))</f>
        <v/>
      </c>
      <c r="BU163" s="136">
        <f>IF(R163&gt;0,(BM163^2),"")</f>
        <v/>
      </c>
      <c r="BV163" s="136">
        <f>IF(X163&gt;0,(BN163^2),"")</f>
        <v/>
      </c>
      <c r="BW163" s="136">
        <f>IF(AB163&gt;0,(BO163^2),"")</f>
        <v/>
      </c>
      <c r="BX163" s="136">
        <f>IF(AF163&gt;0,(BP163^2),"")</f>
        <v/>
      </c>
      <c r="BY163" s="136">
        <f>IF(AJ163&gt;0,(BQ163^2),"")</f>
        <v/>
      </c>
      <c r="BZ163" s="136">
        <f>IF(AN163&gt;0,(BR163^2),"")</f>
        <v/>
      </c>
    </row>
    <row r="164" ht="18.75" customHeight="1" s="444">
      <c r="A164" s="340" t="inlineStr">
        <is>
          <t>/</t>
        </is>
      </c>
      <c r="B164" s="65">
        <f>B163+1</f>
        <v/>
      </c>
      <c r="C164" s="78" t="n"/>
      <c r="D164" s="83" t="n"/>
      <c r="E164" s="83" t="n"/>
      <c r="F164" s="329" t="n"/>
      <c r="G164" s="71" t="n">
        <v>40725</v>
      </c>
      <c r="H164" s="77" t="inlineStr">
        <is>
          <t>Compito</t>
        </is>
      </c>
      <c r="I164" s="77">
        <f>IF((V164-R164)&gt;3,"SI","")</f>
        <v/>
      </c>
      <c r="J164" s="77">
        <f>IF((U164-R164)&gt;3,"SI","")</f>
        <v/>
      </c>
      <c r="K164" s="77" t="n"/>
      <c r="L164" s="77" t="n"/>
      <c r="M164" s="137">
        <f>IF(R164&gt;0,(SQRT(BT164*(SUM(BU164:BZ164)))),"")</f>
        <v/>
      </c>
      <c r="N164" s="4">
        <f>IF(T164&gt;0,(MAX(T164,Z164,AD164,AH164,AL164,AP164))+SQRT(1.2^2+1^2),"")</f>
        <v/>
      </c>
      <c r="O164" s="3">
        <f>IF(R164="",0,10*LOG10(SUM(BG164:BL164)/(COUNT(R164,X164,AB164,AF164,AJ164,AN164))))</f>
        <v/>
      </c>
      <c r="P164" s="5">
        <f>IF(AND(Y164="",AC164="",AG164="",AK164="",AO164=""),S164,AVERAGE(S164,Y164,AC164,AG164,AK164,AO164)+STDEV(S164,Y164,AC164,AG164,AK164,AO164))</f>
        <v/>
      </c>
      <c r="Q164" s="14" t="n"/>
      <c r="R164" s="11" t="n"/>
      <c r="S164" s="12" t="n"/>
      <c r="T164" s="13" t="n"/>
      <c r="U164" s="79" t="n"/>
      <c r="V164" s="79" t="n"/>
      <c r="W164" s="10" t="n"/>
      <c r="X164" s="11" t="n"/>
      <c r="Y164" s="12" t="n"/>
      <c r="Z164" s="13" t="n"/>
      <c r="AA164" s="10" t="n"/>
      <c r="AB164" s="11" t="n"/>
      <c r="AC164" s="12" t="n"/>
      <c r="AD164" s="13" t="n"/>
      <c r="AE164" s="14" t="n"/>
      <c r="AF164" s="11" t="n"/>
      <c r="AG164" s="12" t="n"/>
      <c r="AH164" s="13" t="n"/>
      <c r="AI164" s="10" t="n"/>
      <c r="AJ164" s="11" t="n"/>
      <c r="AK164" s="12" t="n"/>
      <c r="AL164" s="13" t="n"/>
      <c r="AM164" s="10" t="n"/>
      <c r="AN164" s="11" t="n"/>
      <c r="AO164" s="12" t="n"/>
      <c r="AP164" s="13" t="n"/>
      <c r="AQ164" s="6">
        <f>IF(AND((O164)&lt;85,N164&lt;137),"NO","SI")</f>
        <v/>
      </c>
      <c r="AR164" s="7">
        <f>IF((480*(10^(7.95-(O164/10))))&lt;480,480*(10^(7.95-(O164/10))),480)</f>
        <v/>
      </c>
      <c r="AS164" s="8">
        <f>IF((480*(10^(8.45-(O164/10))))&lt;480,480*(10^(8.45-(O164/10))),480)</f>
        <v/>
      </c>
      <c r="AT164" s="9">
        <f>IF((480*(10^(8.65-(O164/10))))&lt;480,480*(10^(8.65-(O164/10))),480)</f>
        <v/>
      </c>
      <c r="AU164" s="111">
        <f>IF(O164&lt;80,"0",IF((P164-O164)&lt;=2,('DPI art.191'!$G$3-(('DPI art.191'!$F$3-'DPI art.191'!$G$3)/4)*(P164-O164-2)),('DPI art.191'!$G$3-(('DPI art.191'!$G$3-'DPI art.191'!$H$3)/8)*(P164-O164-2))))</f>
        <v/>
      </c>
      <c r="AV164" s="24">
        <f>O164-AU164</f>
        <v/>
      </c>
      <c r="AW164" s="24">
        <f>IF(N164&lt;135,N164,N164-'DPI art.191'!$I$3)</f>
        <v/>
      </c>
      <c r="AX164" s="111">
        <f>IF(I164&lt;80,"0",IF((J164-I164)&lt;=2,('DPI art.191'!$G$7-(('DPI art.191'!$F$7-'DPI art.191'!$G$7)/4)*(I164-J164-2)),('DPI art.191'!$G$7-(('DPI art.191'!$G$7-'DPI art.191'!$H$7)/8)*(J164-I164-2))))</f>
        <v/>
      </c>
      <c r="AY164" s="24">
        <f>I164-AX164</f>
        <v/>
      </c>
      <c r="AZ164" s="24">
        <f>IF(H164&lt;135,H164,H164-'DPI art.191'!$I$7)</f>
        <v/>
      </c>
      <c r="BA164" s="111">
        <f>IF(O164&lt;80,"0",IF((P164-O164)&lt;=2,('DPI art.191'!$G$5-(('DPI art.191'!$F$5-'DPI art.191'!$G$5)/4)*(P164-O164-2)),('DPI art.191'!$G$5-(('DPI art.191'!$G$5-'DPI art.191'!$H$5)/8)*(P164-O164-2))))</f>
        <v/>
      </c>
      <c r="BB164" s="24">
        <f>R164-BA164</f>
        <v/>
      </c>
      <c r="BC164" s="24">
        <f>IF(N164&lt;135,N164,N164-'DPI art.191'!$I$5)</f>
        <v/>
      </c>
      <c r="BD164" s="111">
        <f>IF(O164&lt;80,"0",IF((P164-O164)&lt;=2,('DPI art.191'!$G$7-(('DPI art.191'!$F$7-'DPI art.191'!$G$7)/4)*(O164-P164-2)),('DPI art.191'!$G$7-(('DPI art.191'!$G$7-'DPI art.191'!$H$7)/8)*(P164-O164-2))))</f>
        <v/>
      </c>
      <c r="BE164" s="24">
        <f>O164-BD164</f>
        <v/>
      </c>
      <c r="BF164" s="24">
        <f>IF(N164&lt;135,N164,N164-'DPI art.191'!$I$7)</f>
        <v/>
      </c>
      <c r="BG164" s="108">
        <f>10^(0.1*R164)</f>
        <v/>
      </c>
      <c r="BH164" s="108">
        <f>10^(0.1*X164)</f>
        <v/>
      </c>
      <c r="BI164" s="108">
        <f>10^(0.1*AB164)</f>
        <v/>
      </c>
      <c r="BJ164" s="108">
        <f>10^(0.1*AF164)</f>
        <v/>
      </c>
      <c r="BK164" s="108">
        <f>10^(0.1*AJ164)</f>
        <v/>
      </c>
      <c r="BL164" s="108">
        <f>10^(0.1*AN164)</f>
        <v/>
      </c>
      <c r="BM164" s="106">
        <f>IF(R164&gt;0,(O164-R164),"")</f>
        <v/>
      </c>
      <c r="BN164" s="106">
        <f>IF(X164&gt;0,(O164-X164),"")</f>
        <v/>
      </c>
      <c r="BO164" s="106">
        <f>IF(AB164&gt;0,(O164-AB164),"")</f>
        <v/>
      </c>
      <c r="BP164" s="106">
        <f>IF(AF164&gt;0,(O164-AF164),"")</f>
        <v/>
      </c>
      <c r="BQ164" s="106">
        <f>IF(AJ164&gt;0,(O164-AJ164),"")</f>
        <v/>
      </c>
      <c r="BR164" s="106">
        <f>IF(AN164&gt;0,(O164-AN164),"")</f>
        <v/>
      </c>
      <c r="BS164" s="106">
        <f>COUNT(BM164:BR164)</f>
        <v/>
      </c>
      <c r="BT164" s="464">
        <f>IF(BS164=0,0,IF(BS164=1,0,1/(BS164*(BS164-1))))</f>
        <v/>
      </c>
      <c r="BU164" s="136">
        <f>IF(R164&gt;0,(BM164^2),"")</f>
        <v/>
      </c>
      <c r="BV164" s="136">
        <f>IF(X164&gt;0,(BN164^2),"")</f>
        <v/>
      </c>
      <c r="BW164" s="136">
        <f>IF(AB164&gt;0,(BO164^2),"")</f>
        <v/>
      </c>
      <c r="BX164" s="136">
        <f>IF(AF164&gt;0,(BP164^2),"")</f>
        <v/>
      </c>
      <c r="BY164" s="136">
        <f>IF(AJ164&gt;0,(BQ164^2),"")</f>
        <v/>
      </c>
      <c r="BZ164" s="136">
        <f>IF(AN164&gt;0,(BR164^2),"")</f>
        <v/>
      </c>
    </row>
    <row r="165" ht="18.75" customHeight="1" s="444">
      <c r="A165" s="340" t="inlineStr">
        <is>
          <t>/</t>
        </is>
      </c>
      <c r="B165" s="65">
        <f>B164+1</f>
        <v/>
      </c>
      <c r="C165" s="78" t="n"/>
      <c r="D165" s="83" t="n"/>
      <c r="E165" s="83" t="n"/>
      <c r="F165" s="329" t="n"/>
      <c r="G165" s="71" t="n">
        <v>40725</v>
      </c>
      <c r="H165" s="77" t="inlineStr">
        <is>
          <t>Compito</t>
        </is>
      </c>
      <c r="I165" s="77">
        <f>IF((V165-R165)&gt;3,"SI","")</f>
        <v/>
      </c>
      <c r="J165" s="77">
        <f>IF((U165-R165)&gt;3,"SI","")</f>
        <v/>
      </c>
      <c r="K165" s="77" t="n"/>
      <c r="L165" s="77" t="n"/>
      <c r="M165" s="137">
        <f>IF(R165&gt;0,(SQRT(BT165*(SUM(BU165:BZ165)))),"")</f>
        <v/>
      </c>
      <c r="N165" s="4">
        <f>IF(T165&gt;0,(MAX(T165,Z165,AD165,AH165,AL165,AP165))+SQRT(1.2^2+1^2),"")</f>
        <v/>
      </c>
      <c r="O165" s="3">
        <f>IF(R165="",0,10*LOG10(SUM(BG165:BL165)/(COUNT(R165,X165,AB165,AF165,AJ165,AN165))))</f>
        <v/>
      </c>
      <c r="P165" s="5">
        <f>IF(AND(Y165="",AC165="",AG165="",AK165="",AO165=""),S165,AVERAGE(S165,Y165,AC165,AG165,AK165,AO165)+STDEV(S165,Y165,AC165,AG165,AK165,AO165))</f>
        <v/>
      </c>
      <c r="Q165" s="14" t="n"/>
      <c r="R165" s="11" t="n"/>
      <c r="S165" s="12" t="n"/>
      <c r="T165" s="13" t="n"/>
      <c r="U165" s="79" t="n"/>
      <c r="V165" s="79" t="n"/>
      <c r="W165" s="10" t="n"/>
      <c r="X165" s="11" t="n"/>
      <c r="Y165" s="12" t="n"/>
      <c r="Z165" s="13" t="n"/>
      <c r="AA165" s="10" t="n"/>
      <c r="AB165" s="11" t="n"/>
      <c r="AC165" s="12" t="n"/>
      <c r="AD165" s="13" t="n"/>
      <c r="AE165" s="14" t="n"/>
      <c r="AF165" s="11" t="n"/>
      <c r="AG165" s="12" t="n"/>
      <c r="AH165" s="13" t="n"/>
      <c r="AI165" s="10" t="n"/>
      <c r="AJ165" s="11" t="n"/>
      <c r="AK165" s="12" t="n"/>
      <c r="AL165" s="13" t="n"/>
      <c r="AM165" s="10" t="n"/>
      <c r="AN165" s="11" t="n"/>
      <c r="AO165" s="12" t="n"/>
      <c r="AP165" s="13" t="n"/>
      <c r="AQ165" s="6">
        <f>IF(AND((O165)&lt;85,N165&lt;137),"NO","SI")</f>
        <v/>
      </c>
      <c r="AR165" s="7">
        <f>IF((480*(10^(7.95-(O165/10))))&lt;480,480*(10^(7.95-(O165/10))),480)</f>
        <v/>
      </c>
      <c r="AS165" s="8">
        <f>IF((480*(10^(8.45-(O165/10))))&lt;480,480*(10^(8.45-(O165/10))),480)</f>
        <v/>
      </c>
      <c r="AT165" s="9">
        <f>IF((480*(10^(8.65-(O165/10))))&lt;480,480*(10^(8.65-(O165/10))),480)</f>
        <v/>
      </c>
      <c r="AU165" s="111">
        <f>IF(O165&lt;80,"0",IF((P165-O165)&lt;=2,('DPI art.191'!$G$3-(('DPI art.191'!$F$3-'DPI art.191'!$G$3)/4)*(P165-O165-2)),('DPI art.191'!$G$3-(('DPI art.191'!$G$3-'DPI art.191'!$H$3)/8)*(P165-O165-2))))</f>
        <v/>
      </c>
      <c r="AV165" s="24">
        <f>O165-AU165</f>
        <v/>
      </c>
      <c r="AW165" s="24">
        <f>IF(N165&lt;135,N165,N165-'DPI art.191'!$I$3)</f>
        <v/>
      </c>
      <c r="AX165" s="111">
        <f>IF(I165&lt;80,"0",IF((J165-I165)&lt;=2,('DPI art.191'!$G$7-(('DPI art.191'!$F$7-'DPI art.191'!$G$7)/4)*(I165-J165-2)),('DPI art.191'!$G$7-(('DPI art.191'!$G$7-'DPI art.191'!$H$7)/8)*(J165-I165-2))))</f>
        <v/>
      </c>
      <c r="AY165" s="24">
        <f>I165-AX165</f>
        <v/>
      </c>
      <c r="AZ165" s="24">
        <f>IF(H165&lt;135,H165,H165-'DPI art.191'!$I$7)</f>
        <v/>
      </c>
      <c r="BA165" s="111">
        <f>IF(O165&lt;80,"0",IF((P165-O165)&lt;=2,('DPI art.191'!$G$5-(('DPI art.191'!$F$5-'DPI art.191'!$G$5)/4)*(P165-O165-2)),('DPI art.191'!$G$5-(('DPI art.191'!$G$5-'DPI art.191'!$H$5)/8)*(P165-O165-2))))</f>
        <v/>
      </c>
      <c r="BB165" s="24">
        <f>R165-BA165</f>
        <v/>
      </c>
      <c r="BC165" s="24">
        <f>IF(N165&lt;135,N165,N165-'DPI art.191'!$I$5)</f>
        <v/>
      </c>
      <c r="BD165" s="111">
        <f>IF(O165&lt;80,"0",IF((P165-O165)&lt;=2,('DPI art.191'!$G$7-(('DPI art.191'!$F$7-'DPI art.191'!$G$7)/4)*(O165-P165-2)),('DPI art.191'!$G$7-(('DPI art.191'!$G$7-'DPI art.191'!$H$7)/8)*(P165-O165-2))))</f>
        <v/>
      </c>
      <c r="BE165" s="24">
        <f>O165-BD165</f>
        <v/>
      </c>
      <c r="BF165" s="24">
        <f>IF(N165&lt;135,N165,N165-'DPI art.191'!$I$7)</f>
        <v/>
      </c>
      <c r="BG165" s="108">
        <f>10^(0.1*R165)</f>
        <v/>
      </c>
      <c r="BH165" s="108">
        <f>10^(0.1*X165)</f>
        <v/>
      </c>
      <c r="BI165" s="108">
        <f>10^(0.1*AB165)</f>
        <v/>
      </c>
      <c r="BJ165" s="108">
        <f>10^(0.1*AF165)</f>
        <v/>
      </c>
      <c r="BK165" s="108">
        <f>10^(0.1*AJ165)</f>
        <v/>
      </c>
      <c r="BL165" s="108">
        <f>10^(0.1*AN165)</f>
        <v/>
      </c>
      <c r="BM165" s="106">
        <f>IF(R165&gt;0,(O165-R165),"")</f>
        <v/>
      </c>
      <c r="BN165" s="106">
        <f>IF(X165&gt;0,(O165-X165),"")</f>
        <v/>
      </c>
      <c r="BO165" s="106">
        <f>IF(AB165&gt;0,(O165-AB165),"")</f>
        <v/>
      </c>
      <c r="BP165" s="106">
        <f>IF(AF165&gt;0,(O165-AF165),"")</f>
        <v/>
      </c>
      <c r="BQ165" s="106">
        <f>IF(AJ165&gt;0,(O165-AJ165),"")</f>
        <v/>
      </c>
      <c r="BR165" s="106">
        <f>IF(AN165&gt;0,(O165-AN165),"")</f>
        <v/>
      </c>
      <c r="BS165" s="106">
        <f>COUNT(BM165:BR165)</f>
        <v/>
      </c>
      <c r="BT165" s="464">
        <f>IF(BS165=0,0,IF(BS165=1,0,1/(BS165*(BS165-1))))</f>
        <v/>
      </c>
      <c r="BU165" s="136">
        <f>IF(R165&gt;0,(BM165^2),"")</f>
        <v/>
      </c>
      <c r="BV165" s="136">
        <f>IF(X165&gt;0,(BN165^2),"")</f>
        <v/>
      </c>
      <c r="BW165" s="136">
        <f>IF(AB165&gt;0,(BO165^2),"")</f>
        <v/>
      </c>
      <c r="BX165" s="136">
        <f>IF(AF165&gt;0,(BP165^2),"")</f>
        <v/>
      </c>
      <c r="BY165" s="136">
        <f>IF(AJ165&gt;0,(BQ165^2),"")</f>
        <v/>
      </c>
      <c r="BZ165" s="136">
        <f>IF(AN165&gt;0,(BR165^2),"")</f>
        <v/>
      </c>
    </row>
    <row r="166" ht="18.75" customHeight="1" s="444">
      <c r="A166" s="340" t="inlineStr">
        <is>
          <t>/</t>
        </is>
      </c>
      <c r="B166" s="65">
        <f>B165+1</f>
        <v/>
      </c>
      <c r="C166" s="78" t="n"/>
      <c r="D166" s="83" t="n"/>
      <c r="E166" s="83" t="n"/>
      <c r="F166" s="329" t="n"/>
      <c r="G166" s="71" t="n">
        <v>40725</v>
      </c>
      <c r="H166" s="77" t="inlineStr">
        <is>
          <t>Compito</t>
        </is>
      </c>
      <c r="I166" s="77">
        <f>IF((V166-R166)&gt;3,"SI","")</f>
        <v/>
      </c>
      <c r="J166" s="77">
        <f>IF((U166-R166)&gt;3,"SI","")</f>
        <v/>
      </c>
      <c r="K166" s="77" t="n"/>
      <c r="L166" s="77" t="n"/>
      <c r="M166" s="137">
        <f>IF(R166&gt;0,(SQRT(BT166*(SUM(BU166:BZ166)))),"")</f>
        <v/>
      </c>
      <c r="N166" s="4">
        <f>IF(T166&gt;0,(MAX(T166,Z166,AD166,AH166,AL166,AP166))+SQRT(1.2^2+1^2),"")</f>
        <v/>
      </c>
      <c r="O166" s="3">
        <f>IF(R166="",0,10*LOG10(SUM(BG166:BL166)/(COUNT(R166,X166,AB166,AF166,AJ166,AN166))))</f>
        <v/>
      </c>
      <c r="P166" s="5">
        <f>IF(AND(Y166="",AC166="",AG166="",AK166="",AO166=""),S166,AVERAGE(S166,Y166,AC166,AG166,AK166,AO166)+STDEV(S166,Y166,AC166,AG166,AK166,AO166))</f>
        <v/>
      </c>
      <c r="Q166" s="14" t="n"/>
      <c r="R166" s="11" t="n"/>
      <c r="S166" s="12" t="n"/>
      <c r="T166" s="13" t="n"/>
      <c r="U166" s="79" t="n"/>
      <c r="V166" s="79" t="n"/>
      <c r="W166" s="10" t="n"/>
      <c r="X166" s="11" t="n"/>
      <c r="Y166" s="12" t="n"/>
      <c r="Z166" s="13" t="n"/>
      <c r="AA166" s="10" t="n"/>
      <c r="AB166" s="11" t="n"/>
      <c r="AC166" s="12" t="n"/>
      <c r="AD166" s="13" t="n"/>
      <c r="AE166" s="14" t="n"/>
      <c r="AF166" s="11" t="n"/>
      <c r="AG166" s="12" t="n"/>
      <c r="AH166" s="13" t="n"/>
      <c r="AI166" s="10" t="n"/>
      <c r="AJ166" s="11" t="n"/>
      <c r="AK166" s="12" t="n"/>
      <c r="AL166" s="13" t="n"/>
      <c r="AM166" s="10" t="n"/>
      <c r="AN166" s="11" t="n"/>
      <c r="AO166" s="12" t="n"/>
      <c r="AP166" s="13" t="n"/>
      <c r="AQ166" s="6">
        <f>IF(AND((O166)&lt;85,N166&lt;137),"NO","SI")</f>
        <v/>
      </c>
      <c r="AR166" s="7">
        <f>IF((480*(10^(7.95-(O166/10))))&lt;480,480*(10^(7.95-(O166/10))),480)</f>
        <v/>
      </c>
      <c r="AS166" s="8">
        <f>IF((480*(10^(8.45-(O166/10))))&lt;480,480*(10^(8.45-(O166/10))),480)</f>
        <v/>
      </c>
      <c r="AT166" s="9">
        <f>IF((480*(10^(8.65-(O166/10))))&lt;480,480*(10^(8.65-(O166/10))),480)</f>
        <v/>
      </c>
      <c r="AU166" s="111">
        <f>IF(O166&lt;80,"0",IF((P166-O166)&lt;=2,('DPI art.191'!$G$3-(('DPI art.191'!$F$3-'DPI art.191'!$G$3)/4)*(P166-O166-2)),('DPI art.191'!$G$3-(('DPI art.191'!$G$3-'DPI art.191'!$H$3)/8)*(P166-O166-2))))</f>
        <v/>
      </c>
      <c r="AV166" s="24">
        <f>O166-AU166</f>
        <v/>
      </c>
      <c r="AW166" s="24">
        <f>IF(N166&lt;135,N166,N166-'DPI art.191'!$I$3)</f>
        <v/>
      </c>
      <c r="AX166" s="111">
        <f>IF(I166&lt;80,"0",IF((J166-I166)&lt;=2,('DPI art.191'!$G$7-(('DPI art.191'!$F$7-'DPI art.191'!$G$7)/4)*(I166-J166-2)),('DPI art.191'!$G$7-(('DPI art.191'!$G$7-'DPI art.191'!$H$7)/8)*(J166-I166-2))))</f>
        <v/>
      </c>
      <c r="AY166" s="24">
        <f>I166-AX166</f>
        <v/>
      </c>
      <c r="AZ166" s="24">
        <f>IF(H166&lt;135,H166,H166-'DPI art.191'!$I$7)</f>
        <v/>
      </c>
      <c r="BA166" s="111">
        <f>IF(O166&lt;80,"0",IF((P166-O166)&lt;=2,('DPI art.191'!$G$5-(('DPI art.191'!$F$5-'DPI art.191'!$G$5)/4)*(P166-O166-2)),('DPI art.191'!$G$5-(('DPI art.191'!$G$5-'DPI art.191'!$H$5)/8)*(P166-O166-2))))</f>
        <v/>
      </c>
      <c r="BB166" s="24">
        <f>R166-BA166</f>
        <v/>
      </c>
      <c r="BC166" s="24">
        <f>IF(N166&lt;135,N166,N166-'DPI art.191'!$I$5)</f>
        <v/>
      </c>
      <c r="BD166" s="111">
        <f>IF(O166&lt;80,"0",IF((P166-O166)&lt;=2,('DPI art.191'!$G$7-(('DPI art.191'!$F$7-'DPI art.191'!$G$7)/4)*(O166-P166-2)),('DPI art.191'!$G$7-(('DPI art.191'!$G$7-'DPI art.191'!$H$7)/8)*(P166-O166-2))))</f>
        <v/>
      </c>
      <c r="BE166" s="24">
        <f>O166-BD166</f>
        <v/>
      </c>
      <c r="BF166" s="24">
        <f>IF(N166&lt;135,N166,N166-'DPI art.191'!$I$7)</f>
        <v/>
      </c>
      <c r="BG166" s="108">
        <f>10^(0.1*R166)</f>
        <v/>
      </c>
      <c r="BH166" s="108">
        <f>10^(0.1*X166)</f>
        <v/>
      </c>
      <c r="BI166" s="108">
        <f>10^(0.1*AB166)</f>
        <v/>
      </c>
      <c r="BJ166" s="108">
        <f>10^(0.1*AF166)</f>
        <v/>
      </c>
      <c r="BK166" s="108">
        <f>10^(0.1*AJ166)</f>
        <v/>
      </c>
      <c r="BL166" s="108">
        <f>10^(0.1*AN166)</f>
        <v/>
      </c>
      <c r="BM166" s="106">
        <f>IF(R166&gt;0,(O166-R166),"")</f>
        <v/>
      </c>
      <c r="BN166" s="106">
        <f>IF(X166&gt;0,(O166-X166),"")</f>
        <v/>
      </c>
      <c r="BO166" s="106">
        <f>IF(AB166&gt;0,(O166-AB166),"")</f>
        <v/>
      </c>
      <c r="BP166" s="106">
        <f>IF(AF166&gt;0,(O166-AF166),"")</f>
        <v/>
      </c>
      <c r="BQ166" s="106">
        <f>IF(AJ166&gt;0,(O166-AJ166),"")</f>
        <v/>
      </c>
      <c r="BR166" s="106">
        <f>IF(AN166&gt;0,(O166-AN166),"")</f>
        <v/>
      </c>
      <c r="BS166" s="106">
        <f>COUNT(BM166:BR166)</f>
        <v/>
      </c>
      <c r="BT166" s="464">
        <f>IF(BS166=0,0,IF(BS166=1,0,1/(BS166*(BS166-1))))</f>
        <v/>
      </c>
      <c r="BU166" s="136">
        <f>IF(R166&gt;0,(BM166^2),"")</f>
        <v/>
      </c>
      <c r="BV166" s="136">
        <f>IF(X166&gt;0,(BN166^2),"")</f>
        <v/>
      </c>
      <c r="BW166" s="136">
        <f>IF(AB166&gt;0,(BO166^2),"")</f>
        <v/>
      </c>
      <c r="BX166" s="136">
        <f>IF(AF166&gt;0,(BP166^2),"")</f>
        <v/>
      </c>
      <c r="BY166" s="136">
        <f>IF(AJ166&gt;0,(BQ166^2),"")</f>
        <v/>
      </c>
      <c r="BZ166" s="136">
        <f>IF(AN166&gt;0,(BR166^2),"")</f>
        <v/>
      </c>
    </row>
    <row r="167" ht="18.75" customHeight="1" s="444">
      <c r="A167" s="340" t="inlineStr">
        <is>
          <t>/</t>
        </is>
      </c>
      <c r="B167" s="65">
        <f>B166+1</f>
        <v/>
      </c>
      <c r="C167" s="78" t="n"/>
      <c r="D167" s="83" t="n"/>
      <c r="E167" s="83" t="n"/>
      <c r="F167" s="329" t="n"/>
      <c r="G167" s="71" t="n">
        <v>40725</v>
      </c>
      <c r="H167" s="77" t="inlineStr">
        <is>
          <t>Compito</t>
        </is>
      </c>
      <c r="I167" s="77">
        <f>IF((V167-R167)&gt;3,"SI","")</f>
        <v/>
      </c>
      <c r="J167" s="77">
        <f>IF((U167-R167)&gt;3,"SI","")</f>
        <v/>
      </c>
      <c r="K167" s="77" t="n"/>
      <c r="L167" s="77" t="n"/>
      <c r="M167" s="137">
        <f>IF(R167&gt;0,(SQRT(BT167*(SUM(BU167:BZ167)))),"")</f>
        <v/>
      </c>
      <c r="N167" s="4">
        <f>IF(T167&gt;0,(MAX(T167,Z167,AD167,AH167,AL167,AP167))+SQRT(1.2^2+1^2),"")</f>
        <v/>
      </c>
      <c r="O167" s="3">
        <f>IF(R167="",0,10*LOG10(SUM(BG167:BL167)/(COUNT(R167,X167,AB167,AF167,AJ167,AN167))))</f>
        <v/>
      </c>
      <c r="P167" s="5">
        <f>IF(AND(Y167="",AC167="",AG167="",AK167="",AO167=""),S167,AVERAGE(S167,Y167,AC167,AG167,AK167,AO167)+STDEV(S167,Y167,AC167,AG167,AK167,AO167))</f>
        <v/>
      </c>
      <c r="Q167" s="14" t="n"/>
      <c r="R167" s="11" t="n"/>
      <c r="S167" s="12" t="n"/>
      <c r="T167" s="13" t="n"/>
      <c r="U167" s="79" t="n"/>
      <c r="V167" s="79" t="n"/>
      <c r="W167" s="10" t="n"/>
      <c r="X167" s="11" t="n"/>
      <c r="Y167" s="12" t="n"/>
      <c r="Z167" s="13" t="n"/>
      <c r="AA167" s="10" t="n"/>
      <c r="AB167" s="11" t="n"/>
      <c r="AC167" s="12" t="n"/>
      <c r="AD167" s="13" t="n"/>
      <c r="AE167" s="14" t="n"/>
      <c r="AF167" s="11" t="n"/>
      <c r="AG167" s="12" t="n"/>
      <c r="AH167" s="13" t="n"/>
      <c r="AI167" s="10" t="n"/>
      <c r="AJ167" s="11" t="n"/>
      <c r="AK167" s="12" t="n"/>
      <c r="AL167" s="13" t="n"/>
      <c r="AM167" s="10" t="n"/>
      <c r="AN167" s="11" t="n"/>
      <c r="AO167" s="12" t="n"/>
      <c r="AP167" s="13" t="n"/>
      <c r="AQ167" s="6">
        <f>IF(AND((O167)&lt;85,N167&lt;137),"NO","SI")</f>
        <v/>
      </c>
      <c r="AR167" s="7">
        <f>IF((480*(10^(7.95-(O167/10))))&lt;480,480*(10^(7.95-(O167/10))),480)</f>
        <v/>
      </c>
      <c r="AS167" s="8">
        <f>IF((480*(10^(8.45-(O167/10))))&lt;480,480*(10^(8.45-(O167/10))),480)</f>
        <v/>
      </c>
      <c r="AT167" s="9">
        <f>IF((480*(10^(8.65-(O167/10))))&lt;480,480*(10^(8.65-(O167/10))),480)</f>
        <v/>
      </c>
      <c r="AU167" s="111">
        <f>IF(O167&lt;80,"0",IF((P167-O167)&lt;=2,('DPI art.191'!$G$3-(('DPI art.191'!$F$3-'DPI art.191'!$G$3)/4)*(P167-O167-2)),('DPI art.191'!$G$3-(('DPI art.191'!$G$3-'DPI art.191'!$H$3)/8)*(P167-O167-2))))</f>
        <v/>
      </c>
      <c r="AV167" s="24">
        <f>O167-AU167</f>
        <v/>
      </c>
      <c r="AW167" s="24">
        <f>IF(N167&lt;135,N167,N167-'DPI art.191'!$I$3)</f>
        <v/>
      </c>
      <c r="AX167" s="111">
        <f>IF(I167&lt;80,"0",IF((J167-I167)&lt;=2,('DPI art.191'!$G$7-(('DPI art.191'!$F$7-'DPI art.191'!$G$7)/4)*(I167-J167-2)),('DPI art.191'!$G$7-(('DPI art.191'!$G$7-'DPI art.191'!$H$7)/8)*(J167-I167-2))))</f>
        <v/>
      </c>
      <c r="AY167" s="24">
        <f>I167-AX167</f>
        <v/>
      </c>
      <c r="AZ167" s="24">
        <f>IF(H167&lt;135,H167,H167-'DPI art.191'!$I$7)</f>
        <v/>
      </c>
      <c r="BA167" s="111">
        <f>IF(O167&lt;80,"0",IF((P167-O167)&lt;=2,('DPI art.191'!$G$5-(('DPI art.191'!$F$5-'DPI art.191'!$G$5)/4)*(P167-O167-2)),('DPI art.191'!$G$5-(('DPI art.191'!$G$5-'DPI art.191'!$H$5)/8)*(P167-O167-2))))</f>
        <v/>
      </c>
      <c r="BB167" s="24">
        <f>R167-BA167</f>
        <v/>
      </c>
      <c r="BC167" s="24">
        <f>IF(N167&lt;135,N167,N167-'DPI art.191'!$I$5)</f>
        <v/>
      </c>
      <c r="BD167" s="111">
        <f>IF(O167&lt;80,"0",IF((P167-O167)&lt;=2,('DPI art.191'!$G$7-(('DPI art.191'!$F$7-'DPI art.191'!$G$7)/4)*(O167-P167-2)),('DPI art.191'!$G$7-(('DPI art.191'!$G$7-'DPI art.191'!$H$7)/8)*(P167-O167-2))))</f>
        <v/>
      </c>
      <c r="BE167" s="24">
        <f>O167-BD167</f>
        <v/>
      </c>
      <c r="BF167" s="24">
        <f>IF(N167&lt;135,N167,N167-'DPI art.191'!$I$7)</f>
        <v/>
      </c>
      <c r="BG167" s="108">
        <f>10^(0.1*R167)</f>
        <v/>
      </c>
      <c r="BH167" s="108">
        <f>10^(0.1*X167)</f>
        <v/>
      </c>
      <c r="BI167" s="108">
        <f>10^(0.1*AB167)</f>
        <v/>
      </c>
      <c r="BJ167" s="108">
        <f>10^(0.1*AF167)</f>
        <v/>
      </c>
      <c r="BK167" s="108">
        <f>10^(0.1*AJ167)</f>
        <v/>
      </c>
      <c r="BL167" s="108">
        <f>10^(0.1*AN167)</f>
        <v/>
      </c>
      <c r="BM167" s="106">
        <f>IF(R167&gt;0,(O167-R167),"")</f>
        <v/>
      </c>
      <c r="BN167" s="106">
        <f>IF(X167&gt;0,(O167-X167),"")</f>
        <v/>
      </c>
      <c r="BO167" s="106">
        <f>IF(AB167&gt;0,(O167-AB167),"")</f>
        <v/>
      </c>
      <c r="BP167" s="106">
        <f>IF(AF167&gt;0,(O167-AF167),"")</f>
        <v/>
      </c>
      <c r="BQ167" s="106">
        <f>IF(AJ167&gt;0,(O167-AJ167),"")</f>
        <v/>
      </c>
      <c r="BR167" s="106">
        <f>IF(AN167&gt;0,(O167-AN167),"")</f>
        <v/>
      </c>
      <c r="BS167" s="106">
        <f>COUNT(BM167:BR167)</f>
        <v/>
      </c>
      <c r="BT167" s="464">
        <f>IF(BS167=0,0,IF(BS167=1,0,1/(BS167*(BS167-1))))</f>
        <v/>
      </c>
      <c r="BU167" s="136">
        <f>IF(R167&gt;0,(BM167^2),"")</f>
        <v/>
      </c>
      <c r="BV167" s="136">
        <f>IF(X167&gt;0,(BN167^2),"")</f>
        <v/>
      </c>
      <c r="BW167" s="136">
        <f>IF(AB167&gt;0,(BO167^2),"")</f>
        <v/>
      </c>
      <c r="BX167" s="136">
        <f>IF(AF167&gt;0,(BP167^2),"")</f>
        <v/>
      </c>
      <c r="BY167" s="136">
        <f>IF(AJ167&gt;0,(BQ167^2),"")</f>
        <v/>
      </c>
      <c r="BZ167" s="136">
        <f>IF(AN167&gt;0,(BR167^2),"")</f>
        <v/>
      </c>
    </row>
    <row r="168" ht="18.75" customHeight="1" s="444">
      <c r="A168" s="340" t="inlineStr">
        <is>
          <t>/</t>
        </is>
      </c>
      <c r="B168" s="65">
        <f>B167+1</f>
        <v/>
      </c>
      <c r="C168" s="78" t="n"/>
      <c r="D168" s="83" t="n"/>
      <c r="E168" s="83" t="n"/>
      <c r="F168" s="329" t="n"/>
      <c r="G168" s="71" t="n">
        <v>40725</v>
      </c>
      <c r="H168" s="77" t="inlineStr">
        <is>
          <t>Compito</t>
        </is>
      </c>
      <c r="I168" s="77">
        <f>IF((V168-R168)&gt;3,"SI","")</f>
        <v/>
      </c>
      <c r="J168" s="77">
        <f>IF((U168-R168)&gt;3,"SI","")</f>
        <v/>
      </c>
      <c r="K168" s="77" t="n"/>
      <c r="L168" s="77" t="n"/>
      <c r="M168" s="137">
        <f>IF(R168&gt;0,(SQRT(BT168*(SUM(BU168:BZ168)))),"")</f>
        <v/>
      </c>
      <c r="N168" s="4">
        <f>IF(T168&gt;0,(MAX(T168,Z168,AD168,AH168,AL168,AP168))+SQRT(1.2^2+1^2),"")</f>
        <v/>
      </c>
      <c r="O168" s="3">
        <f>IF(R168="",0,10*LOG10(SUM(BG168:BL168)/(COUNT(R168,X168,AB168,AF168,AJ168,AN168))))</f>
        <v/>
      </c>
      <c r="P168" s="5">
        <f>IF(AND(Y168="",AC168="",AG168="",AK168="",AO168=""),S168,AVERAGE(S168,Y168,AC168,AG168,AK168,AO168)+STDEV(S168,Y168,AC168,AG168,AK168,AO168))</f>
        <v/>
      </c>
      <c r="Q168" s="14" t="n"/>
      <c r="R168" s="11" t="n"/>
      <c r="S168" s="12" t="n"/>
      <c r="T168" s="13" t="n"/>
      <c r="U168" s="79" t="n"/>
      <c r="V168" s="79" t="n"/>
      <c r="W168" s="10" t="n"/>
      <c r="X168" s="11" t="n"/>
      <c r="Y168" s="12" t="n"/>
      <c r="Z168" s="13" t="n"/>
      <c r="AA168" s="10" t="n"/>
      <c r="AB168" s="11" t="n"/>
      <c r="AC168" s="12" t="n"/>
      <c r="AD168" s="13" t="n"/>
      <c r="AE168" s="14" t="n"/>
      <c r="AF168" s="11" t="n"/>
      <c r="AG168" s="12" t="n"/>
      <c r="AH168" s="13" t="n"/>
      <c r="AI168" s="10" t="n"/>
      <c r="AJ168" s="11" t="n"/>
      <c r="AK168" s="12" t="n"/>
      <c r="AL168" s="13" t="n"/>
      <c r="AM168" s="10" t="n"/>
      <c r="AN168" s="11" t="n"/>
      <c r="AO168" s="12" t="n"/>
      <c r="AP168" s="13" t="n"/>
      <c r="AQ168" s="6">
        <f>IF(AND((O168)&lt;85,N168&lt;137),"NO","SI")</f>
        <v/>
      </c>
      <c r="AR168" s="7">
        <f>IF((480*(10^(7.95-(O168/10))))&lt;480,480*(10^(7.95-(O168/10))),480)</f>
        <v/>
      </c>
      <c r="AS168" s="8">
        <f>IF((480*(10^(8.45-(O168/10))))&lt;480,480*(10^(8.45-(O168/10))),480)</f>
        <v/>
      </c>
      <c r="AT168" s="9">
        <f>IF((480*(10^(8.65-(O168/10))))&lt;480,480*(10^(8.65-(O168/10))),480)</f>
        <v/>
      </c>
      <c r="AU168" s="111">
        <f>IF(O168&lt;80,"0",IF((P168-O168)&lt;=2,('DPI art.191'!$G$3-(('DPI art.191'!$F$3-'DPI art.191'!$G$3)/4)*(P168-O168-2)),('DPI art.191'!$G$3-(('DPI art.191'!$G$3-'DPI art.191'!$H$3)/8)*(P168-O168-2))))</f>
        <v/>
      </c>
      <c r="AV168" s="24">
        <f>O168-AU168</f>
        <v/>
      </c>
      <c r="AW168" s="24">
        <f>IF(N168&lt;135,N168,N168-'DPI art.191'!$I$3)</f>
        <v/>
      </c>
      <c r="AX168" s="111">
        <f>IF(I168&lt;80,"0",IF((J168-I168)&lt;=2,('DPI art.191'!$G$7-(('DPI art.191'!$F$7-'DPI art.191'!$G$7)/4)*(I168-J168-2)),('DPI art.191'!$G$7-(('DPI art.191'!$G$7-'DPI art.191'!$H$7)/8)*(J168-I168-2))))</f>
        <v/>
      </c>
      <c r="AY168" s="24">
        <f>I168-AX168</f>
        <v/>
      </c>
      <c r="AZ168" s="24">
        <f>IF(H168&lt;135,H168,H168-'DPI art.191'!$I$7)</f>
        <v/>
      </c>
      <c r="BA168" s="111">
        <f>IF(O168&lt;80,"0",IF((P168-O168)&lt;=2,('DPI art.191'!$G$5-(('DPI art.191'!$F$5-'DPI art.191'!$G$5)/4)*(P168-O168-2)),('DPI art.191'!$G$5-(('DPI art.191'!$G$5-'DPI art.191'!$H$5)/8)*(P168-O168-2))))</f>
        <v/>
      </c>
      <c r="BB168" s="24">
        <f>R168-BA168</f>
        <v/>
      </c>
      <c r="BC168" s="24">
        <f>IF(N168&lt;135,N168,N168-'DPI art.191'!$I$5)</f>
        <v/>
      </c>
      <c r="BD168" s="111">
        <f>IF(O168&lt;80,"0",IF((P168-O168)&lt;=2,('DPI art.191'!$G$7-(('DPI art.191'!$F$7-'DPI art.191'!$G$7)/4)*(O168-P168-2)),('DPI art.191'!$G$7-(('DPI art.191'!$G$7-'DPI art.191'!$H$7)/8)*(P168-O168-2))))</f>
        <v/>
      </c>
      <c r="BE168" s="24">
        <f>O168-BD168</f>
        <v/>
      </c>
      <c r="BF168" s="24">
        <f>IF(N168&lt;135,N168,N168-'DPI art.191'!$I$7)</f>
        <v/>
      </c>
      <c r="BG168" s="108">
        <f>10^(0.1*R168)</f>
        <v/>
      </c>
      <c r="BH168" s="108">
        <f>10^(0.1*X168)</f>
        <v/>
      </c>
      <c r="BI168" s="108">
        <f>10^(0.1*AB168)</f>
        <v/>
      </c>
      <c r="BJ168" s="108">
        <f>10^(0.1*AF168)</f>
        <v/>
      </c>
      <c r="BK168" s="108">
        <f>10^(0.1*AJ168)</f>
        <v/>
      </c>
      <c r="BL168" s="108">
        <f>10^(0.1*AN168)</f>
        <v/>
      </c>
      <c r="BM168" s="106">
        <f>IF(R168&gt;0,(O168-R168),"")</f>
        <v/>
      </c>
      <c r="BN168" s="106">
        <f>IF(X168&gt;0,(O168-X168),"")</f>
        <v/>
      </c>
      <c r="BO168" s="106">
        <f>IF(AB168&gt;0,(O168-AB168),"")</f>
        <v/>
      </c>
      <c r="BP168" s="106">
        <f>IF(AF168&gt;0,(O168-AF168),"")</f>
        <v/>
      </c>
      <c r="BQ168" s="106">
        <f>IF(AJ168&gt;0,(O168-AJ168),"")</f>
        <v/>
      </c>
      <c r="BR168" s="106">
        <f>IF(AN168&gt;0,(O168-AN168),"")</f>
        <v/>
      </c>
      <c r="BS168" s="106">
        <f>COUNT(BM168:BR168)</f>
        <v/>
      </c>
      <c r="BT168" s="464">
        <f>IF(BS168=0,0,IF(BS168=1,0,1/(BS168*(BS168-1))))</f>
        <v/>
      </c>
      <c r="BU168" s="136">
        <f>IF(R168&gt;0,(BM168^2),"")</f>
        <v/>
      </c>
      <c r="BV168" s="136">
        <f>IF(X168&gt;0,(BN168^2),"")</f>
        <v/>
      </c>
      <c r="BW168" s="136">
        <f>IF(AB168&gt;0,(BO168^2),"")</f>
        <v/>
      </c>
      <c r="BX168" s="136">
        <f>IF(AF168&gt;0,(BP168^2),"")</f>
        <v/>
      </c>
      <c r="BY168" s="136">
        <f>IF(AJ168&gt;0,(BQ168^2),"")</f>
        <v/>
      </c>
      <c r="BZ168" s="136">
        <f>IF(AN168&gt;0,(BR168^2),"")</f>
        <v/>
      </c>
    </row>
    <row r="169" ht="18.75" customHeight="1" s="444">
      <c r="A169" s="340" t="inlineStr">
        <is>
          <t>/</t>
        </is>
      </c>
      <c r="B169" s="65">
        <f>B168+1</f>
        <v/>
      </c>
      <c r="C169" s="78" t="n"/>
      <c r="D169" s="83" t="n"/>
      <c r="E169" s="83" t="n"/>
      <c r="F169" s="329" t="n"/>
      <c r="G169" s="71" t="n">
        <v>40725</v>
      </c>
      <c r="H169" s="77" t="inlineStr">
        <is>
          <t>Compito</t>
        </is>
      </c>
      <c r="I169" s="77">
        <f>IF((V169-R169)&gt;3,"SI","")</f>
        <v/>
      </c>
      <c r="J169" s="77">
        <f>IF((U169-R169)&gt;3,"SI","")</f>
        <v/>
      </c>
      <c r="K169" s="77" t="n"/>
      <c r="L169" s="77" t="n"/>
      <c r="M169" s="137">
        <f>IF(R169&gt;0,(SQRT(BT169*(SUM(BU169:BZ169)))),"")</f>
        <v/>
      </c>
      <c r="N169" s="4">
        <f>IF(T169&gt;0,(MAX(T169,Z169,AD169,AH169,AL169,AP169))+SQRT(1.2^2+1^2),"")</f>
        <v/>
      </c>
      <c r="O169" s="3">
        <f>IF(R169="",0,10*LOG10(SUM(BG169:BL169)/(COUNT(R169,X169,AB169,AF169,AJ169,AN169))))</f>
        <v/>
      </c>
      <c r="P169" s="5">
        <f>IF(AND(Y169="",AC169="",AG169="",AK169="",AO169=""),S169,AVERAGE(S169,Y169,AC169,AG169,AK169,AO169)+STDEV(S169,Y169,AC169,AG169,AK169,AO169))</f>
        <v/>
      </c>
      <c r="Q169" s="14" t="n"/>
      <c r="R169" s="11" t="n"/>
      <c r="S169" s="12" t="n"/>
      <c r="T169" s="13" t="n"/>
      <c r="U169" s="79" t="n"/>
      <c r="V169" s="79" t="n"/>
      <c r="W169" s="10" t="n"/>
      <c r="X169" s="11" t="n"/>
      <c r="Y169" s="12" t="n"/>
      <c r="Z169" s="13" t="n"/>
      <c r="AA169" s="10" t="n"/>
      <c r="AB169" s="11" t="n"/>
      <c r="AC169" s="12" t="n"/>
      <c r="AD169" s="13" t="n"/>
      <c r="AE169" s="14" t="n"/>
      <c r="AF169" s="11" t="n"/>
      <c r="AG169" s="12" t="n"/>
      <c r="AH169" s="13" t="n"/>
      <c r="AI169" s="10" t="n"/>
      <c r="AJ169" s="11" t="n"/>
      <c r="AK169" s="12" t="n"/>
      <c r="AL169" s="13" t="n"/>
      <c r="AM169" s="10" t="n"/>
      <c r="AN169" s="11" t="n"/>
      <c r="AO169" s="12" t="n"/>
      <c r="AP169" s="13" t="n"/>
      <c r="AQ169" s="6">
        <f>IF(AND((O169)&lt;85,N169&lt;137),"NO","SI")</f>
        <v/>
      </c>
      <c r="AR169" s="7">
        <f>IF((480*(10^(7.95-(O169/10))))&lt;480,480*(10^(7.95-(O169/10))),480)</f>
        <v/>
      </c>
      <c r="AS169" s="8">
        <f>IF((480*(10^(8.45-(O169/10))))&lt;480,480*(10^(8.45-(O169/10))),480)</f>
        <v/>
      </c>
      <c r="AT169" s="9">
        <f>IF((480*(10^(8.65-(O169/10))))&lt;480,480*(10^(8.65-(O169/10))),480)</f>
        <v/>
      </c>
      <c r="AU169" s="111">
        <f>IF(O169&lt;80,"0",IF((P169-O169)&lt;=2,('DPI art.191'!$G$3-(('DPI art.191'!$F$3-'DPI art.191'!$G$3)/4)*(P169-O169-2)),('DPI art.191'!$G$3-(('DPI art.191'!$G$3-'DPI art.191'!$H$3)/8)*(P169-O169-2))))</f>
        <v/>
      </c>
      <c r="AV169" s="24">
        <f>O169-AU169</f>
        <v/>
      </c>
      <c r="AW169" s="24">
        <f>IF(N169&lt;135,N169,N169-'DPI art.191'!$I$3)</f>
        <v/>
      </c>
      <c r="AX169" s="111">
        <f>IF(I169&lt;80,"0",IF((J169-I169)&lt;=2,('DPI art.191'!$G$7-(('DPI art.191'!$F$7-'DPI art.191'!$G$7)/4)*(I169-J169-2)),('DPI art.191'!$G$7-(('DPI art.191'!$G$7-'DPI art.191'!$H$7)/8)*(J169-I169-2))))</f>
        <v/>
      </c>
      <c r="AY169" s="24">
        <f>I169-AX169</f>
        <v/>
      </c>
      <c r="AZ169" s="24">
        <f>IF(H169&lt;135,H169,H169-'DPI art.191'!$I$7)</f>
        <v/>
      </c>
      <c r="BA169" s="111">
        <f>IF(O169&lt;80,"0",IF((P169-O169)&lt;=2,('DPI art.191'!$G$5-(('DPI art.191'!$F$5-'DPI art.191'!$G$5)/4)*(P169-O169-2)),('DPI art.191'!$G$5-(('DPI art.191'!$G$5-'DPI art.191'!$H$5)/8)*(P169-O169-2))))</f>
        <v/>
      </c>
      <c r="BB169" s="24">
        <f>R169-BA169</f>
        <v/>
      </c>
      <c r="BC169" s="24">
        <f>IF(N169&lt;135,N169,N169-'DPI art.191'!$I$5)</f>
        <v/>
      </c>
      <c r="BD169" s="111">
        <f>IF(O169&lt;80,"0",IF((P169-O169)&lt;=2,('DPI art.191'!$G$7-(('DPI art.191'!$F$7-'DPI art.191'!$G$7)/4)*(O169-P169-2)),('DPI art.191'!$G$7-(('DPI art.191'!$G$7-'DPI art.191'!$H$7)/8)*(P169-O169-2))))</f>
        <v/>
      </c>
      <c r="BE169" s="24">
        <f>O169-BD169</f>
        <v/>
      </c>
      <c r="BF169" s="24">
        <f>IF(N169&lt;135,N169,N169-'DPI art.191'!$I$7)</f>
        <v/>
      </c>
      <c r="BG169" s="108">
        <f>10^(0.1*R169)</f>
        <v/>
      </c>
      <c r="BH169" s="108">
        <f>10^(0.1*X169)</f>
        <v/>
      </c>
      <c r="BI169" s="108">
        <f>10^(0.1*AB169)</f>
        <v/>
      </c>
      <c r="BJ169" s="108">
        <f>10^(0.1*AF169)</f>
        <v/>
      </c>
      <c r="BK169" s="108">
        <f>10^(0.1*AJ169)</f>
        <v/>
      </c>
      <c r="BL169" s="108">
        <f>10^(0.1*AN169)</f>
        <v/>
      </c>
      <c r="BM169" s="106">
        <f>IF(R169&gt;0,(O169-R169),"")</f>
        <v/>
      </c>
      <c r="BN169" s="106">
        <f>IF(X169&gt;0,(O169-X169),"")</f>
        <v/>
      </c>
      <c r="BO169" s="106">
        <f>IF(AB169&gt;0,(O169-AB169),"")</f>
        <v/>
      </c>
      <c r="BP169" s="106">
        <f>IF(AF169&gt;0,(O169-AF169),"")</f>
        <v/>
      </c>
      <c r="BQ169" s="106">
        <f>IF(AJ169&gt;0,(O169-AJ169),"")</f>
        <v/>
      </c>
      <c r="BR169" s="106">
        <f>IF(AN169&gt;0,(O169-AN169),"")</f>
        <v/>
      </c>
      <c r="BS169" s="106">
        <f>COUNT(BM169:BR169)</f>
        <v/>
      </c>
      <c r="BT169" s="464">
        <f>IF(BS169=0,0,IF(BS169=1,0,1/(BS169*(BS169-1))))</f>
        <v/>
      </c>
      <c r="BU169" s="136">
        <f>IF(R169&gt;0,(BM169^2),"")</f>
        <v/>
      </c>
      <c r="BV169" s="136">
        <f>IF(X169&gt;0,(BN169^2),"")</f>
        <v/>
      </c>
      <c r="BW169" s="136">
        <f>IF(AB169&gt;0,(BO169^2),"")</f>
        <v/>
      </c>
      <c r="BX169" s="136">
        <f>IF(AF169&gt;0,(BP169^2),"")</f>
        <v/>
      </c>
      <c r="BY169" s="136">
        <f>IF(AJ169&gt;0,(BQ169^2),"")</f>
        <v/>
      </c>
      <c r="BZ169" s="136">
        <f>IF(AN169&gt;0,(BR169^2),"")</f>
        <v/>
      </c>
    </row>
    <row r="170" ht="18.75" customHeight="1" s="444">
      <c r="A170" s="340" t="inlineStr">
        <is>
          <t>/</t>
        </is>
      </c>
      <c r="B170" s="65">
        <f>B169+1</f>
        <v/>
      </c>
      <c r="C170" s="78" t="n"/>
      <c r="D170" s="83" t="n"/>
      <c r="E170" s="83" t="n"/>
      <c r="F170" s="329" t="n"/>
      <c r="G170" s="71" t="n">
        <v>40725</v>
      </c>
      <c r="H170" s="77" t="inlineStr">
        <is>
          <t>Compito</t>
        </is>
      </c>
      <c r="I170" s="77">
        <f>IF((V170-R170)&gt;3,"SI","")</f>
        <v/>
      </c>
      <c r="J170" s="77">
        <f>IF((U170-R170)&gt;3,"SI","")</f>
        <v/>
      </c>
      <c r="K170" s="77" t="n"/>
      <c r="L170" s="77" t="n"/>
      <c r="M170" s="137">
        <f>IF(R170&gt;0,(SQRT(BT170*(SUM(BU170:BZ170)))),"")</f>
        <v/>
      </c>
      <c r="N170" s="4">
        <f>IF(T170&gt;0,(MAX(T170,Z170,AD170,AH170,AL170,AP170))+SQRT(1.2^2+1^2),"")</f>
        <v/>
      </c>
      <c r="O170" s="3">
        <f>IF(R170="",0,10*LOG10(SUM(BG170:BL170)/(COUNT(R170,X170,AB170,AF170,AJ170,AN170))))</f>
        <v/>
      </c>
      <c r="P170" s="5">
        <f>IF(AND(Y170="",AC170="",AG170="",AK170="",AO170=""),S170,AVERAGE(S170,Y170,AC170,AG170,AK170,AO170)+STDEV(S170,Y170,AC170,AG170,AK170,AO170))</f>
        <v/>
      </c>
      <c r="Q170" s="14" t="n"/>
      <c r="R170" s="11" t="n"/>
      <c r="S170" s="12" t="n"/>
      <c r="T170" s="13" t="n"/>
      <c r="U170" s="79" t="n"/>
      <c r="V170" s="79" t="n"/>
      <c r="W170" s="10" t="n"/>
      <c r="X170" s="11" t="n"/>
      <c r="Y170" s="12" t="n"/>
      <c r="Z170" s="13" t="n"/>
      <c r="AA170" s="10" t="n"/>
      <c r="AB170" s="11" t="n"/>
      <c r="AC170" s="12" t="n"/>
      <c r="AD170" s="13" t="n"/>
      <c r="AE170" s="14" t="n"/>
      <c r="AF170" s="11" t="n"/>
      <c r="AG170" s="12" t="n"/>
      <c r="AH170" s="13" t="n"/>
      <c r="AI170" s="10" t="n"/>
      <c r="AJ170" s="11" t="n"/>
      <c r="AK170" s="12" t="n"/>
      <c r="AL170" s="13" t="n"/>
      <c r="AM170" s="10" t="n"/>
      <c r="AN170" s="11" t="n"/>
      <c r="AO170" s="12" t="n"/>
      <c r="AP170" s="13" t="n"/>
      <c r="AQ170" s="6">
        <f>IF(AND((O170)&lt;85,N170&lt;137),"NO","SI")</f>
        <v/>
      </c>
      <c r="AR170" s="7">
        <f>IF((480*(10^(7.95-(O170/10))))&lt;480,480*(10^(7.95-(O170/10))),480)</f>
        <v/>
      </c>
      <c r="AS170" s="8">
        <f>IF((480*(10^(8.45-(O170/10))))&lt;480,480*(10^(8.45-(O170/10))),480)</f>
        <v/>
      </c>
      <c r="AT170" s="9">
        <f>IF((480*(10^(8.65-(O170/10))))&lt;480,480*(10^(8.65-(O170/10))),480)</f>
        <v/>
      </c>
      <c r="AU170" s="111">
        <f>IF(O170&lt;80,"0",IF((P170-O170)&lt;=2,('DPI art.191'!$G$3-(('DPI art.191'!$F$3-'DPI art.191'!$G$3)/4)*(P170-O170-2)),('DPI art.191'!$G$3-(('DPI art.191'!$G$3-'DPI art.191'!$H$3)/8)*(P170-O170-2))))</f>
        <v/>
      </c>
      <c r="AV170" s="24">
        <f>O170-AU170</f>
        <v/>
      </c>
      <c r="AW170" s="24">
        <f>IF(N170&lt;135,N170,N170-'DPI art.191'!$I$3)</f>
        <v/>
      </c>
      <c r="AX170" s="111">
        <f>IF(I170&lt;80,"0",IF((J170-I170)&lt;=2,('DPI art.191'!$G$7-(('DPI art.191'!$F$7-'DPI art.191'!$G$7)/4)*(I170-J170-2)),('DPI art.191'!$G$7-(('DPI art.191'!$G$7-'DPI art.191'!$H$7)/8)*(J170-I170-2))))</f>
        <v/>
      </c>
      <c r="AY170" s="24">
        <f>I170-AX170</f>
        <v/>
      </c>
      <c r="AZ170" s="24">
        <f>IF(H170&lt;135,H170,H170-'DPI art.191'!$I$7)</f>
        <v/>
      </c>
      <c r="BA170" s="111">
        <f>IF(O170&lt;80,"0",IF((P170-O170)&lt;=2,('DPI art.191'!$G$5-(('DPI art.191'!$F$5-'DPI art.191'!$G$5)/4)*(P170-O170-2)),('DPI art.191'!$G$5-(('DPI art.191'!$G$5-'DPI art.191'!$H$5)/8)*(P170-O170-2))))</f>
        <v/>
      </c>
      <c r="BB170" s="24">
        <f>R170-BA170</f>
        <v/>
      </c>
      <c r="BC170" s="24">
        <f>IF(N170&lt;135,N170,N170-'DPI art.191'!$I$5)</f>
        <v/>
      </c>
      <c r="BD170" s="111">
        <f>IF(O170&lt;80,"0",IF((P170-O170)&lt;=2,('DPI art.191'!$G$7-(('DPI art.191'!$F$7-'DPI art.191'!$G$7)/4)*(O170-P170-2)),('DPI art.191'!$G$7-(('DPI art.191'!$G$7-'DPI art.191'!$H$7)/8)*(P170-O170-2))))</f>
        <v/>
      </c>
      <c r="BE170" s="24">
        <f>O170-BD170</f>
        <v/>
      </c>
      <c r="BF170" s="24">
        <f>IF(N170&lt;135,N170,N170-'DPI art.191'!$I$7)</f>
        <v/>
      </c>
      <c r="BG170" s="108">
        <f>10^(0.1*R170)</f>
        <v/>
      </c>
      <c r="BH170" s="108">
        <f>10^(0.1*X170)</f>
        <v/>
      </c>
      <c r="BI170" s="108">
        <f>10^(0.1*AB170)</f>
        <v/>
      </c>
      <c r="BJ170" s="108">
        <f>10^(0.1*AF170)</f>
        <v/>
      </c>
      <c r="BK170" s="108">
        <f>10^(0.1*AJ170)</f>
        <v/>
      </c>
      <c r="BL170" s="108">
        <f>10^(0.1*AN170)</f>
        <v/>
      </c>
      <c r="BM170" s="106">
        <f>IF(R170&gt;0,(O170-R170),"")</f>
        <v/>
      </c>
      <c r="BN170" s="106">
        <f>IF(X170&gt;0,(O170-X170),"")</f>
        <v/>
      </c>
      <c r="BO170" s="106">
        <f>IF(AB170&gt;0,(O170-AB170),"")</f>
        <v/>
      </c>
      <c r="BP170" s="106">
        <f>IF(AF170&gt;0,(O170-AF170),"")</f>
        <v/>
      </c>
      <c r="BQ170" s="106">
        <f>IF(AJ170&gt;0,(O170-AJ170),"")</f>
        <v/>
      </c>
      <c r="BR170" s="106">
        <f>IF(AN170&gt;0,(O170-AN170),"")</f>
        <v/>
      </c>
      <c r="BS170" s="106">
        <f>COUNT(BM170:BR170)</f>
        <v/>
      </c>
      <c r="BT170" s="464">
        <f>IF(BS170=0,0,IF(BS170=1,0,1/(BS170*(BS170-1))))</f>
        <v/>
      </c>
      <c r="BU170" s="136">
        <f>IF(R170&gt;0,(BM170^2),"")</f>
        <v/>
      </c>
      <c r="BV170" s="136">
        <f>IF(X170&gt;0,(BN170^2),"")</f>
        <v/>
      </c>
      <c r="BW170" s="136">
        <f>IF(AB170&gt;0,(BO170^2),"")</f>
        <v/>
      </c>
      <c r="BX170" s="136">
        <f>IF(AF170&gt;0,(BP170^2),"")</f>
        <v/>
      </c>
      <c r="BY170" s="136">
        <f>IF(AJ170&gt;0,(BQ170^2),"")</f>
        <v/>
      </c>
      <c r="BZ170" s="136">
        <f>IF(AN170&gt;0,(BR170^2),"")</f>
        <v/>
      </c>
    </row>
    <row r="171" ht="18.75" customHeight="1" s="444">
      <c r="A171" s="340" t="inlineStr">
        <is>
          <t>/</t>
        </is>
      </c>
      <c r="B171" s="65">
        <f>B170+1</f>
        <v/>
      </c>
      <c r="C171" s="78" t="n"/>
      <c r="D171" s="83" t="n"/>
      <c r="E171" s="83" t="n"/>
      <c r="F171" s="329" t="n"/>
      <c r="G171" s="71" t="n">
        <v>40725</v>
      </c>
      <c r="H171" s="77" t="inlineStr">
        <is>
          <t>Compito</t>
        </is>
      </c>
      <c r="I171" s="77">
        <f>IF((V171-R171)&gt;3,"SI","")</f>
        <v/>
      </c>
      <c r="J171" s="77">
        <f>IF((U171-R171)&gt;3,"SI","")</f>
        <v/>
      </c>
      <c r="K171" s="77" t="n"/>
      <c r="L171" s="77" t="n"/>
      <c r="M171" s="137">
        <f>IF(R171&gt;0,(SQRT(BT171*(SUM(BU171:BZ171)))),"")</f>
        <v/>
      </c>
      <c r="N171" s="4">
        <f>IF(T171&gt;0,(MAX(T171,Z171,AD171,AH171,AL171,AP171))+SQRT(1.2^2+1^2),"")</f>
        <v/>
      </c>
      <c r="O171" s="3">
        <f>IF(R171="",0,10*LOG10(SUM(BG171:BL171)/(COUNT(R171,X171,AB171,AF171,AJ171,AN171))))</f>
        <v/>
      </c>
      <c r="P171" s="5">
        <f>IF(AND(Y171="",AC171="",AG171="",AK171="",AO171=""),S171,AVERAGE(S171,Y171,AC171,AG171,AK171,AO171)+STDEV(S171,Y171,AC171,AG171,AK171,AO171))</f>
        <v/>
      </c>
      <c r="Q171" s="14" t="n"/>
      <c r="R171" s="11" t="n"/>
      <c r="S171" s="12" t="n"/>
      <c r="T171" s="13" t="n"/>
      <c r="U171" s="79" t="n"/>
      <c r="V171" s="79" t="n"/>
      <c r="W171" s="10" t="n"/>
      <c r="X171" s="11" t="n"/>
      <c r="Y171" s="12" t="n"/>
      <c r="Z171" s="13" t="n"/>
      <c r="AA171" s="10" t="n"/>
      <c r="AB171" s="11" t="n"/>
      <c r="AC171" s="12" t="n"/>
      <c r="AD171" s="13" t="n"/>
      <c r="AE171" s="14" t="n"/>
      <c r="AF171" s="11" t="n"/>
      <c r="AG171" s="12" t="n"/>
      <c r="AH171" s="13" t="n"/>
      <c r="AI171" s="10" t="n"/>
      <c r="AJ171" s="11" t="n"/>
      <c r="AK171" s="12" t="n"/>
      <c r="AL171" s="13" t="n"/>
      <c r="AM171" s="10" t="n"/>
      <c r="AN171" s="11" t="n"/>
      <c r="AO171" s="12" t="n"/>
      <c r="AP171" s="13" t="n"/>
      <c r="AQ171" s="6">
        <f>IF(AND((O171)&lt;85,N171&lt;137),"NO","SI")</f>
        <v/>
      </c>
      <c r="AR171" s="7">
        <f>IF((480*(10^(7.95-(O171/10))))&lt;480,480*(10^(7.95-(O171/10))),480)</f>
        <v/>
      </c>
      <c r="AS171" s="8">
        <f>IF((480*(10^(8.45-(O171/10))))&lt;480,480*(10^(8.45-(O171/10))),480)</f>
        <v/>
      </c>
      <c r="AT171" s="9">
        <f>IF((480*(10^(8.65-(O171/10))))&lt;480,480*(10^(8.65-(O171/10))),480)</f>
        <v/>
      </c>
      <c r="AU171" s="111">
        <f>IF(O171&lt;80,"0",IF((P171-O171)&lt;=2,('DPI art.191'!$G$3-(('DPI art.191'!$F$3-'DPI art.191'!$G$3)/4)*(P171-O171-2)),('DPI art.191'!$G$3-(('DPI art.191'!$G$3-'DPI art.191'!$H$3)/8)*(P171-O171-2))))</f>
        <v/>
      </c>
      <c r="AV171" s="24">
        <f>O171-AU171</f>
        <v/>
      </c>
      <c r="AW171" s="24">
        <f>IF(N171&lt;135,N171,N171-'DPI art.191'!$I$3)</f>
        <v/>
      </c>
      <c r="AX171" s="111">
        <f>IF(I171&lt;80,"0",IF((J171-I171)&lt;=2,('DPI art.191'!$G$7-(('DPI art.191'!$F$7-'DPI art.191'!$G$7)/4)*(I171-J171-2)),('DPI art.191'!$G$7-(('DPI art.191'!$G$7-'DPI art.191'!$H$7)/8)*(J171-I171-2))))</f>
        <v/>
      </c>
      <c r="AY171" s="24">
        <f>I171-AX171</f>
        <v/>
      </c>
      <c r="AZ171" s="24">
        <f>IF(H171&lt;135,H171,H171-'DPI art.191'!$I$7)</f>
        <v/>
      </c>
      <c r="BA171" s="111">
        <f>IF(O171&lt;80,"0",IF((P171-O171)&lt;=2,('DPI art.191'!$G$5-(('DPI art.191'!$F$5-'DPI art.191'!$G$5)/4)*(P171-O171-2)),('DPI art.191'!$G$5-(('DPI art.191'!$G$5-'DPI art.191'!$H$5)/8)*(P171-O171-2))))</f>
        <v/>
      </c>
      <c r="BB171" s="24">
        <f>R171-BA171</f>
        <v/>
      </c>
      <c r="BC171" s="24">
        <f>IF(N171&lt;135,N171,N171-'DPI art.191'!$I$5)</f>
        <v/>
      </c>
      <c r="BD171" s="111">
        <f>IF(O171&lt;80,"0",IF((P171-O171)&lt;=2,('DPI art.191'!$G$7-(('DPI art.191'!$F$7-'DPI art.191'!$G$7)/4)*(O171-P171-2)),('DPI art.191'!$G$7-(('DPI art.191'!$G$7-'DPI art.191'!$H$7)/8)*(P171-O171-2))))</f>
        <v/>
      </c>
      <c r="BE171" s="24">
        <f>O171-BD171</f>
        <v/>
      </c>
      <c r="BF171" s="24">
        <f>IF(N171&lt;135,N171,N171-'DPI art.191'!$I$7)</f>
        <v/>
      </c>
      <c r="BG171" s="108">
        <f>10^(0.1*R171)</f>
        <v/>
      </c>
      <c r="BH171" s="108">
        <f>10^(0.1*X171)</f>
        <v/>
      </c>
      <c r="BI171" s="108">
        <f>10^(0.1*AB171)</f>
        <v/>
      </c>
      <c r="BJ171" s="108">
        <f>10^(0.1*AF171)</f>
        <v/>
      </c>
      <c r="BK171" s="108">
        <f>10^(0.1*AJ171)</f>
        <v/>
      </c>
      <c r="BL171" s="108">
        <f>10^(0.1*AN171)</f>
        <v/>
      </c>
      <c r="BM171" s="106">
        <f>IF(R171&gt;0,(O171-R171),"")</f>
        <v/>
      </c>
      <c r="BN171" s="106">
        <f>IF(X171&gt;0,(O171-X171),"")</f>
        <v/>
      </c>
      <c r="BO171" s="106">
        <f>IF(AB171&gt;0,(O171-AB171),"")</f>
        <v/>
      </c>
      <c r="BP171" s="106">
        <f>IF(AF171&gt;0,(O171-AF171),"")</f>
        <v/>
      </c>
      <c r="BQ171" s="106">
        <f>IF(AJ171&gt;0,(O171-AJ171),"")</f>
        <v/>
      </c>
      <c r="BR171" s="106">
        <f>IF(AN171&gt;0,(O171-AN171),"")</f>
        <v/>
      </c>
      <c r="BS171" s="106">
        <f>COUNT(BM171:BR171)</f>
        <v/>
      </c>
      <c r="BT171" s="464">
        <f>IF(BS171=0,0,IF(BS171=1,0,1/(BS171*(BS171-1))))</f>
        <v/>
      </c>
      <c r="BU171" s="136">
        <f>IF(R171&gt;0,(BM171^2),"")</f>
        <v/>
      </c>
      <c r="BV171" s="136">
        <f>IF(X171&gt;0,(BN171^2),"")</f>
        <v/>
      </c>
      <c r="BW171" s="136">
        <f>IF(AB171&gt;0,(BO171^2),"")</f>
        <v/>
      </c>
      <c r="BX171" s="136">
        <f>IF(AF171&gt;0,(BP171^2),"")</f>
        <v/>
      </c>
      <c r="BY171" s="136">
        <f>IF(AJ171&gt;0,(BQ171^2),"")</f>
        <v/>
      </c>
      <c r="BZ171" s="136">
        <f>IF(AN171&gt;0,(BR171^2),"")</f>
        <v/>
      </c>
    </row>
    <row r="172" ht="18.75" customHeight="1" s="444">
      <c r="A172" s="340" t="inlineStr">
        <is>
          <t>/</t>
        </is>
      </c>
      <c r="B172" s="65">
        <f>B171+1</f>
        <v/>
      </c>
      <c r="C172" s="78" t="n"/>
      <c r="D172" s="83" t="n"/>
      <c r="E172" s="83" t="n"/>
      <c r="F172" s="329" t="n"/>
      <c r="G172" s="71" t="n">
        <v>40725</v>
      </c>
      <c r="H172" s="77" t="inlineStr">
        <is>
          <t>Compito</t>
        </is>
      </c>
      <c r="I172" s="77">
        <f>IF((V172-R172)&gt;3,"SI","")</f>
        <v/>
      </c>
      <c r="J172" s="77">
        <f>IF((U172-R172)&gt;3,"SI","")</f>
        <v/>
      </c>
      <c r="K172" s="77" t="n"/>
      <c r="L172" s="77" t="n"/>
      <c r="M172" s="137">
        <f>IF(R172&gt;0,(SQRT(BT172*(SUM(BU172:BZ172)))),"")</f>
        <v/>
      </c>
      <c r="N172" s="4">
        <f>IF(T172&gt;0,(MAX(T172,Z172,AD172,AH172,AL172,AP172))+SQRT(1.2^2+1^2),"")</f>
        <v/>
      </c>
      <c r="O172" s="3">
        <f>IF(R172="",0,10*LOG10(SUM(BG172:BL172)/(COUNT(R172,X172,AB172,AF172,AJ172,AN172))))</f>
        <v/>
      </c>
      <c r="P172" s="5">
        <f>IF(AND(Y172="",AC172="",AG172="",AK172="",AO172=""),S172,AVERAGE(S172,Y172,AC172,AG172,AK172,AO172)+STDEV(S172,Y172,AC172,AG172,AK172,AO172))</f>
        <v/>
      </c>
      <c r="Q172" s="14" t="n"/>
      <c r="R172" s="11" t="n"/>
      <c r="S172" s="12" t="n"/>
      <c r="T172" s="13" t="n"/>
      <c r="U172" s="79" t="n"/>
      <c r="V172" s="79" t="n"/>
      <c r="W172" s="10" t="n"/>
      <c r="X172" s="11" t="n"/>
      <c r="Y172" s="12" t="n"/>
      <c r="Z172" s="13" t="n"/>
      <c r="AA172" s="10" t="n"/>
      <c r="AB172" s="11" t="n"/>
      <c r="AC172" s="12" t="n"/>
      <c r="AD172" s="13" t="n"/>
      <c r="AE172" s="14" t="n"/>
      <c r="AF172" s="11" t="n"/>
      <c r="AG172" s="12" t="n"/>
      <c r="AH172" s="13" t="n"/>
      <c r="AI172" s="10" t="n"/>
      <c r="AJ172" s="11" t="n"/>
      <c r="AK172" s="12" t="n"/>
      <c r="AL172" s="13" t="n"/>
      <c r="AM172" s="10" t="n"/>
      <c r="AN172" s="11" t="n"/>
      <c r="AO172" s="12" t="n"/>
      <c r="AP172" s="13" t="n"/>
      <c r="AQ172" s="6">
        <f>IF(AND((O172)&lt;85,N172&lt;137),"NO","SI")</f>
        <v/>
      </c>
      <c r="AR172" s="7">
        <f>IF((480*(10^(7.95-(O172/10))))&lt;480,480*(10^(7.95-(O172/10))),480)</f>
        <v/>
      </c>
      <c r="AS172" s="8">
        <f>IF((480*(10^(8.45-(O172/10))))&lt;480,480*(10^(8.45-(O172/10))),480)</f>
        <v/>
      </c>
      <c r="AT172" s="9">
        <f>IF((480*(10^(8.65-(O172/10))))&lt;480,480*(10^(8.65-(O172/10))),480)</f>
        <v/>
      </c>
      <c r="AU172" s="111">
        <f>IF(O172&lt;80,"0",IF((P172-O172)&lt;=2,('DPI art.191'!$G$3-(('DPI art.191'!$F$3-'DPI art.191'!$G$3)/4)*(P172-O172-2)),('DPI art.191'!$G$3-(('DPI art.191'!$G$3-'DPI art.191'!$H$3)/8)*(P172-O172-2))))</f>
        <v/>
      </c>
      <c r="AV172" s="24">
        <f>O172-AU172</f>
        <v/>
      </c>
      <c r="AW172" s="24">
        <f>IF(N172&lt;135,N172,N172-'DPI art.191'!$I$3)</f>
        <v/>
      </c>
      <c r="AX172" s="111">
        <f>IF(I172&lt;80,"0",IF((J172-I172)&lt;=2,('DPI art.191'!$G$7-(('DPI art.191'!$F$7-'DPI art.191'!$G$7)/4)*(I172-J172-2)),('DPI art.191'!$G$7-(('DPI art.191'!$G$7-'DPI art.191'!$H$7)/8)*(J172-I172-2))))</f>
        <v/>
      </c>
      <c r="AY172" s="24">
        <f>I172-AX172</f>
        <v/>
      </c>
      <c r="AZ172" s="24">
        <f>IF(H172&lt;135,H172,H172-'DPI art.191'!$I$7)</f>
        <v/>
      </c>
      <c r="BA172" s="111">
        <f>IF(O172&lt;80,"0",IF((P172-O172)&lt;=2,('DPI art.191'!$G$5-(('DPI art.191'!$F$5-'DPI art.191'!$G$5)/4)*(P172-O172-2)),('DPI art.191'!$G$5-(('DPI art.191'!$G$5-'DPI art.191'!$H$5)/8)*(P172-O172-2))))</f>
        <v/>
      </c>
      <c r="BB172" s="24">
        <f>R172-BA172</f>
        <v/>
      </c>
      <c r="BC172" s="24">
        <f>IF(N172&lt;135,N172,N172-'DPI art.191'!$I$5)</f>
        <v/>
      </c>
      <c r="BD172" s="111">
        <f>IF(O172&lt;80,"0",IF((P172-O172)&lt;=2,('DPI art.191'!$G$7-(('DPI art.191'!$F$7-'DPI art.191'!$G$7)/4)*(O172-P172-2)),('DPI art.191'!$G$7-(('DPI art.191'!$G$7-'DPI art.191'!$H$7)/8)*(P172-O172-2))))</f>
        <v/>
      </c>
      <c r="BE172" s="24">
        <f>O172-BD172</f>
        <v/>
      </c>
      <c r="BF172" s="24">
        <f>IF(N172&lt;135,N172,N172-'DPI art.191'!$I$7)</f>
        <v/>
      </c>
      <c r="BG172" s="108">
        <f>10^(0.1*R172)</f>
        <v/>
      </c>
      <c r="BH172" s="108">
        <f>10^(0.1*X172)</f>
        <v/>
      </c>
      <c r="BI172" s="108">
        <f>10^(0.1*AB172)</f>
        <v/>
      </c>
      <c r="BJ172" s="108">
        <f>10^(0.1*AF172)</f>
        <v/>
      </c>
      <c r="BK172" s="108">
        <f>10^(0.1*AJ172)</f>
        <v/>
      </c>
      <c r="BL172" s="108">
        <f>10^(0.1*AN172)</f>
        <v/>
      </c>
      <c r="BM172" s="106">
        <f>IF(R172&gt;0,(O172-R172),"")</f>
        <v/>
      </c>
      <c r="BN172" s="106">
        <f>IF(X172&gt;0,(O172-X172),"")</f>
        <v/>
      </c>
      <c r="BO172" s="106">
        <f>IF(AB172&gt;0,(O172-AB172),"")</f>
        <v/>
      </c>
      <c r="BP172" s="106">
        <f>IF(AF172&gt;0,(O172-AF172),"")</f>
        <v/>
      </c>
      <c r="BQ172" s="106">
        <f>IF(AJ172&gt;0,(O172-AJ172),"")</f>
        <v/>
      </c>
      <c r="BR172" s="106">
        <f>IF(AN172&gt;0,(O172-AN172),"")</f>
        <v/>
      </c>
      <c r="BS172" s="106">
        <f>COUNT(BM172:BR172)</f>
        <v/>
      </c>
      <c r="BT172" s="464">
        <f>IF(BS172=0,0,IF(BS172=1,0,1/(BS172*(BS172-1))))</f>
        <v/>
      </c>
      <c r="BU172" s="136">
        <f>IF(R172&gt;0,(BM172^2),"")</f>
        <v/>
      </c>
      <c r="BV172" s="136">
        <f>IF(X172&gt;0,(BN172^2),"")</f>
        <v/>
      </c>
      <c r="BW172" s="136">
        <f>IF(AB172&gt;0,(BO172^2),"")</f>
        <v/>
      </c>
      <c r="BX172" s="136">
        <f>IF(AF172&gt;0,(BP172^2),"")</f>
        <v/>
      </c>
      <c r="BY172" s="136">
        <f>IF(AJ172&gt;0,(BQ172^2),"")</f>
        <v/>
      </c>
      <c r="BZ172" s="136">
        <f>IF(AN172&gt;0,(BR172^2),"")</f>
        <v/>
      </c>
    </row>
    <row r="173" ht="18.75" customHeight="1" s="444">
      <c r="A173" s="340" t="inlineStr">
        <is>
          <t>/</t>
        </is>
      </c>
      <c r="B173" s="65">
        <f>B172+1</f>
        <v/>
      </c>
      <c r="C173" s="78" t="n"/>
      <c r="D173" s="83" t="n"/>
      <c r="E173" s="83" t="n"/>
      <c r="F173" s="329" t="n"/>
      <c r="G173" s="71" t="n">
        <v>40725</v>
      </c>
      <c r="H173" s="77" t="inlineStr">
        <is>
          <t>Compito</t>
        </is>
      </c>
      <c r="I173" s="77">
        <f>IF((V173-R173)&gt;3,"SI","")</f>
        <v/>
      </c>
      <c r="J173" s="77">
        <f>IF((U173-R173)&gt;3,"SI","")</f>
        <v/>
      </c>
      <c r="K173" s="77" t="n"/>
      <c r="L173" s="77" t="n"/>
      <c r="M173" s="137">
        <f>IF(R173&gt;0,(SQRT(BT173*(SUM(BU173:BZ173)))),"")</f>
        <v/>
      </c>
      <c r="N173" s="4">
        <f>IF(T173&gt;0,(MAX(T173,Z173,AD173,AH173,AL173,AP173))+SQRT(1.2^2+1^2),"")</f>
        <v/>
      </c>
      <c r="O173" s="3">
        <f>IF(R173="",0,10*LOG10(SUM(BG173:BL173)/(COUNT(R173,X173,AB173,AF173,AJ173,AN173))))</f>
        <v/>
      </c>
      <c r="P173" s="5">
        <f>IF(AND(Y173="",AC173="",AG173="",AK173="",AO173=""),S173,AVERAGE(S173,Y173,AC173,AG173,AK173,AO173)+STDEV(S173,Y173,AC173,AG173,AK173,AO173))</f>
        <v/>
      </c>
      <c r="Q173" s="14" t="n"/>
      <c r="R173" s="11" t="n"/>
      <c r="S173" s="12" t="n"/>
      <c r="T173" s="13" t="n"/>
      <c r="U173" s="79" t="n"/>
      <c r="V173" s="79" t="n"/>
      <c r="W173" s="10" t="n"/>
      <c r="X173" s="11" t="n"/>
      <c r="Y173" s="12" t="n"/>
      <c r="Z173" s="13" t="n"/>
      <c r="AA173" s="10" t="n"/>
      <c r="AB173" s="11" t="n"/>
      <c r="AC173" s="12" t="n"/>
      <c r="AD173" s="13" t="n"/>
      <c r="AE173" s="14" t="n"/>
      <c r="AF173" s="11" t="n"/>
      <c r="AG173" s="12" t="n"/>
      <c r="AH173" s="13" t="n"/>
      <c r="AI173" s="10" t="n"/>
      <c r="AJ173" s="11" t="n"/>
      <c r="AK173" s="12" t="n"/>
      <c r="AL173" s="13" t="n"/>
      <c r="AM173" s="10" t="n"/>
      <c r="AN173" s="11" t="n"/>
      <c r="AO173" s="12" t="n"/>
      <c r="AP173" s="13" t="n"/>
      <c r="AQ173" s="6">
        <f>IF(AND((O173)&lt;85,N173&lt;137),"NO","SI")</f>
        <v/>
      </c>
      <c r="AR173" s="7">
        <f>IF((480*(10^(7.95-(O173/10))))&lt;480,480*(10^(7.95-(O173/10))),480)</f>
        <v/>
      </c>
      <c r="AS173" s="8">
        <f>IF((480*(10^(8.45-(O173/10))))&lt;480,480*(10^(8.45-(O173/10))),480)</f>
        <v/>
      </c>
      <c r="AT173" s="9">
        <f>IF((480*(10^(8.65-(O173/10))))&lt;480,480*(10^(8.65-(O173/10))),480)</f>
        <v/>
      </c>
      <c r="AU173" s="111">
        <f>IF(O173&lt;80,"0",IF((P173-O173)&lt;=2,('DPI art.191'!$G$3-(('DPI art.191'!$F$3-'DPI art.191'!$G$3)/4)*(P173-O173-2)),('DPI art.191'!$G$3-(('DPI art.191'!$G$3-'DPI art.191'!$H$3)/8)*(P173-O173-2))))</f>
        <v/>
      </c>
      <c r="AV173" s="24">
        <f>O173-AU173</f>
        <v/>
      </c>
      <c r="AW173" s="24">
        <f>IF(N173&lt;135,N173,N173-'DPI art.191'!$I$3)</f>
        <v/>
      </c>
      <c r="AX173" s="111">
        <f>IF(I173&lt;80,"0",IF((J173-I173)&lt;=2,('DPI art.191'!$G$7-(('DPI art.191'!$F$7-'DPI art.191'!$G$7)/4)*(I173-J173-2)),('DPI art.191'!$G$7-(('DPI art.191'!$G$7-'DPI art.191'!$H$7)/8)*(J173-I173-2))))</f>
        <v/>
      </c>
      <c r="AY173" s="24">
        <f>I173-AX173</f>
        <v/>
      </c>
      <c r="AZ173" s="24">
        <f>IF(H173&lt;135,H173,H173-'DPI art.191'!$I$7)</f>
        <v/>
      </c>
      <c r="BA173" s="111">
        <f>IF(O173&lt;80,"0",IF((P173-O173)&lt;=2,('DPI art.191'!$G$5-(('DPI art.191'!$F$5-'DPI art.191'!$G$5)/4)*(P173-O173-2)),('DPI art.191'!$G$5-(('DPI art.191'!$G$5-'DPI art.191'!$H$5)/8)*(P173-O173-2))))</f>
        <v/>
      </c>
      <c r="BB173" s="24">
        <f>R173-BA173</f>
        <v/>
      </c>
      <c r="BC173" s="24">
        <f>IF(N173&lt;135,N173,N173-'DPI art.191'!$I$5)</f>
        <v/>
      </c>
      <c r="BD173" s="111">
        <f>IF(O173&lt;80,"0",IF((P173-O173)&lt;=2,('DPI art.191'!$G$7-(('DPI art.191'!$F$7-'DPI art.191'!$G$7)/4)*(O173-P173-2)),('DPI art.191'!$G$7-(('DPI art.191'!$G$7-'DPI art.191'!$H$7)/8)*(P173-O173-2))))</f>
        <v/>
      </c>
      <c r="BE173" s="24">
        <f>O173-BD173</f>
        <v/>
      </c>
      <c r="BF173" s="24">
        <f>IF(N173&lt;135,N173,N173-'DPI art.191'!$I$7)</f>
        <v/>
      </c>
      <c r="BG173" s="108">
        <f>10^(0.1*R173)</f>
        <v/>
      </c>
      <c r="BH173" s="108">
        <f>10^(0.1*X173)</f>
        <v/>
      </c>
      <c r="BI173" s="108">
        <f>10^(0.1*AB173)</f>
        <v/>
      </c>
      <c r="BJ173" s="108">
        <f>10^(0.1*AF173)</f>
        <v/>
      </c>
      <c r="BK173" s="108">
        <f>10^(0.1*AJ173)</f>
        <v/>
      </c>
      <c r="BL173" s="108">
        <f>10^(0.1*AN173)</f>
        <v/>
      </c>
      <c r="BM173" s="106">
        <f>IF(R173&gt;0,(O173-R173),"")</f>
        <v/>
      </c>
      <c r="BN173" s="106">
        <f>IF(X173&gt;0,(O173-X173),"")</f>
        <v/>
      </c>
      <c r="BO173" s="106">
        <f>IF(AB173&gt;0,(O173-AB173),"")</f>
        <v/>
      </c>
      <c r="BP173" s="106">
        <f>IF(AF173&gt;0,(O173-AF173),"")</f>
        <v/>
      </c>
      <c r="BQ173" s="106">
        <f>IF(AJ173&gt;0,(O173-AJ173),"")</f>
        <v/>
      </c>
      <c r="BR173" s="106">
        <f>IF(AN173&gt;0,(O173-AN173),"")</f>
        <v/>
      </c>
      <c r="BS173" s="106">
        <f>COUNT(BM173:BR173)</f>
        <v/>
      </c>
      <c r="BT173" s="464">
        <f>IF(BS173=0,0,IF(BS173=1,0,1/(BS173*(BS173-1))))</f>
        <v/>
      </c>
      <c r="BU173" s="136">
        <f>IF(R173&gt;0,(BM173^2),"")</f>
        <v/>
      </c>
      <c r="BV173" s="136">
        <f>IF(X173&gt;0,(BN173^2),"")</f>
        <v/>
      </c>
      <c r="BW173" s="136">
        <f>IF(AB173&gt;0,(BO173^2),"")</f>
        <v/>
      </c>
      <c r="BX173" s="136">
        <f>IF(AF173&gt;0,(BP173^2),"")</f>
        <v/>
      </c>
      <c r="BY173" s="136">
        <f>IF(AJ173&gt;0,(BQ173^2),"")</f>
        <v/>
      </c>
      <c r="BZ173" s="136">
        <f>IF(AN173&gt;0,(BR173^2),"")</f>
        <v/>
      </c>
    </row>
    <row r="174" ht="18.75" customHeight="1" s="444">
      <c r="A174" s="340" t="inlineStr">
        <is>
          <t>/</t>
        </is>
      </c>
      <c r="B174" s="65">
        <f>B173+1</f>
        <v/>
      </c>
      <c r="C174" s="78" t="n"/>
      <c r="D174" s="83" t="n"/>
      <c r="E174" s="83" t="n"/>
      <c r="F174" s="329" t="n"/>
      <c r="G174" s="71" t="n">
        <v>40725</v>
      </c>
      <c r="H174" s="77" t="inlineStr">
        <is>
          <t>Compito</t>
        </is>
      </c>
      <c r="I174" s="77">
        <f>IF((V174-R174)&gt;3,"SI","")</f>
        <v/>
      </c>
      <c r="J174" s="77">
        <f>IF((U174-R174)&gt;3,"SI","")</f>
        <v/>
      </c>
      <c r="K174" s="77" t="n"/>
      <c r="L174" s="77" t="n"/>
      <c r="M174" s="137">
        <f>IF(R174&gt;0,(SQRT(BT174*(SUM(BU174:BZ174)))),"")</f>
        <v/>
      </c>
      <c r="N174" s="4">
        <f>IF(T174&gt;0,(MAX(T174,Z174,AD174,AH174,AL174,AP174))+SQRT(1.2^2+1^2),"")</f>
        <v/>
      </c>
      <c r="O174" s="3">
        <f>IF(R174="",0,10*LOG10(SUM(BG174:BL174)/(COUNT(R174,X174,AB174,AF174,AJ174,AN174))))</f>
        <v/>
      </c>
      <c r="P174" s="5">
        <f>IF(AND(Y174="",AC174="",AG174="",AK174="",AO174=""),S174,AVERAGE(S174,Y174,AC174,AG174,AK174,AO174)+STDEV(S174,Y174,AC174,AG174,AK174,AO174))</f>
        <v/>
      </c>
      <c r="Q174" s="14" t="n"/>
      <c r="R174" s="11" t="n"/>
      <c r="S174" s="12" t="n"/>
      <c r="T174" s="13" t="n"/>
      <c r="U174" s="79" t="n"/>
      <c r="V174" s="79" t="n"/>
      <c r="W174" s="10" t="n"/>
      <c r="X174" s="11" t="n"/>
      <c r="Y174" s="12" t="n"/>
      <c r="Z174" s="13" t="n"/>
      <c r="AA174" s="10" t="n"/>
      <c r="AB174" s="11" t="n"/>
      <c r="AC174" s="12" t="n"/>
      <c r="AD174" s="13" t="n"/>
      <c r="AE174" s="14" t="n"/>
      <c r="AF174" s="11" t="n"/>
      <c r="AG174" s="12" t="n"/>
      <c r="AH174" s="13" t="n"/>
      <c r="AI174" s="10" t="n"/>
      <c r="AJ174" s="11" t="n"/>
      <c r="AK174" s="12" t="n"/>
      <c r="AL174" s="13" t="n"/>
      <c r="AM174" s="10" t="n"/>
      <c r="AN174" s="11" t="n"/>
      <c r="AO174" s="12" t="n"/>
      <c r="AP174" s="13" t="n"/>
      <c r="AQ174" s="6">
        <f>IF(AND((O174)&lt;85,N174&lt;137),"NO","SI")</f>
        <v/>
      </c>
      <c r="AR174" s="7">
        <f>IF((480*(10^(7.95-(O174/10))))&lt;480,480*(10^(7.95-(O174/10))),480)</f>
        <v/>
      </c>
      <c r="AS174" s="8">
        <f>IF((480*(10^(8.45-(O174/10))))&lt;480,480*(10^(8.45-(O174/10))),480)</f>
        <v/>
      </c>
      <c r="AT174" s="9">
        <f>IF((480*(10^(8.65-(O174/10))))&lt;480,480*(10^(8.65-(O174/10))),480)</f>
        <v/>
      </c>
      <c r="AU174" s="111">
        <f>IF(O174&lt;80,"0",IF((P174-O174)&lt;=2,('DPI art.191'!$G$3-(('DPI art.191'!$F$3-'DPI art.191'!$G$3)/4)*(P174-O174-2)),('DPI art.191'!$G$3-(('DPI art.191'!$G$3-'DPI art.191'!$H$3)/8)*(P174-O174-2))))</f>
        <v/>
      </c>
      <c r="AV174" s="24">
        <f>O174-AU174</f>
        <v/>
      </c>
      <c r="AW174" s="24">
        <f>IF(N174&lt;135,N174,N174-'DPI art.191'!$I$3)</f>
        <v/>
      </c>
      <c r="AX174" s="111">
        <f>IF(I174&lt;80,"0",IF((J174-I174)&lt;=2,('DPI art.191'!$G$7-(('DPI art.191'!$F$7-'DPI art.191'!$G$7)/4)*(I174-J174-2)),('DPI art.191'!$G$7-(('DPI art.191'!$G$7-'DPI art.191'!$H$7)/8)*(J174-I174-2))))</f>
        <v/>
      </c>
      <c r="AY174" s="24">
        <f>I174-AX174</f>
        <v/>
      </c>
      <c r="AZ174" s="24">
        <f>IF(H174&lt;135,H174,H174-'DPI art.191'!$I$7)</f>
        <v/>
      </c>
      <c r="BA174" s="111">
        <f>IF(O174&lt;80,"0",IF((P174-O174)&lt;=2,('DPI art.191'!$G$5-(('DPI art.191'!$F$5-'DPI art.191'!$G$5)/4)*(P174-O174-2)),('DPI art.191'!$G$5-(('DPI art.191'!$G$5-'DPI art.191'!$H$5)/8)*(P174-O174-2))))</f>
        <v/>
      </c>
      <c r="BB174" s="24">
        <f>R174-BA174</f>
        <v/>
      </c>
      <c r="BC174" s="24">
        <f>IF(N174&lt;135,N174,N174-'DPI art.191'!$I$5)</f>
        <v/>
      </c>
      <c r="BD174" s="111">
        <f>IF(O174&lt;80,"0",IF((P174-O174)&lt;=2,('DPI art.191'!$G$7-(('DPI art.191'!$F$7-'DPI art.191'!$G$7)/4)*(O174-P174-2)),('DPI art.191'!$G$7-(('DPI art.191'!$G$7-'DPI art.191'!$H$7)/8)*(P174-O174-2))))</f>
        <v/>
      </c>
      <c r="BE174" s="24">
        <f>O174-BD174</f>
        <v/>
      </c>
      <c r="BF174" s="24">
        <f>IF(N174&lt;135,N174,N174-'DPI art.191'!$I$7)</f>
        <v/>
      </c>
      <c r="BG174" s="108">
        <f>10^(0.1*R174)</f>
        <v/>
      </c>
      <c r="BH174" s="108">
        <f>10^(0.1*X174)</f>
        <v/>
      </c>
      <c r="BI174" s="108">
        <f>10^(0.1*AB174)</f>
        <v/>
      </c>
      <c r="BJ174" s="108">
        <f>10^(0.1*AF174)</f>
        <v/>
      </c>
      <c r="BK174" s="108">
        <f>10^(0.1*AJ174)</f>
        <v/>
      </c>
      <c r="BL174" s="108">
        <f>10^(0.1*AN174)</f>
        <v/>
      </c>
      <c r="BM174" s="106">
        <f>IF(R174&gt;0,(O174-R174),"")</f>
        <v/>
      </c>
      <c r="BN174" s="106">
        <f>IF(X174&gt;0,(O174-X174),"")</f>
        <v/>
      </c>
      <c r="BO174" s="106">
        <f>IF(AB174&gt;0,(O174-AB174),"")</f>
        <v/>
      </c>
      <c r="BP174" s="106">
        <f>IF(AF174&gt;0,(O174-AF174),"")</f>
        <v/>
      </c>
      <c r="BQ174" s="106">
        <f>IF(AJ174&gt;0,(O174-AJ174),"")</f>
        <v/>
      </c>
      <c r="BR174" s="106">
        <f>IF(AN174&gt;0,(O174-AN174),"")</f>
        <v/>
      </c>
      <c r="BS174" s="106">
        <f>COUNT(BM174:BR174)</f>
        <v/>
      </c>
      <c r="BT174" s="464">
        <f>IF(BS174=0,0,IF(BS174=1,0,1/(BS174*(BS174-1))))</f>
        <v/>
      </c>
      <c r="BU174" s="136">
        <f>IF(R174&gt;0,(BM174^2),"")</f>
        <v/>
      </c>
      <c r="BV174" s="136">
        <f>IF(X174&gt;0,(BN174^2),"")</f>
        <v/>
      </c>
      <c r="BW174" s="136">
        <f>IF(AB174&gt;0,(BO174^2),"")</f>
        <v/>
      </c>
      <c r="BX174" s="136">
        <f>IF(AF174&gt;0,(BP174^2),"")</f>
        <v/>
      </c>
      <c r="BY174" s="136">
        <f>IF(AJ174&gt;0,(BQ174^2),"")</f>
        <v/>
      </c>
      <c r="BZ174" s="136">
        <f>IF(AN174&gt;0,(BR174^2),"")</f>
        <v/>
      </c>
    </row>
    <row r="175" ht="18.75" customHeight="1" s="444">
      <c r="A175" s="340" t="inlineStr">
        <is>
          <t>/</t>
        </is>
      </c>
      <c r="B175" s="65">
        <f>B174+1</f>
        <v/>
      </c>
      <c r="C175" s="78" t="n"/>
      <c r="D175" s="83" t="n"/>
      <c r="E175" s="83" t="n"/>
      <c r="F175" s="329" t="n"/>
      <c r="G175" s="71" t="n">
        <v>40725</v>
      </c>
      <c r="H175" s="77" t="inlineStr">
        <is>
          <t>Compito</t>
        </is>
      </c>
      <c r="I175" s="77">
        <f>IF((V175-R175)&gt;3,"SI","")</f>
        <v/>
      </c>
      <c r="J175" s="77">
        <f>IF((U175-R175)&gt;3,"SI","")</f>
        <v/>
      </c>
      <c r="K175" s="77" t="n"/>
      <c r="L175" s="77" t="n"/>
      <c r="M175" s="137">
        <f>IF(R175&gt;0,(SQRT(BT175*(SUM(BU175:BZ175)))),"")</f>
        <v/>
      </c>
      <c r="N175" s="4">
        <f>IF(T175&gt;0,(MAX(T175,Z175,AD175,AH175,AL175,AP175))+SQRT(1.2^2+1^2),"")</f>
        <v/>
      </c>
      <c r="O175" s="3">
        <f>IF(R175="",0,10*LOG10(SUM(BG175:BL175)/(COUNT(R175,X175,AB175,AF175,AJ175,AN175))))</f>
        <v/>
      </c>
      <c r="P175" s="5">
        <f>IF(AND(Y175="",AC175="",AG175="",AK175="",AO175=""),S175,AVERAGE(S175,Y175,AC175,AG175,AK175,AO175)+STDEV(S175,Y175,AC175,AG175,AK175,AO175))</f>
        <v/>
      </c>
      <c r="Q175" s="14" t="n"/>
      <c r="R175" s="11" t="n"/>
      <c r="S175" s="12" t="n"/>
      <c r="T175" s="13" t="n"/>
      <c r="U175" s="79" t="n"/>
      <c r="V175" s="79" t="n"/>
      <c r="W175" s="10" t="n"/>
      <c r="X175" s="11" t="n"/>
      <c r="Y175" s="12" t="n"/>
      <c r="Z175" s="13" t="n"/>
      <c r="AA175" s="10" t="n"/>
      <c r="AB175" s="11" t="n"/>
      <c r="AC175" s="12" t="n"/>
      <c r="AD175" s="13" t="n"/>
      <c r="AE175" s="14" t="n"/>
      <c r="AF175" s="11" t="n"/>
      <c r="AG175" s="12" t="n"/>
      <c r="AH175" s="13" t="n"/>
      <c r="AI175" s="10" t="n"/>
      <c r="AJ175" s="11" t="n"/>
      <c r="AK175" s="12" t="n"/>
      <c r="AL175" s="13" t="n"/>
      <c r="AM175" s="10" t="n"/>
      <c r="AN175" s="11" t="n"/>
      <c r="AO175" s="12" t="n"/>
      <c r="AP175" s="13" t="n"/>
      <c r="AQ175" s="6">
        <f>IF(AND((O175)&lt;85,N175&lt;137),"NO","SI")</f>
        <v/>
      </c>
      <c r="AR175" s="7">
        <f>IF((480*(10^(7.95-(O175/10))))&lt;480,480*(10^(7.95-(O175/10))),480)</f>
        <v/>
      </c>
      <c r="AS175" s="8">
        <f>IF((480*(10^(8.45-(O175/10))))&lt;480,480*(10^(8.45-(O175/10))),480)</f>
        <v/>
      </c>
      <c r="AT175" s="9">
        <f>IF((480*(10^(8.65-(O175/10))))&lt;480,480*(10^(8.65-(O175/10))),480)</f>
        <v/>
      </c>
      <c r="AU175" s="111">
        <f>IF(O175&lt;80,"0",IF((P175-O175)&lt;=2,('DPI art.191'!$G$3-(('DPI art.191'!$F$3-'DPI art.191'!$G$3)/4)*(P175-O175-2)),('DPI art.191'!$G$3-(('DPI art.191'!$G$3-'DPI art.191'!$H$3)/8)*(P175-O175-2))))</f>
        <v/>
      </c>
      <c r="AV175" s="24">
        <f>O175-AU175</f>
        <v/>
      </c>
      <c r="AW175" s="24">
        <f>IF(N175&lt;135,N175,N175-'DPI art.191'!$I$3)</f>
        <v/>
      </c>
      <c r="AX175" s="111">
        <f>IF(I175&lt;80,"0",IF((J175-I175)&lt;=2,('DPI art.191'!$G$7-(('DPI art.191'!$F$7-'DPI art.191'!$G$7)/4)*(I175-J175-2)),('DPI art.191'!$G$7-(('DPI art.191'!$G$7-'DPI art.191'!$H$7)/8)*(J175-I175-2))))</f>
        <v/>
      </c>
      <c r="AY175" s="24">
        <f>I175-AX175</f>
        <v/>
      </c>
      <c r="AZ175" s="24">
        <f>IF(H175&lt;135,H175,H175-'DPI art.191'!$I$7)</f>
        <v/>
      </c>
      <c r="BA175" s="111">
        <f>IF(O175&lt;80,"0",IF((P175-O175)&lt;=2,('DPI art.191'!$G$5-(('DPI art.191'!$F$5-'DPI art.191'!$G$5)/4)*(P175-O175-2)),('DPI art.191'!$G$5-(('DPI art.191'!$G$5-'DPI art.191'!$H$5)/8)*(P175-O175-2))))</f>
        <v/>
      </c>
      <c r="BB175" s="24">
        <f>R175-BA175</f>
        <v/>
      </c>
      <c r="BC175" s="24">
        <f>IF(N175&lt;135,N175,N175-'DPI art.191'!$I$5)</f>
        <v/>
      </c>
      <c r="BD175" s="111">
        <f>IF(O175&lt;80,"0",IF((P175-O175)&lt;=2,('DPI art.191'!$G$7-(('DPI art.191'!$F$7-'DPI art.191'!$G$7)/4)*(O175-P175-2)),('DPI art.191'!$G$7-(('DPI art.191'!$G$7-'DPI art.191'!$H$7)/8)*(P175-O175-2))))</f>
        <v/>
      </c>
      <c r="BE175" s="24">
        <f>O175-BD175</f>
        <v/>
      </c>
      <c r="BF175" s="24">
        <f>IF(N175&lt;135,N175,N175-'DPI art.191'!$I$7)</f>
        <v/>
      </c>
      <c r="BG175" s="108">
        <f>10^(0.1*R175)</f>
        <v/>
      </c>
      <c r="BH175" s="108">
        <f>10^(0.1*X175)</f>
        <v/>
      </c>
      <c r="BI175" s="108">
        <f>10^(0.1*AB175)</f>
        <v/>
      </c>
      <c r="BJ175" s="108">
        <f>10^(0.1*AF175)</f>
        <v/>
      </c>
      <c r="BK175" s="108">
        <f>10^(0.1*AJ175)</f>
        <v/>
      </c>
      <c r="BL175" s="108">
        <f>10^(0.1*AN175)</f>
        <v/>
      </c>
      <c r="BM175" s="106">
        <f>IF(R175&gt;0,(O175-R175),"")</f>
        <v/>
      </c>
      <c r="BN175" s="106">
        <f>IF(X175&gt;0,(O175-X175),"")</f>
        <v/>
      </c>
      <c r="BO175" s="106">
        <f>IF(AB175&gt;0,(O175-AB175),"")</f>
        <v/>
      </c>
      <c r="BP175" s="106">
        <f>IF(AF175&gt;0,(O175-AF175),"")</f>
        <v/>
      </c>
      <c r="BQ175" s="106">
        <f>IF(AJ175&gt;0,(O175-AJ175),"")</f>
        <v/>
      </c>
      <c r="BR175" s="106">
        <f>IF(AN175&gt;0,(O175-AN175),"")</f>
        <v/>
      </c>
      <c r="BS175" s="106">
        <f>COUNT(BM175:BR175)</f>
        <v/>
      </c>
      <c r="BT175" s="464">
        <f>IF(BS175=0,0,IF(BS175=1,0,1/(BS175*(BS175-1))))</f>
        <v/>
      </c>
      <c r="BU175" s="136">
        <f>IF(R175&gt;0,(BM175^2),"")</f>
        <v/>
      </c>
      <c r="BV175" s="136">
        <f>IF(X175&gt;0,(BN175^2),"")</f>
        <v/>
      </c>
      <c r="BW175" s="136">
        <f>IF(AB175&gt;0,(BO175^2),"")</f>
        <v/>
      </c>
      <c r="BX175" s="136">
        <f>IF(AF175&gt;0,(BP175^2),"")</f>
        <v/>
      </c>
      <c r="BY175" s="136">
        <f>IF(AJ175&gt;0,(BQ175^2),"")</f>
        <v/>
      </c>
      <c r="BZ175" s="136">
        <f>IF(AN175&gt;0,(BR175^2),"")</f>
        <v/>
      </c>
    </row>
    <row r="176" ht="18.75" customHeight="1" s="444">
      <c r="A176" s="340" t="inlineStr">
        <is>
          <t>/</t>
        </is>
      </c>
      <c r="B176" s="65">
        <f>B175+1</f>
        <v/>
      </c>
      <c r="C176" s="78" t="n"/>
      <c r="D176" s="83" t="n"/>
      <c r="E176" s="83" t="n"/>
      <c r="F176" s="329" t="n"/>
      <c r="G176" s="71" t="n">
        <v>40725</v>
      </c>
      <c r="H176" s="77" t="inlineStr">
        <is>
          <t>Compito</t>
        </is>
      </c>
      <c r="I176" s="77">
        <f>IF((V176-R176)&gt;3,"SI","")</f>
        <v/>
      </c>
      <c r="J176" s="77">
        <f>IF((U176-R176)&gt;3,"SI","")</f>
        <v/>
      </c>
      <c r="K176" s="77" t="n"/>
      <c r="L176" s="77" t="n"/>
      <c r="M176" s="137">
        <f>IF(R176&gt;0,(SQRT(BT176*(SUM(BU176:BZ176)))),"")</f>
        <v/>
      </c>
      <c r="N176" s="4">
        <f>IF(T176&gt;0,(MAX(T176,Z176,AD176,AH176,AL176,AP176))+SQRT(1.2^2+1^2),"")</f>
        <v/>
      </c>
      <c r="O176" s="3">
        <f>IF(R176="",0,10*LOG10(SUM(BG176:BL176)/(COUNT(R176,X176,AB176,AF176,AJ176,AN176))))</f>
        <v/>
      </c>
      <c r="P176" s="5">
        <f>IF(AND(Y176="",AC176="",AG176="",AK176="",AO176=""),S176,AVERAGE(S176,Y176,AC176,AG176,AK176,AO176)+STDEV(S176,Y176,AC176,AG176,AK176,AO176))</f>
        <v/>
      </c>
      <c r="Q176" s="14" t="n"/>
      <c r="R176" s="11" t="n"/>
      <c r="S176" s="12" t="n"/>
      <c r="T176" s="13" t="n"/>
      <c r="U176" s="79" t="n"/>
      <c r="V176" s="79" t="n"/>
      <c r="W176" s="10" t="n"/>
      <c r="X176" s="11" t="n"/>
      <c r="Y176" s="12" t="n"/>
      <c r="Z176" s="13" t="n"/>
      <c r="AA176" s="10" t="n"/>
      <c r="AB176" s="11" t="n"/>
      <c r="AC176" s="12" t="n"/>
      <c r="AD176" s="13" t="n"/>
      <c r="AE176" s="14" t="n"/>
      <c r="AF176" s="11" t="n"/>
      <c r="AG176" s="12" t="n"/>
      <c r="AH176" s="13" t="n"/>
      <c r="AI176" s="10" t="n"/>
      <c r="AJ176" s="11" t="n"/>
      <c r="AK176" s="12" t="n"/>
      <c r="AL176" s="13" t="n"/>
      <c r="AM176" s="10" t="n"/>
      <c r="AN176" s="11" t="n"/>
      <c r="AO176" s="12" t="n"/>
      <c r="AP176" s="13" t="n"/>
      <c r="AQ176" s="6">
        <f>IF(AND((O176)&lt;85,N176&lt;137),"NO","SI")</f>
        <v/>
      </c>
      <c r="AR176" s="7">
        <f>IF((480*(10^(7.95-(O176/10))))&lt;480,480*(10^(7.95-(O176/10))),480)</f>
        <v/>
      </c>
      <c r="AS176" s="8">
        <f>IF((480*(10^(8.45-(O176/10))))&lt;480,480*(10^(8.45-(O176/10))),480)</f>
        <v/>
      </c>
      <c r="AT176" s="9">
        <f>IF((480*(10^(8.65-(O176/10))))&lt;480,480*(10^(8.65-(O176/10))),480)</f>
        <v/>
      </c>
      <c r="AU176" s="111">
        <f>IF(O176&lt;80,"0",IF((P176-O176)&lt;=2,('DPI art.191'!$G$3-(('DPI art.191'!$F$3-'DPI art.191'!$G$3)/4)*(P176-O176-2)),('DPI art.191'!$G$3-(('DPI art.191'!$G$3-'DPI art.191'!$H$3)/8)*(P176-O176-2))))</f>
        <v/>
      </c>
      <c r="AV176" s="24">
        <f>O176-AU176</f>
        <v/>
      </c>
      <c r="AW176" s="24">
        <f>IF(N176&lt;135,N176,N176-'DPI art.191'!$I$3)</f>
        <v/>
      </c>
      <c r="AX176" s="111">
        <f>IF(I176&lt;80,"0",IF((J176-I176)&lt;=2,('DPI art.191'!$G$7-(('DPI art.191'!$F$7-'DPI art.191'!$G$7)/4)*(I176-J176-2)),('DPI art.191'!$G$7-(('DPI art.191'!$G$7-'DPI art.191'!$H$7)/8)*(J176-I176-2))))</f>
        <v/>
      </c>
      <c r="AY176" s="24">
        <f>I176-AX176</f>
        <v/>
      </c>
      <c r="AZ176" s="24">
        <f>IF(H176&lt;135,H176,H176-'DPI art.191'!$I$7)</f>
        <v/>
      </c>
      <c r="BA176" s="111">
        <f>IF(O176&lt;80,"0",IF((P176-O176)&lt;=2,('DPI art.191'!$G$5-(('DPI art.191'!$F$5-'DPI art.191'!$G$5)/4)*(P176-O176-2)),('DPI art.191'!$G$5-(('DPI art.191'!$G$5-'DPI art.191'!$H$5)/8)*(P176-O176-2))))</f>
        <v/>
      </c>
      <c r="BB176" s="24">
        <f>R176-BA176</f>
        <v/>
      </c>
      <c r="BC176" s="24">
        <f>IF(N176&lt;135,N176,N176-'DPI art.191'!$I$5)</f>
        <v/>
      </c>
      <c r="BD176" s="111">
        <f>IF(O176&lt;80,"0",IF((P176-O176)&lt;=2,('DPI art.191'!$G$7-(('DPI art.191'!$F$7-'DPI art.191'!$G$7)/4)*(O176-P176-2)),('DPI art.191'!$G$7-(('DPI art.191'!$G$7-'DPI art.191'!$H$7)/8)*(P176-O176-2))))</f>
        <v/>
      </c>
      <c r="BE176" s="24">
        <f>O176-BD176</f>
        <v/>
      </c>
      <c r="BF176" s="24">
        <f>IF(N176&lt;135,N176,N176-'DPI art.191'!$I$7)</f>
        <v/>
      </c>
      <c r="BG176" s="108">
        <f>10^(0.1*R176)</f>
        <v/>
      </c>
      <c r="BH176" s="108">
        <f>10^(0.1*X176)</f>
        <v/>
      </c>
      <c r="BI176" s="108">
        <f>10^(0.1*AB176)</f>
        <v/>
      </c>
      <c r="BJ176" s="108">
        <f>10^(0.1*AF176)</f>
        <v/>
      </c>
      <c r="BK176" s="108">
        <f>10^(0.1*AJ176)</f>
        <v/>
      </c>
      <c r="BL176" s="108">
        <f>10^(0.1*AN176)</f>
        <v/>
      </c>
      <c r="BM176" s="106">
        <f>IF(R176&gt;0,(O176-R176),"")</f>
        <v/>
      </c>
      <c r="BN176" s="106">
        <f>IF(X176&gt;0,(O176-X176),"")</f>
        <v/>
      </c>
      <c r="BO176" s="106">
        <f>IF(AB176&gt;0,(O176-AB176),"")</f>
        <v/>
      </c>
      <c r="BP176" s="106">
        <f>IF(AF176&gt;0,(O176-AF176),"")</f>
        <v/>
      </c>
      <c r="BQ176" s="106">
        <f>IF(AJ176&gt;0,(O176-AJ176),"")</f>
        <v/>
      </c>
      <c r="BR176" s="106">
        <f>IF(AN176&gt;0,(O176-AN176),"")</f>
        <v/>
      </c>
      <c r="BS176" s="106">
        <f>COUNT(BM176:BR176)</f>
        <v/>
      </c>
      <c r="BT176" s="464">
        <f>IF(BS176=0,0,IF(BS176=1,0,1/(BS176*(BS176-1))))</f>
        <v/>
      </c>
      <c r="BU176" s="136">
        <f>IF(R176&gt;0,(BM176^2),"")</f>
        <v/>
      </c>
      <c r="BV176" s="136">
        <f>IF(X176&gt;0,(BN176^2),"")</f>
        <v/>
      </c>
      <c r="BW176" s="136">
        <f>IF(AB176&gt;0,(BO176^2),"")</f>
        <v/>
      </c>
      <c r="BX176" s="136">
        <f>IF(AF176&gt;0,(BP176^2),"")</f>
        <v/>
      </c>
      <c r="BY176" s="136">
        <f>IF(AJ176&gt;0,(BQ176^2),"")</f>
        <v/>
      </c>
      <c r="BZ176" s="136">
        <f>IF(AN176&gt;0,(BR176^2),"")</f>
        <v/>
      </c>
    </row>
    <row r="177" ht="18.75" customHeight="1" s="444">
      <c r="A177" s="340" t="inlineStr">
        <is>
          <t>/</t>
        </is>
      </c>
      <c r="B177" s="65">
        <f>B176+1</f>
        <v/>
      </c>
      <c r="C177" s="78" t="n"/>
      <c r="D177" s="83" t="n"/>
      <c r="E177" s="83" t="n"/>
      <c r="F177" s="329" t="n"/>
      <c r="G177" s="71" t="n">
        <v>40725</v>
      </c>
      <c r="H177" s="77" t="inlineStr">
        <is>
          <t>Compito</t>
        </is>
      </c>
      <c r="I177" s="77">
        <f>IF((V177-R177)&gt;3,"SI","")</f>
        <v/>
      </c>
      <c r="J177" s="77">
        <f>IF((U177-R177)&gt;3,"SI","")</f>
        <v/>
      </c>
      <c r="K177" s="77" t="n"/>
      <c r="L177" s="77" t="n"/>
      <c r="M177" s="137">
        <f>IF(R177&gt;0,(SQRT(BT177*(SUM(BU177:BZ177)))),"")</f>
        <v/>
      </c>
      <c r="N177" s="4">
        <f>IF(T177&gt;0,(MAX(T177,Z177,AD177,AH177,AL177,AP177))+SQRT(1.2^2+1^2),"")</f>
        <v/>
      </c>
      <c r="O177" s="3">
        <f>IF(R177="",0,10*LOG10(SUM(BG177:BL177)/(COUNT(R177,X177,AB177,AF177,AJ177,AN177))))</f>
        <v/>
      </c>
      <c r="P177" s="5">
        <f>IF(AND(Y177="",AC177="",AG177="",AK177="",AO177=""),S177,AVERAGE(S177,Y177,AC177,AG177,AK177,AO177)+STDEV(S177,Y177,AC177,AG177,AK177,AO177))</f>
        <v/>
      </c>
      <c r="Q177" s="14" t="n"/>
      <c r="R177" s="11" t="n"/>
      <c r="S177" s="12" t="n"/>
      <c r="T177" s="13" t="n"/>
      <c r="U177" s="79" t="n"/>
      <c r="V177" s="79" t="n"/>
      <c r="W177" s="10" t="n"/>
      <c r="X177" s="11" t="n"/>
      <c r="Y177" s="12" t="n"/>
      <c r="Z177" s="13" t="n"/>
      <c r="AA177" s="10" t="n"/>
      <c r="AB177" s="11" t="n"/>
      <c r="AC177" s="12" t="n"/>
      <c r="AD177" s="13" t="n"/>
      <c r="AE177" s="14" t="n"/>
      <c r="AF177" s="11" t="n"/>
      <c r="AG177" s="12" t="n"/>
      <c r="AH177" s="13" t="n"/>
      <c r="AI177" s="10" t="n"/>
      <c r="AJ177" s="11" t="n"/>
      <c r="AK177" s="12" t="n"/>
      <c r="AL177" s="13" t="n"/>
      <c r="AM177" s="10" t="n"/>
      <c r="AN177" s="11" t="n"/>
      <c r="AO177" s="12" t="n"/>
      <c r="AP177" s="13" t="n"/>
      <c r="AQ177" s="6">
        <f>IF(AND((O177)&lt;85,N177&lt;137),"NO","SI")</f>
        <v/>
      </c>
      <c r="AR177" s="7">
        <f>IF((480*(10^(7.95-(O177/10))))&lt;480,480*(10^(7.95-(O177/10))),480)</f>
        <v/>
      </c>
      <c r="AS177" s="8">
        <f>IF((480*(10^(8.45-(O177/10))))&lt;480,480*(10^(8.45-(O177/10))),480)</f>
        <v/>
      </c>
      <c r="AT177" s="9">
        <f>IF((480*(10^(8.65-(O177/10))))&lt;480,480*(10^(8.65-(O177/10))),480)</f>
        <v/>
      </c>
      <c r="AU177" s="111">
        <f>IF(O177&lt;80,"0",IF((P177-O177)&lt;=2,('DPI art.191'!$G$3-(('DPI art.191'!$F$3-'DPI art.191'!$G$3)/4)*(P177-O177-2)),('DPI art.191'!$G$3-(('DPI art.191'!$G$3-'DPI art.191'!$H$3)/8)*(P177-O177-2))))</f>
        <v/>
      </c>
      <c r="AV177" s="24">
        <f>O177-AU177</f>
        <v/>
      </c>
      <c r="AW177" s="24">
        <f>IF(N177&lt;135,N177,N177-'DPI art.191'!$I$3)</f>
        <v/>
      </c>
      <c r="AX177" s="111">
        <f>IF(I177&lt;80,"0",IF((J177-I177)&lt;=2,('DPI art.191'!$G$7-(('DPI art.191'!$F$7-'DPI art.191'!$G$7)/4)*(I177-J177-2)),('DPI art.191'!$G$7-(('DPI art.191'!$G$7-'DPI art.191'!$H$7)/8)*(J177-I177-2))))</f>
        <v/>
      </c>
      <c r="AY177" s="24">
        <f>I177-AX177</f>
        <v/>
      </c>
      <c r="AZ177" s="24">
        <f>IF(H177&lt;135,H177,H177-'DPI art.191'!$I$7)</f>
        <v/>
      </c>
      <c r="BA177" s="111">
        <f>IF(O177&lt;80,"0",IF((P177-O177)&lt;=2,('DPI art.191'!$G$5-(('DPI art.191'!$F$5-'DPI art.191'!$G$5)/4)*(P177-O177-2)),('DPI art.191'!$G$5-(('DPI art.191'!$G$5-'DPI art.191'!$H$5)/8)*(P177-O177-2))))</f>
        <v/>
      </c>
      <c r="BB177" s="24">
        <f>R177-BA177</f>
        <v/>
      </c>
      <c r="BC177" s="24">
        <f>IF(N177&lt;135,N177,N177-'DPI art.191'!$I$5)</f>
        <v/>
      </c>
      <c r="BD177" s="111">
        <f>IF(O177&lt;80,"0",IF((P177-O177)&lt;=2,('DPI art.191'!$G$7-(('DPI art.191'!$F$7-'DPI art.191'!$G$7)/4)*(O177-P177-2)),('DPI art.191'!$G$7-(('DPI art.191'!$G$7-'DPI art.191'!$H$7)/8)*(P177-O177-2))))</f>
        <v/>
      </c>
      <c r="BE177" s="24">
        <f>O177-BD177</f>
        <v/>
      </c>
      <c r="BF177" s="24">
        <f>IF(N177&lt;135,N177,N177-'DPI art.191'!$I$7)</f>
        <v/>
      </c>
      <c r="BG177" s="108">
        <f>10^(0.1*R177)</f>
        <v/>
      </c>
      <c r="BH177" s="108">
        <f>10^(0.1*X177)</f>
        <v/>
      </c>
      <c r="BI177" s="108">
        <f>10^(0.1*AB177)</f>
        <v/>
      </c>
      <c r="BJ177" s="108">
        <f>10^(0.1*AF177)</f>
        <v/>
      </c>
      <c r="BK177" s="108">
        <f>10^(0.1*AJ177)</f>
        <v/>
      </c>
      <c r="BL177" s="108">
        <f>10^(0.1*AN177)</f>
        <v/>
      </c>
      <c r="BM177" s="106">
        <f>IF(R177&gt;0,(O177-R177),"")</f>
        <v/>
      </c>
      <c r="BN177" s="106">
        <f>IF(X177&gt;0,(O177-X177),"")</f>
        <v/>
      </c>
      <c r="BO177" s="106">
        <f>IF(AB177&gt;0,(O177-AB177),"")</f>
        <v/>
      </c>
      <c r="BP177" s="106">
        <f>IF(AF177&gt;0,(O177-AF177),"")</f>
        <v/>
      </c>
      <c r="BQ177" s="106">
        <f>IF(AJ177&gt;0,(O177-AJ177),"")</f>
        <v/>
      </c>
      <c r="BR177" s="106">
        <f>IF(AN177&gt;0,(O177-AN177),"")</f>
        <v/>
      </c>
      <c r="BS177" s="106">
        <f>COUNT(BM177:BR177)</f>
        <v/>
      </c>
      <c r="BT177" s="464">
        <f>IF(BS177=0,0,IF(BS177=1,0,1/(BS177*(BS177-1))))</f>
        <v/>
      </c>
      <c r="BU177" s="136">
        <f>IF(R177&gt;0,(BM177^2),"")</f>
        <v/>
      </c>
      <c r="BV177" s="136">
        <f>IF(X177&gt;0,(BN177^2),"")</f>
        <v/>
      </c>
      <c r="BW177" s="136">
        <f>IF(AB177&gt;0,(BO177^2),"")</f>
        <v/>
      </c>
      <c r="BX177" s="136">
        <f>IF(AF177&gt;0,(BP177^2),"")</f>
        <v/>
      </c>
      <c r="BY177" s="136">
        <f>IF(AJ177&gt;0,(BQ177^2),"")</f>
        <v/>
      </c>
      <c r="BZ177" s="136">
        <f>IF(AN177&gt;0,(BR177^2),"")</f>
        <v/>
      </c>
    </row>
    <row r="178" ht="18.75" customHeight="1" s="444">
      <c r="A178" s="340" t="inlineStr">
        <is>
          <t>/</t>
        </is>
      </c>
      <c r="B178" s="65">
        <f>B177+1</f>
        <v/>
      </c>
      <c r="C178" s="78" t="n"/>
      <c r="D178" s="83" t="n"/>
      <c r="E178" s="83" t="n"/>
      <c r="F178" s="329" t="n"/>
      <c r="G178" s="71" t="n">
        <v>40725</v>
      </c>
      <c r="H178" s="77" t="inlineStr">
        <is>
          <t>Compito</t>
        </is>
      </c>
      <c r="I178" s="77">
        <f>IF((V178-R178)&gt;3,"SI","")</f>
        <v/>
      </c>
      <c r="J178" s="77">
        <f>IF((U178-R178)&gt;3,"SI","")</f>
        <v/>
      </c>
      <c r="K178" s="77" t="n"/>
      <c r="L178" s="77" t="n"/>
      <c r="M178" s="137">
        <f>IF(R178&gt;0,(SQRT(BT178*(SUM(BU178:BZ178)))),"")</f>
        <v/>
      </c>
      <c r="N178" s="4">
        <f>IF(T178&gt;0,(MAX(T178,Z178,AD178,AH178,AL178,AP178))+SQRT(1.2^2+1^2),"")</f>
        <v/>
      </c>
      <c r="O178" s="3">
        <f>IF(R178="",0,10*LOG10(SUM(BG178:BL178)/(COUNT(R178,X178,AB178,AF178,AJ178,AN178))))</f>
        <v/>
      </c>
      <c r="P178" s="5">
        <f>IF(AND(Y178="",AC178="",AG178="",AK178="",AO178=""),S178,AVERAGE(S178,Y178,AC178,AG178,AK178,AO178)+STDEV(S178,Y178,AC178,AG178,AK178,AO178))</f>
        <v/>
      </c>
      <c r="Q178" s="14" t="n"/>
      <c r="R178" s="11" t="n"/>
      <c r="S178" s="12" t="n"/>
      <c r="T178" s="13" t="n"/>
      <c r="U178" s="79" t="n"/>
      <c r="V178" s="79" t="n"/>
      <c r="W178" s="10" t="n"/>
      <c r="X178" s="11" t="n"/>
      <c r="Y178" s="12" t="n"/>
      <c r="Z178" s="13" t="n"/>
      <c r="AA178" s="10" t="n"/>
      <c r="AB178" s="11" t="n"/>
      <c r="AC178" s="12" t="n"/>
      <c r="AD178" s="13" t="n"/>
      <c r="AE178" s="14" t="n"/>
      <c r="AF178" s="11" t="n"/>
      <c r="AG178" s="12" t="n"/>
      <c r="AH178" s="13" t="n"/>
      <c r="AI178" s="10" t="n"/>
      <c r="AJ178" s="11" t="n"/>
      <c r="AK178" s="12" t="n"/>
      <c r="AL178" s="13" t="n"/>
      <c r="AM178" s="10" t="n"/>
      <c r="AN178" s="11" t="n"/>
      <c r="AO178" s="12" t="n"/>
      <c r="AP178" s="13" t="n"/>
      <c r="AQ178" s="6">
        <f>IF(AND((O178)&lt;85,N178&lt;137),"NO","SI")</f>
        <v/>
      </c>
      <c r="AR178" s="7">
        <f>IF((480*(10^(7.95-(O178/10))))&lt;480,480*(10^(7.95-(O178/10))),480)</f>
        <v/>
      </c>
      <c r="AS178" s="8">
        <f>IF((480*(10^(8.45-(O178/10))))&lt;480,480*(10^(8.45-(O178/10))),480)</f>
        <v/>
      </c>
      <c r="AT178" s="9">
        <f>IF((480*(10^(8.65-(O178/10))))&lt;480,480*(10^(8.65-(O178/10))),480)</f>
        <v/>
      </c>
      <c r="AU178" s="111">
        <f>IF(O178&lt;80,"0",IF((P178-O178)&lt;=2,('DPI art.191'!$G$3-(('DPI art.191'!$F$3-'DPI art.191'!$G$3)/4)*(P178-O178-2)),('DPI art.191'!$G$3-(('DPI art.191'!$G$3-'DPI art.191'!$H$3)/8)*(P178-O178-2))))</f>
        <v/>
      </c>
      <c r="AV178" s="24">
        <f>O178-AU178</f>
        <v/>
      </c>
      <c r="AW178" s="24">
        <f>IF(N178&lt;135,N178,N178-'DPI art.191'!$I$3)</f>
        <v/>
      </c>
      <c r="AX178" s="111">
        <f>IF(I178&lt;80,"0",IF((J178-I178)&lt;=2,('DPI art.191'!$G$7-(('DPI art.191'!$F$7-'DPI art.191'!$G$7)/4)*(I178-J178-2)),('DPI art.191'!$G$7-(('DPI art.191'!$G$7-'DPI art.191'!$H$7)/8)*(J178-I178-2))))</f>
        <v/>
      </c>
      <c r="AY178" s="24">
        <f>I178-AX178</f>
        <v/>
      </c>
      <c r="AZ178" s="24">
        <f>IF(H178&lt;135,H178,H178-'DPI art.191'!$I$7)</f>
        <v/>
      </c>
      <c r="BA178" s="111">
        <f>IF(O178&lt;80,"0",IF((P178-O178)&lt;=2,('DPI art.191'!$G$5-(('DPI art.191'!$F$5-'DPI art.191'!$G$5)/4)*(P178-O178-2)),('DPI art.191'!$G$5-(('DPI art.191'!$G$5-'DPI art.191'!$H$5)/8)*(P178-O178-2))))</f>
        <v/>
      </c>
      <c r="BB178" s="24">
        <f>R178-BA178</f>
        <v/>
      </c>
      <c r="BC178" s="24">
        <f>IF(N178&lt;135,N178,N178-'DPI art.191'!$I$5)</f>
        <v/>
      </c>
      <c r="BD178" s="111">
        <f>IF(O178&lt;80,"0",IF((P178-O178)&lt;=2,('DPI art.191'!$G$7-(('DPI art.191'!$F$7-'DPI art.191'!$G$7)/4)*(O178-P178-2)),('DPI art.191'!$G$7-(('DPI art.191'!$G$7-'DPI art.191'!$H$7)/8)*(P178-O178-2))))</f>
        <v/>
      </c>
      <c r="BE178" s="24">
        <f>O178-BD178</f>
        <v/>
      </c>
      <c r="BF178" s="24">
        <f>IF(N178&lt;135,N178,N178-'DPI art.191'!$I$7)</f>
        <v/>
      </c>
      <c r="BG178" s="108">
        <f>10^(0.1*R178)</f>
        <v/>
      </c>
      <c r="BH178" s="108">
        <f>10^(0.1*X178)</f>
        <v/>
      </c>
      <c r="BI178" s="108">
        <f>10^(0.1*AB178)</f>
        <v/>
      </c>
      <c r="BJ178" s="108">
        <f>10^(0.1*AF178)</f>
        <v/>
      </c>
      <c r="BK178" s="108">
        <f>10^(0.1*AJ178)</f>
        <v/>
      </c>
      <c r="BL178" s="108">
        <f>10^(0.1*AN178)</f>
        <v/>
      </c>
      <c r="BM178" s="106">
        <f>IF(R178&gt;0,(O178-R178),"")</f>
        <v/>
      </c>
      <c r="BN178" s="106">
        <f>IF(X178&gt;0,(O178-X178),"")</f>
        <v/>
      </c>
      <c r="BO178" s="106">
        <f>IF(AB178&gt;0,(O178-AB178),"")</f>
        <v/>
      </c>
      <c r="BP178" s="106">
        <f>IF(AF178&gt;0,(O178-AF178),"")</f>
        <v/>
      </c>
      <c r="BQ178" s="106">
        <f>IF(AJ178&gt;0,(O178-AJ178),"")</f>
        <v/>
      </c>
      <c r="BR178" s="106">
        <f>IF(AN178&gt;0,(O178-AN178),"")</f>
        <v/>
      </c>
      <c r="BS178" s="106">
        <f>COUNT(BM178:BR178)</f>
        <v/>
      </c>
      <c r="BT178" s="464">
        <f>IF(BS178=0,0,IF(BS178=1,0,1/(BS178*(BS178-1))))</f>
        <v/>
      </c>
      <c r="BU178" s="136">
        <f>IF(R178&gt;0,(BM178^2),"")</f>
        <v/>
      </c>
      <c r="BV178" s="136">
        <f>IF(X178&gt;0,(BN178^2),"")</f>
        <v/>
      </c>
      <c r="BW178" s="136">
        <f>IF(AB178&gt;0,(BO178^2),"")</f>
        <v/>
      </c>
      <c r="BX178" s="136">
        <f>IF(AF178&gt;0,(BP178^2),"")</f>
        <v/>
      </c>
      <c r="BY178" s="136">
        <f>IF(AJ178&gt;0,(BQ178^2),"")</f>
        <v/>
      </c>
      <c r="BZ178" s="136">
        <f>IF(AN178&gt;0,(BR178^2),"")</f>
        <v/>
      </c>
    </row>
    <row r="179" ht="18.75" customHeight="1" s="444">
      <c r="A179" s="340" t="inlineStr">
        <is>
          <t>/</t>
        </is>
      </c>
      <c r="B179" s="65">
        <f>B178+1</f>
        <v/>
      </c>
      <c r="C179" s="78" t="n"/>
      <c r="D179" s="83" t="n"/>
      <c r="E179" s="83" t="n"/>
      <c r="F179" s="329" t="n"/>
      <c r="G179" s="71" t="n">
        <v>40725</v>
      </c>
      <c r="H179" s="77" t="inlineStr">
        <is>
          <t>Compito</t>
        </is>
      </c>
      <c r="I179" s="77">
        <f>IF((V179-R179)&gt;3,"SI","")</f>
        <v/>
      </c>
      <c r="J179" s="77">
        <f>IF((U179-R179)&gt;3,"SI","")</f>
        <v/>
      </c>
      <c r="K179" s="77" t="n"/>
      <c r="L179" s="77" t="n"/>
      <c r="M179" s="137">
        <f>IF(R179&gt;0,(SQRT(BT179*(SUM(BU179:BZ179)))),"")</f>
        <v/>
      </c>
      <c r="N179" s="4">
        <f>IF(T179&gt;0,(MAX(T179,Z179,AD179,AH179,AL179,AP179))+SQRT(1.2^2+1^2),"")</f>
        <v/>
      </c>
      <c r="O179" s="3">
        <f>IF(R179="",0,10*LOG10(SUM(BG179:BL179)/(COUNT(R179,X179,AB179,AF179,AJ179,AN179))))</f>
        <v/>
      </c>
      <c r="P179" s="5">
        <f>IF(AND(Y179="",AC179="",AG179="",AK179="",AO179=""),S179,AVERAGE(S179,Y179,AC179,AG179,AK179,AO179)+STDEV(S179,Y179,AC179,AG179,AK179,AO179))</f>
        <v/>
      </c>
      <c r="Q179" s="14" t="n"/>
      <c r="R179" s="11" t="n"/>
      <c r="S179" s="12" t="n"/>
      <c r="T179" s="13" t="n"/>
      <c r="U179" s="79" t="n"/>
      <c r="V179" s="79" t="n"/>
      <c r="W179" s="10" t="n"/>
      <c r="X179" s="11" t="n"/>
      <c r="Y179" s="12" t="n"/>
      <c r="Z179" s="13" t="n"/>
      <c r="AA179" s="10" t="n"/>
      <c r="AB179" s="11" t="n"/>
      <c r="AC179" s="12" t="n"/>
      <c r="AD179" s="13" t="n"/>
      <c r="AE179" s="14" t="n"/>
      <c r="AF179" s="11" t="n"/>
      <c r="AG179" s="12" t="n"/>
      <c r="AH179" s="13" t="n"/>
      <c r="AI179" s="10" t="n"/>
      <c r="AJ179" s="11" t="n"/>
      <c r="AK179" s="12" t="n"/>
      <c r="AL179" s="13" t="n"/>
      <c r="AM179" s="10" t="n"/>
      <c r="AN179" s="11" t="n"/>
      <c r="AO179" s="12" t="n"/>
      <c r="AP179" s="13" t="n"/>
      <c r="AQ179" s="6">
        <f>IF(AND((O179)&lt;85,N179&lt;137),"NO","SI")</f>
        <v/>
      </c>
      <c r="AR179" s="7">
        <f>IF((480*(10^(7.95-(O179/10))))&lt;480,480*(10^(7.95-(O179/10))),480)</f>
        <v/>
      </c>
      <c r="AS179" s="8">
        <f>IF((480*(10^(8.45-(O179/10))))&lt;480,480*(10^(8.45-(O179/10))),480)</f>
        <v/>
      </c>
      <c r="AT179" s="9">
        <f>IF((480*(10^(8.65-(O179/10))))&lt;480,480*(10^(8.65-(O179/10))),480)</f>
        <v/>
      </c>
      <c r="AU179" s="111">
        <f>IF(O179&lt;80,"0",IF((P179-O179)&lt;=2,('DPI art.191'!$G$3-(('DPI art.191'!$F$3-'DPI art.191'!$G$3)/4)*(P179-O179-2)),('DPI art.191'!$G$3-(('DPI art.191'!$G$3-'DPI art.191'!$H$3)/8)*(P179-O179-2))))</f>
        <v/>
      </c>
      <c r="AV179" s="24">
        <f>O179-AU179</f>
        <v/>
      </c>
      <c r="AW179" s="24">
        <f>IF(N179&lt;135,N179,N179-'DPI art.191'!$I$3)</f>
        <v/>
      </c>
      <c r="AX179" s="111">
        <f>IF(I179&lt;80,"0",IF((J179-I179)&lt;=2,('DPI art.191'!$G$7-(('DPI art.191'!$F$7-'DPI art.191'!$G$7)/4)*(I179-J179-2)),('DPI art.191'!$G$7-(('DPI art.191'!$G$7-'DPI art.191'!$H$7)/8)*(J179-I179-2))))</f>
        <v/>
      </c>
      <c r="AY179" s="24">
        <f>I179-AX179</f>
        <v/>
      </c>
      <c r="AZ179" s="24">
        <f>IF(H179&lt;135,H179,H179-'DPI art.191'!$I$7)</f>
        <v/>
      </c>
      <c r="BA179" s="111">
        <f>IF(O179&lt;80,"0",IF((P179-O179)&lt;=2,('DPI art.191'!$G$5-(('DPI art.191'!$F$5-'DPI art.191'!$G$5)/4)*(P179-O179-2)),('DPI art.191'!$G$5-(('DPI art.191'!$G$5-'DPI art.191'!$H$5)/8)*(P179-O179-2))))</f>
        <v/>
      </c>
      <c r="BB179" s="24">
        <f>R179-BA179</f>
        <v/>
      </c>
      <c r="BC179" s="24">
        <f>IF(N179&lt;135,N179,N179-'DPI art.191'!$I$5)</f>
        <v/>
      </c>
      <c r="BD179" s="111">
        <f>IF(O179&lt;80,"0",IF((P179-O179)&lt;=2,('DPI art.191'!$G$7-(('DPI art.191'!$F$7-'DPI art.191'!$G$7)/4)*(O179-P179-2)),('DPI art.191'!$G$7-(('DPI art.191'!$G$7-'DPI art.191'!$H$7)/8)*(P179-O179-2))))</f>
        <v/>
      </c>
      <c r="BE179" s="24">
        <f>O179-BD179</f>
        <v/>
      </c>
      <c r="BF179" s="24">
        <f>IF(N179&lt;135,N179,N179-'DPI art.191'!$I$7)</f>
        <v/>
      </c>
      <c r="BG179" s="108">
        <f>10^(0.1*R179)</f>
        <v/>
      </c>
      <c r="BH179" s="108">
        <f>10^(0.1*X179)</f>
        <v/>
      </c>
      <c r="BI179" s="108">
        <f>10^(0.1*AB179)</f>
        <v/>
      </c>
      <c r="BJ179" s="108">
        <f>10^(0.1*AF179)</f>
        <v/>
      </c>
      <c r="BK179" s="108">
        <f>10^(0.1*AJ179)</f>
        <v/>
      </c>
      <c r="BL179" s="108">
        <f>10^(0.1*AN179)</f>
        <v/>
      </c>
      <c r="BM179" s="106">
        <f>IF(R179&gt;0,(O179-R179),"")</f>
        <v/>
      </c>
      <c r="BN179" s="106">
        <f>IF(X179&gt;0,(O179-X179),"")</f>
        <v/>
      </c>
      <c r="BO179" s="106">
        <f>IF(AB179&gt;0,(O179-AB179),"")</f>
        <v/>
      </c>
      <c r="BP179" s="106">
        <f>IF(AF179&gt;0,(O179-AF179),"")</f>
        <v/>
      </c>
      <c r="BQ179" s="106">
        <f>IF(AJ179&gt;0,(O179-AJ179),"")</f>
        <v/>
      </c>
      <c r="BR179" s="106">
        <f>IF(AN179&gt;0,(O179-AN179),"")</f>
        <v/>
      </c>
      <c r="BS179" s="106">
        <f>COUNT(BM179:BR179)</f>
        <v/>
      </c>
      <c r="BT179" s="464">
        <f>IF(BS179=0,0,IF(BS179=1,0,1/(BS179*(BS179-1))))</f>
        <v/>
      </c>
      <c r="BU179" s="136">
        <f>IF(R179&gt;0,(BM179^2),"")</f>
        <v/>
      </c>
      <c r="BV179" s="136">
        <f>IF(X179&gt;0,(BN179^2),"")</f>
        <v/>
      </c>
      <c r="BW179" s="136">
        <f>IF(AB179&gt;0,(BO179^2),"")</f>
        <v/>
      </c>
      <c r="BX179" s="136">
        <f>IF(AF179&gt;0,(BP179^2),"")</f>
        <v/>
      </c>
      <c r="BY179" s="136">
        <f>IF(AJ179&gt;0,(BQ179^2),"")</f>
        <v/>
      </c>
      <c r="BZ179" s="136">
        <f>IF(AN179&gt;0,(BR179^2),"")</f>
        <v/>
      </c>
    </row>
    <row r="180" ht="18.75" customHeight="1" s="444">
      <c r="A180" s="340" t="inlineStr">
        <is>
          <t>/</t>
        </is>
      </c>
      <c r="B180" s="65">
        <f>B179+1</f>
        <v/>
      </c>
      <c r="C180" s="78" t="n"/>
      <c r="D180" s="83" t="n"/>
      <c r="E180" s="83" t="n"/>
      <c r="F180" s="329" t="n"/>
      <c r="G180" s="71" t="n">
        <v>40725</v>
      </c>
      <c r="H180" s="77" t="inlineStr">
        <is>
          <t>Compito</t>
        </is>
      </c>
      <c r="I180" s="77">
        <f>IF((V180-R180)&gt;3,"SI","")</f>
        <v/>
      </c>
      <c r="J180" s="77">
        <f>IF((U180-R180)&gt;3,"SI","")</f>
        <v/>
      </c>
      <c r="K180" s="77" t="n"/>
      <c r="L180" s="77" t="n"/>
      <c r="M180" s="137">
        <f>IF(R180&gt;0,(SQRT(BT180*(SUM(BU180:BZ180)))),"")</f>
        <v/>
      </c>
      <c r="N180" s="4">
        <f>IF(T180&gt;0,(MAX(T180,Z180,AD180,AH180,AL180,AP180))+SQRT(1.2^2+1^2),"")</f>
        <v/>
      </c>
      <c r="O180" s="3">
        <f>IF(R180="",0,10*LOG10(SUM(BG180:BL180)/(COUNT(R180,X180,AB180,AF180,AJ180,AN180))))</f>
        <v/>
      </c>
      <c r="P180" s="5">
        <f>IF(AND(Y180="",AC180="",AG180="",AK180="",AO180=""),S180,AVERAGE(S180,Y180,AC180,AG180,AK180,AO180)+STDEV(S180,Y180,AC180,AG180,AK180,AO180))</f>
        <v/>
      </c>
      <c r="Q180" s="14" t="n"/>
      <c r="R180" s="11" t="n"/>
      <c r="S180" s="12" t="n"/>
      <c r="T180" s="13" t="n"/>
      <c r="U180" s="79" t="n"/>
      <c r="V180" s="79" t="n"/>
      <c r="W180" s="10" t="n"/>
      <c r="X180" s="11" t="n"/>
      <c r="Y180" s="12" t="n"/>
      <c r="Z180" s="13" t="n"/>
      <c r="AA180" s="10" t="n"/>
      <c r="AB180" s="11" t="n"/>
      <c r="AC180" s="12" t="n"/>
      <c r="AD180" s="13" t="n"/>
      <c r="AE180" s="14" t="n"/>
      <c r="AF180" s="11" t="n"/>
      <c r="AG180" s="12" t="n"/>
      <c r="AH180" s="13" t="n"/>
      <c r="AI180" s="10" t="n"/>
      <c r="AJ180" s="11" t="n"/>
      <c r="AK180" s="12" t="n"/>
      <c r="AL180" s="13" t="n"/>
      <c r="AM180" s="10" t="n"/>
      <c r="AN180" s="11" t="n"/>
      <c r="AO180" s="12" t="n"/>
      <c r="AP180" s="13" t="n"/>
      <c r="AQ180" s="6">
        <f>IF(AND((O180)&lt;85,N180&lt;137),"NO","SI")</f>
        <v/>
      </c>
      <c r="AR180" s="7">
        <f>IF((480*(10^(7.95-(O180/10))))&lt;480,480*(10^(7.95-(O180/10))),480)</f>
        <v/>
      </c>
      <c r="AS180" s="8">
        <f>IF((480*(10^(8.45-(O180/10))))&lt;480,480*(10^(8.45-(O180/10))),480)</f>
        <v/>
      </c>
      <c r="AT180" s="9">
        <f>IF((480*(10^(8.65-(O180/10))))&lt;480,480*(10^(8.65-(O180/10))),480)</f>
        <v/>
      </c>
      <c r="AU180" s="111">
        <f>IF(O180&lt;80,"0",IF((P180-O180)&lt;=2,('DPI art.191'!$G$3-(('DPI art.191'!$F$3-'DPI art.191'!$G$3)/4)*(P180-O180-2)),('DPI art.191'!$G$3-(('DPI art.191'!$G$3-'DPI art.191'!$H$3)/8)*(P180-O180-2))))</f>
        <v/>
      </c>
      <c r="AV180" s="24">
        <f>O180-AU180</f>
        <v/>
      </c>
      <c r="AW180" s="24">
        <f>IF(N180&lt;135,N180,N180-'DPI art.191'!$I$3)</f>
        <v/>
      </c>
      <c r="AX180" s="111">
        <f>IF(I180&lt;80,"0",IF((J180-I180)&lt;=2,('DPI art.191'!$G$7-(('DPI art.191'!$F$7-'DPI art.191'!$G$7)/4)*(I180-J180-2)),('DPI art.191'!$G$7-(('DPI art.191'!$G$7-'DPI art.191'!$H$7)/8)*(J180-I180-2))))</f>
        <v/>
      </c>
      <c r="AY180" s="24">
        <f>I180-AX180</f>
        <v/>
      </c>
      <c r="AZ180" s="24">
        <f>IF(H180&lt;135,H180,H180-'DPI art.191'!$I$7)</f>
        <v/>
      </c>
      <c r="BA180" s="111">
        <f>IF(O180&lt;80,"0",IF((P180-O180)&lt;=2,('DPI art.191'!$G$5-(('DPI art.191'!$F$5-'DPI art.191'!$G$5)/4)*(P180-O180-2)),('DPI art.191'!$G$5-(('DPI art.191'!$G$5-'DPI art.191'!$H$5)/8)*(P180-O180-2))))</f>
        <v/>
      </c>
      <c r="BB180" s="24">
        <f>R180-BA180</f>
        <v/>
      </c>
      <c r="BC180" s="24">
        <f>IF(N180&lt;135,N180,N180-'DPI art.191'!$I$5)</f>
        <v/>
      </c>
      <c r="BD180" s="111">
        <f>IF(O180&lt;80,"0",IF((P180-O180)&lt;=2,('DPI art.191'!$G$7-(('DPI art.191'!$F$7-'DPI art.191'!$G$7)/4)*(O180-P180-2)),('DPI art.191'!$G$7-(('DPI art.191'!$G$7-'DPI art.191'!$H$7)/8)*(P180-O180-2))))</f>
        <v/>
      </c>
      <c r="BE180" s="24">
        <f>O180-BD180</f>
        <v/>
      </c>
      <c r="BF180" s="24">
        <f>IF(N180&lt;135,N180,N180-'DPI art.191'!$I$7)</f>
        <v/>
      </c>
      <c r="BG180" s="108">
        <f>10^(0.1*R180)</f>
        <v/>
      </c>
      <c r="BH180" s="108">
        <f>10^(0.1*X180)</f>
        <v/>
      </c>
      <c r="BI180" s="108">
        <f>10^(0.1*AB180)</f>
        <v/>
      </c>
      <c r="BJ180" s="108">
        <f>10^(0.1*AF180)</f>
        <v/>
      </c>
      <c r="BK180" s="108">
        <f>10^(0.1*AJ180)</f>
        <v/>
      </c>
      <c r="BL180" s="108">
        <f>10^(0.1*AN180)</f>
        <v/>
      </c>
      <c r="BM180" s="106">
        <f>IF(R180&gt;0,(O180-R180),"")</f>
        <v/>
      </c>
      <c r="BN180" s="106">
        <f>IF(X180&gt;0,(O180-X180),"")</f>
        <v/>
      </c>
      <c r="BO180" s="106">
        <f>IF(AB180&gt;0,(O180-AB180),"")</f>
        <v/>
      </c>
      <c r="BP180" s="106">
        <f>IF(AF180&gt;0,(O180-AF180),"")</f>
        <v/>
      </c>
      <c r="BQ180" s="106">
        <f>IF(AJ180&gt;0,(O180-AJ180),"")</f>
        <v/>
      </c>
      <c r="BR180" s="106">
        <f>IF(AN180&gt;0,(O180-AN180),"")</f>
        <v/>
      </c>
      <c r="BS180" s="106">
        <f>COUNT(BM180:BR180)</f>
        <v/>
      </c>
      <c r="BT180" s="464">
        <f>IF(BS180=0,0,IF(BS180=1,0,1/(BS180*(BS180-1))))</f>
        <v/>
      </c>
      <c r="BU180" s="136">
        <f>IF(R180&gt;0,(BM180^2),"")</f>
        <v/>
      </c>
      <c r="BV180" s="136">
        <f>IF(X180&gt;0,(BN180^2),"")</f>
        <v/>
      </c>
      <c r="BW180" s="136">
        <f>IF(AB180&gt;0,(BO180^2),"")</f>
        <v/>
      </c>
      <c r="BX180" s="136">
        <f>IF(AF180&gt;0,(BP180^2),"")</f>
        <v/>
      </c>
      <c r="BY180" s="136">
        <f>IF(AJ180&gt;0,(BQ180^2),"")</f>
        <v/>
      </c>
      <c r="BZ180" s="136">
        <f>IF(AN180&gt;0,(BR180^2),"")</f>
        <v/>
      </c>
    </row>
    <row r="181" ht="18.75" customHeight="1" s="444">
      <c r="A181" s="340" t="inlineStr">
        <is>
          <t>/</t>
        </is>
      </c>
      <c r="B181" s="65">
        <f>B180+1</f>
        <v/>
      </c>
      <c r="C181" s="78" t="n"/>
      <c r="D181" s="83" t="n"/>
      <c r="E181" s="83" t="n"/>
      <c r="F181" s="329" t="n"/>
      <c r="G181" s="71" t="n"/>
      <c r="H181" s="77" t="inlineStr">
        <is>
          <t>Compito</t>
        </is>
      </c>
      <c r="I181" s="77">
        <f>IF((V181-R181)&gt;3,"SI","")</f>
        <v/>
      </c>
      <c r="J181" s="77">
        <f>IF((U181-R181)&gt;3,"SI","")</f>
        <v/>
      </c>
      <c r="K181" s="77" t="n"/>
      <c r="L181" s="77" t="n"/>
      <c r="M181" s="137">
        <f>IF(R181&gt;0,(SQRT(BT181*(SUM(BU181:BZ181)))),"")</f>
        <v/>
      </c>
      <c r="N181" s="4">
        <f>IF(T181&gt;0,(MAX(T181,Z181,AD181,AH181,AL181,AP181))+SQRT(1.2^2+1^2),"")</f>
        <v/>
      </c>
      <c r="O181" s="3">
        <f>IF(R181="",0,10*LOG10(SUM(BG181:BL181)/(COUNT(R181,X181,AB181,AF181,AJ181,AN181))))</f>
        <v/>
      </c>
      <c r="P181" s="5">
        <f>IF(AND(Y181="",AC181="",AG181="",AK181="",AO181=""),S181,AVERAGE(S181,Y181,AC181,AG181,AK181,AO181)+STDEV(S181,Y181,AC181,AG181,AK181,AO181))</f>
        <v/>
      </c>
      <c r="Q181" s="14" t="n"/>
      <c r="R181" s="11" t="n"/>
      <c r="S181" s="12" t="n"/>
      <c r="T181" s="13" t="n"/>
      <c r="U181" s="79" t="n"/>
      <c r="V181" s="79" t="n"/>
      <c r="W181" s="10" t="n"/>
      <c r="X181" s="11" t="n"/>
      <c r="Y181" s="12" t="n"/>
      <c r="Z181" s="13" t="n"/>
      <c r="AA181" s="10" t="n"/>
      <c r="AB181" s="11" t="n"/>
      <c r="AC181" s="12" t="n"/>
      <c r="AD181" s="13" t="n"/>
      <c r="AE181" s="14" t="n"/>
      <c r="AF181" s="11" t="n"/>
      <c r="AG181" s="12" t="n"/>
      <c r="AH181" s="13" t="n"/>
      <c r="AI181" s="10" t="n"/>
      <c r="AJ181" s="11" t="n"/>
      <c r="AK181" s="12" t="n"/>
      <c r="AL181" s="13" t="n"/>
      <c r="AM181" s="10" t="n"/>
      <c r="AN181" s="11" t="n"/>
      <c r="AO181" s="12" t="n"/>
      <c r="AP181" s="13" t="n"/>
      <c r="AQ181" s="6">
        <f>IF(AND((O181)&lt;85,N181&lt;137),"NO","SI")</f>
        <v/>
      </c>
      <c r="AR181" s="7">
        <f>IF((480*(10^(7.95-(O181/10))))&lt;480,480*(10^(7.95-(O181/10))),480)</f>
        <v/>
      </c>
      <c r="AS181" s="8">
        <f>IF((480*(10^(8.45-(O181/10))))&lt;480,480*(10^(8.45-(O181/10))),480)</f>
        <v/>
      </c>
      <c r="AT181" s="9">
        <f>IF((480*(10^(8.65-(O181/10))))&lt;480,480*(10^(8.65-(O181/10))),480)</f>
        <v/>
      </c>
      <c r="AU181" s="111">
        <f>IF(O181&lt;80,"0",IF((P181-O181)&lt;=2,('DPI art.191'!$G$3-(('DPI art.191'!$F$3-'DPI art.191'!$G$3)/4)*(P181-O181-2)),('DPI art.191'!$G$3-(('DPI art.191'!$G$3-'DPI art.191'!$H$3)/8)*(P181-O181-2))))</f>
        <v/>
      </c>
      <c r="AV181" s="24">
        <f>O181-AU181</f>
        <v/>
      </c>
      <c r="AW181" s="24">
        <f>IF(N181&lt;135,N181,N181-'DPI art.191'!$I$3)</f>
        <v/>
      </c>
      <c r="AX181" s="111">
        <f>IF(I181&lt;80,"0",IF((J181-I181)&lt;=2,('DPI art.191'!$G$7-(('DPI art.191'!$F$7-'DPI art.191'!$G$7)/4)*(I181-J181-2)),('DPI art.191'!$G$7-(('DPI art.191'!$G$7-'DPI art.191'!$H$7)/8)*(J181-I181-2))))</f>
        <v/>
      </c>
      <c r="AY181" s="24">
        <f>I181-AX181</f>
        <v/>
      </c>
      <c r="AZ181" s="24">
        <f>IF(H181&lt;135,H181,H181-'DPI art.191'!$I$7)</f>
        <v/>
      </c>
      <c r="BA181" s="111">
        <f>IF(O181&lt;80,"0",IF((P181-O181)&lt;=2,('DPI art.191'!$G$5-(('DPI art.191'!$F$5-'DPI art.191'!$G$5)/4)*(P181-O181-2)),('DPI art.191'!$G$5-(('DPI art.191'!$G$5-'DPI art.191'!$H$5)/8)*(P181-O181-2))))</f>
        <v/>
      </c>
      <c r="BB181" s="24">
        <f>R181-BA181</f>
        <v/>
      </c>
      <c r="BC181" s="24">
        <f>IF(N181&lt;135,N181,N181-'DPI art.191'!$I$5)</f>
        <v/>
      </c>
      <c r="BD181" s="111">
        <f>IF(O181&lt;80,"0",IF((P181-O181)&lt;=2,('DPI art.191'!$G$7-(('DPI art.191'!$F$7-'DPI art.191'!$G$7)/4)*(O181-P181-2)),('DPI art.191'!$G$7-(('DPI art.191'!$G$7-'DPI art.191'!$H$7)/8)*(P181-O181-2))))</f>
        <v/>
      </c>
      <c r="BE181" s="24">
        <f>O181-BD181</f>
        <v/>
      </c>
      <c r="BF181" s="24">
        <f>IF(N181&lt;135,N181,N181-'DPI art.191'!$I$7)</f>
        <v/>
      </c>
      <c r="BG181" s="108">
        <f>10^(0.1*R181)</f>
        <v/>
      </c>
      <c r="BH181" s="108">
        <f>10^(0.1*X181)</f>
        <v/>
      </c>
      <c r="BI181" s="108">
        <f>10^(0.1*AB181)</f>
        <v/>
      </c>
      <c r="BJ181" s="108">
        <f>10^(0.1*AF181)</f>
        <v/>
      </c>
      <c r="BK181" s="108">
        <f>10^(0.1*AJ181)</f>
        <v/>
      </c>
      <c r="BL181" s="108">
        <f>10^(0.1*AN181)</f>
        <v/>
      </c>
      <c r="BM181" s="106">
        <f>IF(R181&gt;0,(O181-R181),"")</f>
        <v/>
      </c>
      <c r="BN181" s="106">
        <f>IF(X181&gt;0,(O181-X181),"")</f>
        <v/>
      </c>
      <c r="BO181" s="106">
        <f>IF(AB181&gt;0,(O181-AB181),"")</f>
        <v/>
      </c>
      <c r="BP181" s="106">
        <f>IF(AF181&gt;0,(O181-AF181),"")</f>
        <v/>
      </c>
      <c r="BQ181" s="106">
        <f>IF(AJ181&gt;0,(O181-AJ181),"")</f>
        <v/>
      </c>
      <c r="BR181" s="106">
        <f>IF(AN181&gt;0,(O181-AN181),"")</f>
        <v/>
      </c>
      <c r="BS181" s="106">
        <f>COUNT(BM181:BR181)</f>
        <v/>
      </c>
      <c r="BT181" s="464">
        <f>IF(BS181=0,0,IF(BS181=1,0,1/(BS181*(BS181-1))))</f>
        <v/>
      </c>
      <c r="BU181" s="136">
        <f>IF(R181&gt;0,(BM181^2),"")</f>
        <v/>
      </c>
      <c r="BV181" s="136">
        <f>IF(X181&gt;0,(BN181^2),"")</f>
        <v/>
      </c>
      <c r="BW181" s="136">
        <f>IF(AB181&gt;0,(BO181^2),"")</f>
        <v/>
      </c>
      <c r="BX181" s="136">
        <f>IF(AF181&gt;0,(BP181^2),"")</f>
        <v/>
      </c>
      <c r="BY181" s="136">
        <f>IF(AJ181&gt;0,(BQ181^2),"")</f>
        <v/>
      </c>
      <c r="BZ181" s="136">
        <f>IF(AN181&gt;0,(BR181^2),"")</f>
        <v/>
      </c>
    </row>
    <row r="182" ht="18.75" customHeight="1" s="444">
      <c r="A182" s="340" t="inlineStr">
        <is>
          <t>/</t>
        </is>
      </c>
      <c r="B182" s="65">
        <f>B181+1</f>
        <v/>
      </c>
      <c r="C182" s="78" t="n"/>
      <c r="D182" s="83" t="n"/>
      <c r="E182" s="83" t="n"/>
      <c r="F182" s="329" t="n"/>
      <c r="G182" s="71" t="n"/>
      <c r="H182" s="77" t="inlineStr">
        <is>
          <t>Compito</t>
        </is>
      </c>
      <c r="I182" s="77">
        <f>IF((V182-R182)&gt;3,"SI","")</f>
        <v/>
      </c>
      <c r="J182" s="77">
        <f>IF((U182-R182)&gt;3,"SI","")</f>
        <v/>
      </c>
      <c r="K182" s="77" t="n"/>
      <c r="L182" s="77" t="n"/>
      <c r="M182" s="137">
        <f>IF(R182&gt;0,(SQRT(BT182*(SUM(BU182:BZ182)))),"")</f>
        <v/>
      </c>
      <c r="N182" s="4">
        <f>IF(T182&gt;0,(MAX(T182,Z182,AD182,AH182,AL182,AP182))+SQRT(1.2^2+1^2),"")</f>
        <v/>
      </c>
      <c r="O182" s="3">
        <f>IF(R182="",0,10*LOG10(SUM(BG182:BL182)/(COUNT(R182,X182,AB182,AF182,AJ182,AN182))))</f>
        <v/>
      </c>
      <c r="P182" s="5">
        <f>IF(AND(Y182="",AC182="",AG182="",AK182="",AO182=""),S182,AVERAGE(S182,Y182,AC182,AG182,AK182,AO182)+STDEV(S182,Y182,AC182,AG182,AK182,AO182))</f>
        <v/>
      </c>
      <c r="Q182" s="14" t="n"/>
      <c r="R182" s="11" t="n"/>
      <c r="S182" s="12" t="n"/>
      <c r="T182" s="13" t="n"/>
      <c r="U182" s="79" t="n"/>
      <c r="V182" s="79" t="n"/>
      <c r="W182" s="10" t="n"/>
      <c r="X182" s="11" t="n"/>
      <c r="Y182" s="12" t="n"/>
      <c r="Z182" s="13" t="n"/>
      <c r="AA182" s="10" t="n"/>
      <c r="AB182" s="11" t="n"/>
      <c r="AC182" s="12" t="n"/>
      <c r="AD182" s="13" t="n"/>
      <c r="AE182" s="14" t="n"/>
      <c r="AF182" s="11" t="n"/>
      <c r="AG182" s="12" t="n"/>
      <c r="AH182" s="13" t="n"/>
      <c r="AI182" s="10" t="n"/>
      <c r="AJ182" s="11" t="n"/>
      <c r="AK182" s="12" t="n"/>
      <c r="AL182" s="13" t="n"/>
      <c r="AM182" s="10" t="n"/>
      <c r="AN182" s="11" t="n"/>
      <c r="AO182" s="12" t="n"/>
      <c r="AP182" s="13" t="n"/>
      <c r="AQ182" s="6">
        <f>IF(AND((O182)&lt;85,N182&lt;137),"NO","SI")</f>
        <v/>
      </c>
      <c r="AR182" s="7">
        <f>IF((480*(10^(7.95-(O182/10))))&lt;480,480*(10^(7.95-(O182/10))),480)</f>
        <v/>
      </c>
      <c r="AS182" s="8">
        <f>IF((480*(10^(8.45-(O182/10))))&lt;480,480*(10^(8.45-(O182/10))),480)</f>
        <v/>
      </c>
      <c r="AT182" s="9">
        <f>IF((480*(10^(8.65-(O182/10))))&lt;480,480*(10^(8.65-(O182/10))),480)</f>
        <v/>
      </c>
      <c r="AU182" s="111">
        <f>IF(O182&lt;80,"0",IF((P182-O182)&lt;=2,('DPI art.191'!$G$3-(('DPI art.191'!$F$3-'DPI art.191'!$G$3)/4)*(P182-O182-2)),('DPI art.191'!$G$3-(('DPI art.191'!$G$3-'DPI art.191'!$H$3)/8)*(P182-O182-2))))</f>
        <v/>
      </c>
      <c r="AV182" s="24">
        <f>O182-AU182</f>
        <v/>
      </c>
      <c r="AW182" s="24">
        <f>IF(N182&lt;135,N182,N182-'DPI art.191'!$I$3)</f>
        <v/>
      </c>
      <c r="AX182" s="111">
        <f>IF(I182&lt;80,"0",IF((J182-I182)&lt;=2,('DPI art.191'!$G$7-(('DPI art.191'!$F$7-'DPI art.191'!$G$7)/4)*(I182-J182-2)),('DPI art.191'!$G$7-(('DPI art.191'!$G$7-'DPI art.191'!$H$7)/8)*(J182-I182-2))))</f>
        <v/>
      </c>
      <c r="AY182" s="24">
        <f>I182-AX182</f>
        <v/>
      </c>
      <c r="AZ182" s="24">
        <f>IF(H182&lt;135,H182,H182-'DPI art.191'!$I$7)</f>
        <v/>
      </c>
      <c r="BA182" s="111">
        <f>IF(O182&lt;80,"0",IF((P182-O182)&lt;=2,('DPI art.191'!$G$5-(('DPI art.191'!$F$5-'DPI art.191'!$G$5)/4)*(P182-O182-2)),('DPI art.191'!$G$5-(('DPI art.191'!$G$5-'DPI art.191'!$H$5)/8)*(P182-O182-2))))</f>
        <v/>
      </c>
      <c r="BB182" s="24">
        <f>R182-BA182</f>
        <v/>
      </c>
      <c r="BC182" s="24">
        <f>IF(N182&lt;135,N182,N182-'DPI art.191'!$I$5)</f>
        <v/>
      </c>
      <c r="BD182" s="111">
        <f>IF(O182&lt;80,"0",IF((P182-O182)&lt;=2,('DPI art.191'!$G$7-(('DPI art.191'!$F$7-'DPI art.191'!$G$7)/4)*(O182-P182-2)),('DPI art.191'!$G$7-(('DPI art.191'!$G$7-'DPI art.191'!$H$7)/8)*(P182-O182-2))))</f>
        <v/>
      </c>
      <c r="BE182" s="24">
        <f>O182-BD182</f>
        <v/>
      </c>
      <c r="BF182" s="24">
        <f>IF(N182&lt;135,N182,N182-'DPI art.191'!$I$7)</f>
        <v/>
      </c>
      <c r="BG182" s="108">
        <f>10^(0.1*R182)</f>
        <v/>
      </c>
      <c r="BH182" s="108">
        <f>10^(0.1*X182)</f>
        <v/>
      </c>
      <c r="BI182" s="108">
        <f>10^(0.1*AB182)</f>
        <v/>
      </c>
      <c r="BJ182" s="108">
        <f>10^(0.1*AF182)</f>
        <v/>
      </c>
      <c r="BK182" s="108">
        <f>10^(0.1*AJ182)</f>
        <v/>
      </c>
      <c r="BL182" s="108">
        <f>10^(0.1*AN182)</f>
        <v/>
      </c>
      <c r="BM182" s="106">
        <f>IF(R182&gt;0,(O182-R182),"")</f>
        <v/>
      </c>
      <c r="BN182" s="106">
        <f>IF(X182&gt;0,(O182-X182),"")</f>
        <v/>
      </c>
      <c r="BO182" s="106">
        <f>IF(AB182&gt;0,(O182-AB182),"")</f>
        <v/>
      </c>
      <c r="BP182" s="106">
        <f>IF(AF182&gt;0,(O182-AF182),"")</f>
        <v/>
      </c>
      <c r="BQ182" s="106">
        <f>IF(AJ182&gt;0,(O182-AJ182),"")</f>
        <v/>
      </c>
      <c r="BR182" s="106">
        <f>IF(AN182&gt;0,(O182-AN182),"")</f>
        <v/>
      </c>
      <c r="BS182" s="106">
        <f>COUNT(BM182:BR182)</f>
        <v/>
      </c>
      <c r="BT182" s="464">
        <f>IF(BS182=0,0,IF(BS182=1,0,1/(BS182*(BS182-1))))</f>
        <v/>
      </c>
      <c r="BU182" s="136">
        <f>IF(R182&gt;0,(BM182^2),"")</f>
        <v/>
      </c>
      <c r="BV182" s="136">
        <f>IF(X182&gt;0,(BN182^2),"")</f>
        <v/>
      </c>
      <c r="BW182" s="136">
        <f>IF(AB182&gt;0,(BO182^2),"")</f>
        <v/>
      </c>
      <c r="BX182" s="136">
        <f>IF(AF182&gt;0,(BP182^2),"")</f>
        <v/>
      </c>
      <c r="BY182" s="136">
        <f>IF(AJ182&gt;0,(BQ182^2),"")</f>
        <v/>
      </c>
      <c r="BZ182" s="136">
        <f>IF(AN182&gt;0,(BR182^2),"")</f>
        <v/>
      </c>
    </row>
    <row r="183" ht="18.75" customHeight="1" s="444">
      <c r="A183" s="340" t="inlineStr">
        <is>
          <t>/</t>
        </is>
      </c>
      <c r="B183" s="65">
        <f>B182+1</f>
        <v/>
      </c>
      <c r="C183" s="78" t="n"/>
      <c r="D183" s="83" t="n"/>
      <c r="E183" s="83" t="n"/>
      <c r="F183" s="329" t="n"/>
      <c r="G183" s="71" t="n"/>
      <c r="H183" s="77" t="inlineStr">
        <is>
          <t>Compito</t>
        </is>
      </c>
      <c r="I183" s="77">
        <f>IF((V183-R183)&gt;3,"SI","")</f>
        <v/>
      </c>
      <c r="J183" s="77">
        <f>IF((U183-R183)&gt;3,"SI","")</f>
        <v/>
      </c>
      <c r="K183" s="77" t="n"/>
      <c r="L183" s="77" t="n"/>
      <c r="M183" s="137">
        <f>IF(R183&gt;0,(SQRT(BT183*(SUM(BU183:BZ183)))),"")</f>
        <v/>
      </c>
      <c r="N183" s="4">
        <f>IF(T183&gt;0,(MAX(T183,Z183,AD183,AH183,AL183,AP183))+SQRT(1.2^2+1^2),"")</f>
        <v/>
      </c>
      <c r="O183" s="3">
        <f>IF(R183="",0,10*LOG10(SUM(BG183:BL183)/(COUNT(R183,X183,AB183,AF183,AJ183,AN183))))</f>
        <v/>
      </c>
      <c r="P183" s="5">
        <f>IF(AND(Y183="",AC183="",AG183="",AK183="",AO183=""),S183,AVERAGE(S183,Y183,AC183,AG183,AK183,AO183)+STDEV(S183,Y183,AC183,AG183,AK183,AO183))</f>
        <v/>
      </c>
      <c r="Q183" s="14" t="n"/>
      <c r="R183" s="11" t="n"/>
      <c r="S183" s="12" t="n"/>
      <c r="T183" s="13" t="n"/>
      <c r="U183" s="79" t="n"/>
      <c r="V183" s="79" t="n"/>
      <c r="W183" s="10" t="n"/>
      <c r="X183" s="11" t="n"/>
      <c r="Y183" s="12" t="n"/>
      <c r="Z183" s="13" t="n"/>
      <c r="AA183" s="10" t="n"/>
      <c r="AB183" s="11" t="n"/>
      <c r="AC183" s="12" t="n"/>
      <c r="AD183" s="13" t="n"/>
      <c r="AE183" s="14" t="n"/>
      <c r="AF183" s="11" t="n"/>
      <c r="AG183" s="12" t="n"/>
      <c r="AH183" s="13" t="n"/>
      <c r="AI183" s="10" t="n"/>
      <c r="AJ183" s="11" t="n"/>
      <c r="AK183" s="12" t="n"/>
      <c r="AL183" s="13" t="n"/>
      <c r="AM183" s="10" t="n"/>
      <c r="AN183" s="11" t="n"/>
      <c r="AO183" s="12" t="n"/>
      <c r="AP183" s="13" t="n"/>
      <c r="AQ183" s="6">
        <f>IF(AND((O183)&lt;85,N183&lt;137),"NO","SI")</f>
        <v/>
      </c>
      <c r="AR183" s="7">
        <f>IF((480*(10^(7.95-(O183/10))))&lt;480,480*(10^(7.95-(O183/10))),480)</f>
        <v/>
      </c>
      <c r="AS183" s="8">
        <f>IF((480*(10^(8.45-(O183/10))))&lt;480,480*(10^(8.45-(O183/10))),480)</f>
        <v/>
      </c>
      <c r="AT183" s="9">
        <f>IF((480*(10^(8.65-(O183/10))))&lt;480,480*(10^(8.65-(O183/10))),480)</f>
        <v/>
      </c>
      <c r="AU183" s="111">
        <f>IF(O183&lt;80,"0",IF((P183-O183)&lt;=2,('DPI art.191'!$G$3-(('DPI art.191'!$F$3-'DPI art.191'!$G$3)/4)*(P183-O183-2)),('DPI art.191'!$G$3-(('DPI art.191'!$G$3-'DPI art.191'!$H$3)/8)*(P183-O183-2))))</f>
        <v/>
      </c>
      <c r="AV183" s="24">
        <f>O183-AU183</f>
        <v/>
      </c>
      <c r="AW183" s="24">
        <f>IF(N183&lt;135,N183,N183-'DPI art.191'!$I$3)</f>
        <v/>
      </c>
      <c r="AX183" s="111">
        <f>IF(I183&lt;80,"0",IF((J183-I183)&lt;=2,('DPI art.191'!$G$7-(('DPI art.191'!$F$7-'DPI art.191'!$G$7)/4)*(I183-J183-2)),('DPI art.191'!$G$7-(('DPI art.191'!$G$7-'DPI art.191'!$H$7)/8)*(J183-I183-2))))</f>
        <v/>
      </c>
      <c r="AY183" s="24">
        <f>I183-AX183</f>
        <v/>
      </c>
      <c r="AZ183" s="24">
        <f>IF(H183&lt;135,H183,H183-'DPI art.191'!$I$7)</f>
        <v/>
      </c>
      <c r="BA183" s="111">
        <f>IF(O183&lt;80,"0",IF((P183-O183)&lt;=2,('DPI art.191'!$G$5-(('DPI art.191'!$F$5-'DPI art.191'!$G$5)/4)*(P183-O183-2)),('DPI art.191'!$G$5-(('DPI art.191'!$G$5-'DPI art.191'!$H$5)/8)*(P183-O183-2))))</f>
        <v/>
      </c>
      <c r="BB183" s="24">
        <f>R183-BA183</f>
        <v/>
      </c>
      <c r="BC183" s="24">
        <f>IF(N183&lt;135,N183,N183-'DPI art.191'!$I$5)</f>
        <v/>
      </c>
      <c r="BD183" s="111">
        <f>IF(O183&lt;80,"0",IF((P183-O183)&lt;=2,('DPI art.191'!$G$7-(('DPI art.191'!$F$7-'DPI art.191'!$G$7)/4)*(O183-P183-2)),('DPI art.191'!$G$7-(('DPI art.191'!$G$7-'DPI art.191'!$H$7)/8)*(P183-O183-2))))</f>
        <v/>
      </c>
      <c r="BE183" s="24">
        <f>O183-BD183</f>
        <v/>
      </c>
      <c r="BF183" s="24">
        <f>IF(N183&lt;135,N183,N183-'DPI art.191'!$I$7)</f>
        <v/>
      </c>
      <c r="BG183" s="108">
        <f>10^(0.1*R183)</f>
        <v/>
      </c>
      <c r="BH183" s="108">
        <f>10^(0.1*X183)</f>
        <v/>
      </c>
      <c r="BI183" s="108">
        <f>10^(0.1*AB183)</f>
        <v/>
      </c>
      <c r="BJ183" s="108">
        <f>10^(0.1*AF183)</f>
        <v/>
      </c>
      <c r="BK183" s="108">
        <f>10^(0.1*AJ183)</f>
        <v/>
      </c>
      <c r="BL183" s="108">
        <f>10^(0.1*AN183)</f>
        <v/>
      </c>
      <c r="BM183" s="106">
        <f>IF(R183&gt;0,(O183-R183),"")</f>
        <v/>
      </c>
      <c r="BN183" s="106">
        <f>IF(X183&gt;0,(O183-X183),"")</f>
        <v/>
      </c>
      <c r="BO183" s="106">
        <f>IF(AB183&gt;0,(O183-AB183),"")</f>
        <v/>
      </c>
      <c r="BP183" s="106">
        <f>IF(AF183&gt;0,(O183-AF183),"")</f>
        <v/>
      </c>
      <c r="BQ183" s="106">
        <f>IF(AJ183&gt;0,(O183-AJ183),"")</f>
        <v/>
      </c>
      <c r="BR183" s="106">
        <f>IF(AN183&gt;0,(O183-AN183),"")</f>
        <v/>
      </c>
      <c r="BS183" s="106">
        <f>COUNT(BM183:BR183)</f>
        <v/>
      </c>
      <c r="BT183" s="464">
        <f>IF(BS183=0,0,IF(BS183=1,0,1/(BS183*(BS183-1))))</f>
        <v/>
      </c>
      <c r="BU183" s="136">
        <f>IF(R183&gt;0,(BM183^2),"")</f>
        <v/>
      </c>
      <c r="BV183" s="136">
        <f>IF(X183&gt;0,(BN183^2),"")</f>
        <v/>
      </c>
      <c r="BW183" s="136">
        <f>IF(AB183&gt;0,(BO183^2),"")</f>
        <v/>
      </c>
      <c r="BX183" s="136">
        <f>IF(AF183&gt;0,(BP183^2),"")</f>
        <v/>
      </c>
      <c r="BY183" s="136">
        <f>IF(AJ183&gt;0,(BQ183^2),"")</f>
        <v/>
      </c>
      <c r="BZ183" s="136">
        <f>IF(AN183&gt;0,(BR183^2),"")</f>
        <v/>
      </c>
    </row>
    <row r="184" ht="18.75" customHeight="1" s="444">
      <c r="A184" s="340" t="inlineStr">
        <is>
          <t>/</t>
        </is>
      </c>
      <c r="B184" s="65">
        <f>B183+1</f>
        <v/>
      </c>
      <c r="C184" s="78" t="n"/>
      <c r="D184" s="83" t="n"/>
      <c r="E184" s="83" t="n"/>
      <c r="F184" s="329" t="n"/>
      <c r="G184" s="71" t="n"/>
      <c r="H184" s="77" t="inlineStr">
        <is>
          <t>Compito</t>
        </is>
      </c>
      <c r="I184" s="77">
        <f>IF((V184-R184)&gt;3,"SI","")</f>
        <v/>
      </c>
      <c r="J184" s="77">
        <f>IF((U184-R184)&gt;3,"SI","")</f>
        <v/>
      </c>
      <c r="K184" s="77" t="n"/>
      <c r="L184" s="77" t="n"/>
      <c r="M184" s="137">
        <f>IF(R184&gt;0,(SQRT(BT184*(SUM(BU184:BZ184)))),"")</f>
        <v/>
      </c>
      <c r="N184" s="4">
        <f>IF(T184&gt;0,(MAX(T184,Z184,AD184,AH184,AL184,AP184))+SQRT(1.2^2+1^2),"")</f>
        <v/>
      </c>
      <c r="O184" s="3">
        <f>IF(R184="",0,10*LOG10(SUM(BG184:BL184)/(COUNT(R184,X184,AB184,AF184,AJ184,AN184))))</f>
        <v/>
      </c>
      <c r="P184" s="5">
        <f>IF(AND(Y184="",AC184="",AG184="",AK184="",AO184=""),S184,AVERAGE(S184,Y184,AC184,AG184,AK184,AO184)+STDEV(S184,Y184,AC184,AG184,AK184,AO184))</f>
        <v/>
      </c>
      <c r="Q184" s="14" t="n"/>
      <c r="R184" s="11" t="n"/>
      <c r="S184" s="12" t="n"/>
      <c r="T184" s="13" t="n"/>
      <c r="U184" s="79" t="n"/>
      <c r="V184" s="79" t="n"/>
      <c r="W184" s="10" t="n"/>
      <c r="X184" s="11" t="n"/>
      <c r="Y184" s="12" t="n"/>
      <c r="Z184" s="13" t="n"/>
      <c r="AA184" s="10" t="n"/>
      <c r="AB184" s="11" t="n"/>
      <c r="AC184" s="12" t="n"/>
      <c r="AD184" s="13" t="n"/>
      <c r="AE184" s="14" t="n"/>
      <c r="AF184" s="11" t="n"/>
      <c r="AG184" s="12" t="n"/>
      <c r="AH184" s="13" t="n"/>
      <c r="AI184" s="10" t="n"/>
      <c r="AJ184" s="11" t="n"/>
      <c r="AK184" s="12" t="n"/>
      <c r="AL184" s="13" t="n"/>
      <c r="AM184" s="10" t="n"/>
      <c r="AN184" s="11" t="n"/>
      <c r="AO184" s="12" t="n"/>
      <c r="AP184" s="13" t="n"/>
      <c r="AQ184" s="6">
        <f>IF(AND((O184)&lt;85,N184&lt;137),"NO","SI")</f>
        <v/>
      </c>
      <c r="AR184" s="7">
        <f>IF((480*(10^(7.95-(O184/10))))&lt;480,480*(10^(7.95-(O184/10))),480)</f>
        <v/>
      </c>
      <c r="AS184" s="8">
        <f>IF((480*(10^(8.45-(O184/10))))&lt;480,480*(10^(8.45-(O184/10))),480)</f>
        <v/>
      </c>
      <c r="AT184" s="9">
        <f>IF((480*(10^(8.65-(O184/10))))&lt;480,480*(10^(8.65-(O184/10))),480)</f>
        <v/>
      </c>
      <c r="AU184" s="111">
        <f>IF(O184&lt;80,"0",IF((P184-O184)&lt;=2,('DPI art.191'!$G$3-(('DPI art.191'!$F$3-'DPI art.191'!$G$3)/4)*(P184-O184-2)),('DPI art.191'!$G$3-(('DPI art.191'!$G$3-'DPI art.191'!$H$3)/8)*(P184-O184-2))))</f>
        <v/>
      </c>
      <c r="AV184" s="24">
        <f>O184-AU184</f>
        <v/>
      </c>
      <c r="AW184" s="24">
        <f>IF(N184&lt;135,N184,N184-'DPI art.191'!$I$3)</f>
        <v/>
      </c>
      <c r="AX184" s="111">
        <f>IF(I184&lt;80,"0",IF((J184-I184)&lt;=2,('DPI art.191'!$G$7-(('DPI art.191'!$F$7-'DPI art.191'!$G$7)/4)*(I184-J184-2)),('DPI art.191'!$G$7-(('DPI art.191'!$G$7-'DPI art.191'!$H$7)/8)*(J184-I184-2))))</f>
        <v/>
      </c>
      <c r="AY184" s="24">
        <f>I184-AX184</f>
        <v/>
      </c>
      <c r="AZ184" s="24">
        <f>IF(H184&lt;135,H184,H184-'DPI art.191'!$I$7)</f>
        <v/>
      </c>
      <c r="BA184" s="111">
        <f>IF(O184&lt;80,"0",IF((P184-O184)&lt;=2,('DPI art.191'!$G$5-(('DPI art.191'!$F$5-'DPI art.191'!$G$5)/4)*(P184-O184-2)),('DPI art.191'!$G$5-(('DPI art.191'!$G$5-'DPI art.191'!$H$5)/8)*(P184-O184-2))))</f>
        <v/>
      </c>
      <c r="BB184" s="24">
        <f>R184-BA184</f>
        <v/>
      </c>
      <c r="BC184" s="24">
        <f>IF(N184&lt;135,N184,N184-'DPI art.191'!$I$5)</f>
        <v/>
      </c>
      <c r="BD184" s="111">
        <f>IF(O184&lt;80,"0",IF((P184-O184)&lt;=2,('DPI art.191'!$G$7-(('DPI art.191'!$F$7-'DPI art.191'!$G$7)/4)*(O184-P184-2)),('DPI art.191'!$G$7-(('DPI art.191'!$G$7-'DPI art.191'!$H$7)/8)*(P184-O184-2))))</f>
        <v/>
      </c>
      <c r="BE184" s="24">
        <f>O184-BD184</f>
        <v/>
      </c>
      <c r="BF184" s="24">
        <f>IF(N184&lt;135,N184,N184-'DPI art.191'!$I$7)</f>
        <v/>
      </c>
      <c r="BG184" s="108">
        <f>10^(0.1*R184)</f>
        <v/>
      </c>
      <c r="BH184" s="108">
        <f>10^(0.1*X184)</f>
        <v/>
      </c>
      <c r="BI184" s="108">
        <f>10^(0.1*AB184)</f>
        <v/>
      </c>
      <c r="BJ184" s="108">
        <f>10^(0.1*AF184)</f>
        <v/>
      </c>
      <c r="BK184" s="108">
        <f>10^(0.1*AJ184)</f>
        <v/>
      </c>
      <c r="BL184" s="108">
        <f>10^(0.1*AN184)</f>
        <v/>
      </c>
      <c r="BM184" s="106">
        <f>IF(R184&gt;0,(O184-R184),"")</f>
        <v/>
      </c>
      <c r="BN184" s="106">
        <f>IF(X184&gt;0,(O184-X184),"")</f>
        <v/>
      </c>
      <c r="BO184" s="106">
        <f>IF(AB184&gt;0,(O184-AB184),"")</f>
        <v/>
      </c>
      <c r="BP184" s="106">
        <f>IF(AF184&gt;0,(O184-AF184),"")</f>
        <v/>
      </c>
      <c r="BQ184" s="106">
        <f>IF(AJ184&gt;0,(O184-AJ184),"")</f>
        <v/>
      </c>
      <c r="BR184" s="106">
        <f>IF(AN184&gt;0,(O184-AN184),"")</f>
        <v/>
      </c>
      <c r="BS184" s="106">
        <f>COUNT(BM184:BR184)</f>
        <v/>
      </c>
      <c r="BT184" s="464">
        <f>IF(BS184=0,0,IF(BS184=1,0,1/(BS184*(BS184-1))))</f>
        <v/>
      </c>
      <c r="BU184" s="136">
        <f>IF(R184&gt;0,(BM184^2),"")</f>
        <v/>
      </c>
      <c r="BV184" s="136">
        <f>IF(X184&gt;0,(BN184^2),"")</f>
        <v/>
      </c>
      <c r="BW184" s="136">
        <f>IF(AB184&gt;0,(BO184^2),"")</f>
        <v/>
      </c>
      <c r="BX184" s="136">
        <f>IF(AF184&gt;0,(BP184^2),"")</f>
        <v/>
      </c>
      <c r="BY184" s="136">
        <f>IF(AJ184&gt;0,(BQ184^2),"")</f>
        <v/>
      </c>
      <c r="BZ184" s="136">
        <f>IF(AN184&gt;0,(BR184^2),"")</f>
        <v/>
      </c>
    </row>
    <row r="185">
      <c r="N185" s="15" t="n"/>
      <c r="O185" s="15" t="n"/>
      <c r="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</row>
    <row r="186">
      <c r="N186" s="15" t="n"/>
      <c r="O186" s="15" t="n"/>
      <c r="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</row>
    <row r="187">
      <c r="N187" s="15" t="n"/>
      <c r="O187" s="15" t="n"/>
      <c r="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</row>
    <row r="188">
      <c r="N188" s="15" t="n"/>
      <c r="O188" s="15" t="n"/>
      <c r="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</row>
    <row r="189">
      <c r="N189" s="15" t="n"/>
      <c r="O189" s="15" t="n"/>
      <c r="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</row>
    <row r="190">
      <c r="N190" s="15" t="n"/>
      <c r="O190" s="15" t="n"/>
      <c r="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</row>
    <row r="191">
      <c r="N191" s="15" t="n"/>
      <c r="O191" s="15" t="n"/>
      <c r="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</row>
    <row r="192">
      <c r="N192" s="15" t="n"/>
      <c r="O192" s="15" t="n"/>
      <c r="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</row>
    <row r="193">
      <c r="N193" s="15" t="n"/>
      <c r="O193" s="15" t="n"/>
      <c r="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</row>
    <row r="194">
      <c r="N194" s="15" t="n"/>
      <c r="O194" s="15" t="n"/>
      <c r="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</row>
    <row r="195">
      <c r="N195" s="15" t="n"/>
      <c r="O195" s="15" t="n"/>
      <c r="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</row>
    <row r="196">
      <c r="N196" s="15" t="n"/>
      <c r="O196" s="15" t="n"/>
      <c r="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</row>
    <row r="197">
      <c r="N197" s="15" t="n"/>
      <c r="O197" s="15" t="n"/>
      <c r="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</row>
    <row r="198">
      <c r="N198" s="15" t="n"/>
      <c r="O198" s="15" t="n"/>
      <c r="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</row>
    <row r="199">
      <c r="N199" s="15" t="n"/>
      <c r="O199" s="15" t="n"/>
      <c r="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</row>
    <row r="200">
      <c r="N200" s="15" t="n"/>
      <c r="O200" s="15" t="n"/>
      <c r="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</row>
    <row r="201">
      <c r="N201" s="15" t="n"/>
      <c r="O201" s="15" t="n"/>
      <c r="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</row>
    <row r="202">
      <c r="N202" s="15" t="n"/>
      <c r="O202" s="15" t="n"/>
      <c r="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</row>
  </sheetData>
  <mergeCells count="27">
    <mergeCell ref="B3:B4"/>
    <mergeCell ref="AA3:AD3"/>
    <mergeCell ref="N3:N4"/>
    <mergeCell ref="F3:F4"/>
    <mergeCell ref="AI3:AL3"/>
    <mergeCell ref="AM3:AP3"/>
    <mergeCell ref="AQ3:AQ4"/>
    <mergeCell ref="C1:AD2"/>
    <mergeCell ref="A3:A4"/>
    <mergeCell ref="G3:G4"/>
    <mergeCell ref="D3:D4"/>
    <mergeCell ref="AU1:BF2"/>
    <mergeCell ref="P3:P4"/>
    <mergeCell ref="AE3:AH3"/>
    <mergeCell ref="H3:H4"/>
    <mergeCell ref="AS3:AS4"/>
    <mergeCell ref="Q3:V3"/>
    <mergeCell ref="BG3:BL3"/>
    <mergeCell ref="W3:Z3"/>
    <mergeCell ref="BU3:BZ3"/>
    <mergeCell ref="BM3:BR3"/>
    <mergeCell ref="I3:L3"/>
    <mergeCell ref="C3:C4"/>
    <mergeCell ref="O3:O4"/>
    <mergeCell ref="E3:E4"/>
    <mergeCell ref="AR3:AR4"/>
    <mergeCell ref="AT3:AT4"/>
  </mergeCells>
  <conditionalFormatting sqref="AV6:AV184 BB6:BB184 BE6:BE184">
    <cfRule type="cellIs" priority="8" operator="between" dxfId="5">
      <formula>75.0000001</formula>
      <formula>79.99999999999</formula>
    </cfRule>
    <cfRule type="cellIs" priority="9" operator="between" dxfId="4">
      <formula>65.00000001</formula>
      <formula>69.999999</formula>
    </cfRule>
    <cfRule type="cellIs" priority="10" operator="between" dxfId="3">
      <formula>70</formula>
      <formula>75</formula>
    </cfRule>
    <cfRule type="cellIs" priority="11" operator="greaterThan" dxfId="2">
      <formula>80</formula>
    </cfRule>
    <cfRule type="cellIs" priority="7" operator="lessThan" dxfId="1226">
      <formula>65</formula>
    </cfRule>
  </conditionalFormatting>
  <conditionalFormatting sqref="AW6:AZ184 BC6:BF184">
    <cfRule type="cellIs" priority="6" operator="equal" dxfId="1238">
      <formula>0</formula>
    </cfRule>
  </conditionalFormatting>
  <conditionalFormatting sqref="AY6:AY184">
    <cfRule type="cellIs" priority="1" operator="between" dxfId="5">
      <formula>75.0000001</formula>
      <formula>79.99999999999</formula>
    </cfRule>
    <cfRule type="cellIs" priority="2" operator="between" dxfId="4">
      <formula>65.00000001</formula>
      <formula>69.999999</formula>
    </cfRule>
    <cfRule type="cellIs" priority="3" operator="between" dxfId="3">
      <formula>70</formula>
      <formula>75</formula>
    </cfRule>
    <cfRule type="cellIs" priority="4" operator="greaterThan" dxfId="2">
      <formula>80</formula>
    </cfRule>
    <cfRule type="cellIs" priority="5" operator="lessThan" dxfId="1226">
      <formula>65</formula>
    </cfRule>
  </conditionalFormatting>
  <printOptions horizontalCentered="1"/>
  <pageMargins left="0.3543307086614174" right="0.3937007874015748" top="0.7874015748031497" bottom="0.984251968503937" header="0.5118110236220472" footer="0.5118110236220472"/>
  <pageSetup orientation="landscape" paperSize="8" scale="35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J238"/>
  <sheetViews>
    <sheetView view="pageBreakPreview" zoomScale="60" workbookViewId="0">
      <pane xSplit="2" ySplit="4" topLeftCell="C5" activePane="bottomRight" state="frozen"/>
      <selection activeCell="P65" sqref="P65"/>
      <selection pane="topRight" activeCell="P65" sqref="P65"/>
      <selection pane="bottomLeft" activeCell="P65" sqref="P65"/>
      <selection pane="bottomRight" activeCell="AU6" sqref="AU6"/>
    </sheetView>
  </sheetViews>
  <sheetFormatPr baseColWidth="8" defaultRowHeight="12.75"/>
  <cols>
    <col width="17.28515625" bestFit="1" customWidth="1" style="1" min="1" max="1"/>
    <col width="7.7109375" customWidth="1" style="1" min="2" max="2"/>
    <col width="30.28515625" bestFit="1" customWidth="1" style="1" min="3" max="3"/>
    <col width="15.42578125" customWidth="1" style="1" min="4" max="4"/>
    <col width="15" customWidth="1" style="1" min="5" max="5"/>
    <col width="31.85546875" customWidth="1" style="1" min="6" max="6"/>
    <col width="12.28515625" customWidth="1" style="1" min="7" max="7"/>
    <col width="13.5703125" customWidth="1" style="1" min="8" max="8"/>
    <col width="3.140625" customWidth="1" style="1" min="9" max="10"/>
    <col width="3.42578125" customWidth="1" style="1" min="11" max="11"/>
    <col width="3" customWidth="1" style="1" min="12" max="12"/>
    <col width="9.140625" customWidth="1" style="1" min="13" max="13"/>
    <col width="9.42578125" customWidth="1" style="1" min="14" max="14"/>
    <col width="11.42578125" customWidth="1" style="1" min="15" max="15"/>
    <col width="12.28515625" customWidth="1" style="1" min="16" max="16"/>
    <col width="6.28515625" customWidth="1" style="1" min="17" max="17"/>
    <col width="7.42578125" customWidth="1" style="1" min="18" max="18"/>
    <col width="7.85546875" customWidth="1" style="1" min="19" max="19"/>
    <col width="6.85546875" customWidth="1" style="1" min="20" max="20"/>
    <col hidden="1" width="6.85546875" customWidth="1" style="1" min="21" max="22"/>
    <col width="6.28515625" customWidth="1" style="1" min="23" max="23"/>
    <col width="7.42578125" customWidth="1" style="1" min="24" max="26"/>
    <col width="6.7109375" customWidth="1" style="1" min="27" max="27"/>
    <col width="7" customWidth="1" style="1" min="28" max="30"/>
    <col width="6.28515625" customWidth="1" style="1" min="31" max="31"/>
    <col width="7.42578125" customWidth="1" style="1" min="32" max="32"/>
    <col width="7.85546875" customWidth="1" style="1" min="33" max="33"/>
    <col width="6.85546875" customWidth="1" style="1" min="34" max="34"/>
    <col width="6.28515625" customWidth="1" style="1" min="35" max="35"/>
    <col width="7.42578125" customWidth="1" style="1" min="36" max="38"/>
    <col width="6.7109375" customWidth="1" style="1" min="39" max="39"/>
    <col width="7" customWidth="1" style="1" min="40" max="42"/>
    <col width="14.140625" customWidth="1" style="1" min="43" max="43"/>
    <col width="6.42578125" customWidth="1" style="1" min="44" max="44"/>
    <col width="7" customWidth="1" style="1" min="45" max="45"/>
    <col width="6.140625" customWidth="1" style="1" min="46" max="46"/>
    <col width="17.5703125" customWidth="1" style="1" min="47" max="47"/>
    <col width="13.7109375" customWidth="1" style="1" min="48" max="48"/>
    <col width="15.85546875" bestFit="1" customWidth="1" style="1" min="49" max="49"/>
    <col width="18.7109375" customWidth="1" style="1" min="50" max="50"/>
    <col width="14.140625" customWidth="1" style="1" min="51" max="51"/>
    <col width="16.7109375" bestFit="1" customWidth="1" style="1" min="52" max="52"/>
    <col width="16.140625" bestFit="1" customWidth="1" style="1" min="53" max="53"/>
    <col width="12" customWidth="1" style="1" min="54" max="54"/>
    <col width="14.42578125" customWidth="1" style="1" min="55" max="55"/>
    <col width="18.7109375" customWidth="1" style="1" min="56" max="56"/>
    <col width="14.140625" customWidth="1" style="1" min="57" max="57"/>
    <col width="16.7109375" customWidth="1" style="1" min="58" max="58"/>
    <col width="17.5703125" customWidth="1" style="1" min="59" max="59"/>
    <col width="13.7109375" customWidth="1" style="1" min="60" max="60"/>
    <col width="10.7109375" customWidth="1" style="1" min="61" max="61"/>
    <col width="18.7109375" customWidth="1" style="1" min="62" max="62"/>
    <col width="14.140625" customWidth="1" style="1" min="63" max="63"/>
    <col width="16.7109375" bestFit="1" customWidth="1" style="1" min="64" max="64"/>
    <col width="16.140625" bestFit="1" customWidth="1" style="1" min="65" max="65"/>
    <col width="12" customWidth="1" style="1" min="66" max="66"/>
    <col width="14.42578125" customWidth="1" style="1" min="67" max="67"/>
    <col width="12.42578125" bestFit="1" customWidth="1" style="1" min="68" max="70"/>
    <col width="9.28515625" bestFit="1" customWidth="1" style="1" min="71" max="74"/>
    <col width="15.140625" customWidth="1" style="1" min="75" max="75"/>
    <col width="9.28515625" bestFit="1" customWidth="1" style="1" min="76" max="79"/>
    <col width="14.5703125" customWidth="1" style="1" min="80" max="80"/>
    <col width="12.5703125" customWidth="1" style="1" min="81" max="81"/>
    <col width="9.28515625" bestFit="1" customWidth="1" style="1" min="82" max="82"/>
    <col width="10.140625" bestFit="1" customWidth="1" style="1" min="83" max="83"/>
    <col width="9.28515625" bestFit="1" customWidth="1" style="1" min="84" max="87"/>
    <col width="9.140625" customWidth="1" style="1" min="88" max="16384"/>
  </cols>
  <sheetData>
    <row r="1" ht="24.95" customFormat="1" customHeight="1" s="68">
      <c r="A1" s="301" t="inlineStr">
        <is>
          <t>TITOLO VIII - Capo II del D.Lgs 81/2008
-- VALUTAZIONE DELL'ESPOSIZIONE AD AGENTI FISICI (RUMORE) --
"ALLEGATO 1 - TABELLA MISURE"</t>
        </is>
      </c>
      <c r="B1" s="72" t="n"/>
      <c r="C1" s="453" t="inlineStr">
        <is>
          <t>TITOLO VIII - Capo II del D.Lgs 81/2008
-- VALUTAZIONE DELL'ESPOSIZIONE AD AGENTI FISICI (RUMORE) --
ALLEGATO 1 - TABELLA MISURE (UNI EN ISO 9612:2011 e UNI 9432:2011)</t>
        </is>
      </c>
      <c r="D1" s="454" t="n"/>
      <c r="E1" s="454" t="n"/>
      <c r="F1" s="454" t="n"/>
      <c r="G1" s="454" t="n"/>
      <c r="H1" s="454" t="n"/>
      <c r="I1" s="454" t="n"/>
      <c r="J1" s="454" t="n"/>
      <c r="K1" s="454" t="n"/>
      <c r="L1" s="454" t="n"/>
      <c r="M1" s="454" t="n"/>
      <c r="N1" s="454" t="n"/>
      <c r="O1" s="454" t="n"/>
      <c r="P1" s="454" t="n"/>
      <c r="Q1" s="454" t="n"/>
      <c r="R1" s="454" t="n"/>
      <c r="S1" s="454" t="n"/>
      <c r="T1" s="454" t="n"/>
      <c r="U1" s="454" t="n"/>
      <c r="V1" s="454" t="n"/>
      <c r="W1" s="454" t="n"/>
      <c r="X1" s="454" t="n"/>
      <c r="Y1" s="454" t="n"/>
      <c r="Z1" s="454" t="n"/>
      <c r="AA1" s="454" t="n"/>
      <c r="AB1" s="454" t="n"/>
      <c r="AC1" s="454" t="n"/>
      <c r="AD1" s="454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  <c r="AQ1" s="72" t="n"/>
      <c r="AR1" s="72" t="n"/>
      <c r="AS1" s="72" t="n"/>
      <c r="AT1" s="73" t="n"/>
      <c r="AU1" s="455" t="inlineStr">
        <is>
          <t>Verifica idoneità D.P.I. per sorgente sonora
(anche in conformità all'art. 191. c.1 D.Lgs 81/08)</t>
        </is>
      </c>
      <c r="AV1" s="454" t="n"/>
      <c r="AW1" s="454" t="n"/>
      <c r="AX1" s="454" t="n"/>
      <c r="AY1" s="454" t="n"/>
      <c r="AZ1" s="454" t="n"/>
      <c r="BA1" s="454" t="n"/>
      <c r="BB1" s="454" t="n"/>
      <c r="BC1" s="454" t="n"/>
      <c r="BD1" s="454" t="n"/>
      <c r="BE1" s="454" t="n"/>
      <c r="BF1" s="456" t="n"/>
      <c r="BG1" s="353" t="n"/>
      <c r="BH1" s="353" t="n"/>
      <c r="BI1" s="353" t="n"/>
      <c r="BJ1" s="353" t="n"/>
      <c r="BK1" s="353" t="n"/>
      <c r="BL1" s="353" t="n"/>
      <c r="BM1" s="353" t="n"/>
      <c r="BN1" s="353" t="n"/>
      <c r="BO1" s="353" t="n"/>
    </row>
    <row r="2" ht="65.09999999999999" customFormat="1" customHeight="1" s="69">
      <c r="A2" s="74" t="n"/>
      <c r="B2" s="75" t="n"/>
      <c r="C2" s="457" t="n"/>
      <c r="D2" s="457" t="n"/>
      <c r="E2" s="457" t="n"/>
      <c r="F2" s="457" t="n"/>
      <c r="G2" s="457" t="n"/>
      <c r="H2" s="457" t="n"/>
      <c r="I2" s="457" t="n"/>
      <c r="J2" s="457" t="n"/>
      <c r="K2" s="457" t="n"/>
      <c r="L2" s="457" t="n"/>
      <c r="M2" s="457" t="n"/>
      <c r="N2" s="457" t="n"/>
      <c r="O2" s="457" t="n"/>
      <c r="P2" s="457" t="n"/>
      <c r="Q2" s="457" t="n"/>
      <c r="R2" s="457" t="n"/>
      <c r="S2" s="457" t="n"/>
      <c r="T2" s="457" t="n"/>
      <c r="U2" s="457" t="n"/>
      <c r="V2" s="457" t="n"/>
      <c r="W2" s="457" t="n"/>
      <c r="X2" s="457" t="n"/>
      <c r="Y2" s="457" t="n"/>
      <c r="Z2" s="457" t="n"/>
      <c r="AA2" s="457" t="n"/>
      <c r="AB2" s="457" t="n"/>
      <c r="AC2" s="457" t="n"/>
      <c r="AD2" s="457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6" t="n"/>
      <c r="AU2" s="458" t="n"/>
      <c r="AV2" s="457" t="n"/>
      <c r="AW2" s="457" t="n"/>
      <c r="AX2" s="457" t="n"/>
      <c r="AY2" s="457" t="n"/>
      <c r="AZ2" s="457" t="n"/>
      <c r="BA2" s="457" t="n"/>
      <c r="BB2" s="457" t="n"/>
      <c r="BC2" s="457" t="n"/>
      <c r="BD2" s="457" t="n"/>
      <c r="BE2" s="457" t="n"/>
      <c r="BF2" s="459" t="n"/>
      <c r="BG2" s="356" t="n"/>
      <c r="BH2" s="356" t="n"/>
      <c r="BI2" s="356" t="n"/>
      <c r="BJ2" s="356" t="n"/>
      <c r="BK2" s="356" t="n"/>
      <c r="BL2" s="356" t="n"/>
      <c r="BM2" s="356" t="n"/>
      <c r="BN2" s="356" t="n"/>
      <c r="BO2" s="356" t="n"/>
    </row>
    <row r="3" ht="57.75" customFormat="1" customHeight="1" s="70">
      <c r="A3" s="340" t="inlineStr">
        <is>
          <t>Cod. PKL.</t>
        </is>
      </c>
      <c r="B3" s="340" t="inlineStr">
        <is>
          <t>ID</t>
        </is>
      </c>
      <c r="C3" s="340" t="inlineStr">
        <is>
          <t>Categoria</t>
        </is>
      </c>
      <c r="D3" s="340" t="inlineStr">
        <is>
          <t>Marca</t>
        </is>
      </c>
      <c r="E3" s="340" t="inlineStr">
        <is>
          <t>Modello</t>
        </is>
      </c>
      <c r="F3" s="340" t="inlineStr">
        <is>
          <t>Lavorazione e caratterisitche macchina attrezzatura</t>
        </is>
      </c>
      <c r="G3" s="340" t="inlineStr">
        <is>
          <t>Data Misurazioni</t>
        </is>
      </c>
      <c r="H3" s="340" t="inlineStr">
        <is>
          <t>Strategia di misura
COMPITO
MANSIONI
GIORNATA</t>
        </is>
      </c>
      <c r="I3" s="340" t="inlineStr">
        <is>
          <t>Tipo di rumore</t>
        </is>
      </c>
      <c r="J3" s="460" t="n"/>
      <c r="K3" s="460" t="n"/>
      <c r="L3" s="461" t="n"/>
      <c r="M3" s="138" t="n"/>
      <c r="N3" s="341" t="inlineStr">
        <is>
          <t>PPEAK(C)
+
U(Lpicco,C)</t>
        </is>
      </c>
      <c r="O3" s="342" t="inlineStr">
        <is>
          <t>LAEQ,Tp</t>
        </is>
      </c>
      <c r="P3" s="343" t="inlineStr">
        <is>
          <t>LCEQ,TP</t>
        </is>
      </c>
      <c r="Q3" s="337" t="inlineStr">
        <is>
          <t>MISURA n°1</t>
        </is>
      </c>
      <c r="R3" s="460" t="n"/>
      <c r="S3" s="460" t="n"/>
      <c r="T3" s="460" t="n"/>
      <c r="U3" s="460" t="n"/>
      <c r="V3" s="461" t="n"/>
      <c r="W3" s="337" t="inlineStr">
        <is>
          <t>MISURA n°2</t>
        </is>
      </c>
      <c r="X3" s="460" t="n"/>
      <c r="Y3" s="460" t="n"/>
      <c r="Z3" s="461" t="n"/>
      <c r="AA3" s="337" t="inlineStr">
        <is>
          <t>MISURA n°3</t>
        </is>
      </c>
      <c r="AB3" s="460" t="n"/>
      <c r="AC3" s="460" t="n"/>
      <c r="AD3" s="461" t="n"/>
      <c r="AE3" s="337" t="inlineStr">
        <is>
          <t>MISURA n°4</t>
        </is>
      </c>
      <c r="AF3" s="460" t="n"/>
      <c r="AG3" s="460" t="n"/>
      <c r="AH3" s="461" t="n"/>
      <c r="AI3" s="337" t="inlineStr">
        <is>
          <t>MISURA n°5</t>
        </is>
      </c>
      <c r="AJ3" s="460" t="n"/>
      <c r="AK3" s="460" t="n"/>
      <c r="AL3" s="461" t="n"/>
      <c r="AM3" s="337" t="inlineStr">
        <is>
          <t>MISURA n°6</t>
        </is>
      </c>
      <c r="AN3" s="460" t="n"/>
      <c r="AO3" s="460" t="n"/>
      <c r="AP3" s="461" t="n"/>
      <c r="AQ3" s="338" t="inlineStr">
        <is>
          <t>Necessità di perimetrazione dell'area</t>
        </is>
      </c>
      <c r="AR3" s="339" t="inlineStr">
        <is>
          <t>T max
Inf.</t>
        </is>
      </c>
      <c r="AS3" s="328" t="inlineStr">
        <is>
          <t>T max
Sup.</t>
        </is>
      </c>
      <c r="AT3" s="330" t="inlineStr">
        <is>
          <t>T max
Lim.</t>
        </is>
      </c>
      <c r="AU3" s="157">
        <f>'DPI art.191'!B2</f>
        <v/>
      </c>
      <c r="AV3" s="158">
        <f>'DPI art.191'!C2</f>
        <v/>
      </c>
      <c r="AW3" s="158">
        <f>'DPI art.191'!D2</f>
        <v/>
      </c>
      <c r="AX3" s="159">
        <f>'DPI art.191'!B4</f>
        <v/>
      </c>
      <c r="AY3" s="154">
        <f>'DPI art.191'!C4</f>
        <v/>
      </c>
      <c r="AZ3" s="160">
        <f>'DPI art.191'!D4</f>
        <v/>
      </c>
      <c r="BA3" s="159">
        <f>'DPI art.191'!B6</f>
        <v/>
      </c>
      <c r="BB3" s="154">
        <f>'DPI art.191'!C6</f>
        <v/>
      </c>
      <c r="BC3" s="160">
        <f>'DPI art.191'!D6</f>
        <v/>
      </c>
      <c r="BD3" s="159">
        <f>'DPI art.191'!B8</f>
        <v/>
      </c>
      <c r="BE3" s="154">
        <f>'DPI art.191'!C8</f>
        <v/>
      </c>
      <c r="BF3" s="160">
        <f>'DPI art.191'!D8</f>
        <v/>
      </c>
      <c r="BG3" s="157">
        <f>'DPI art.191'!B10</f>
        <v/>
      </c>
      <c r="BH3" s="158">
        <f>'DPI art.191'!C10</f>
        <v/>
      </c>
      <c r="BI3" s="158">
        <f>'DPI art.191'!D10</f>
        <v/>
      </c>
      <c r="BJ3" s="159">
        <f>'DPI art.191'!B12</f>
        <v/>
      </c>
      <c r="BK3" s="154">
        <f>'DPI art.191'!C12</f>
        <v/>
      </c>
      <c r="BL3" s="160">
        <f>'DPI art.191'!D12</f>
        <v/>
      </c>
      <c r="BM3" s="159">
        <f>'DPI art.191'!B14</f>
        <v/>
      </c>
      <c r="BN3" s="154">
        <f>'DPI art.191'!D14</f>
        <v/>
      </c>
      <c r="BO3" s="160">
        <f>'DPI art.191'!C14</f>
        <v/>
      </c>
      <c r="BP3" s="333" t="inlineStr">
        <is>
          <t>Esponenziale Lp,A,eq,tm</t>
        </is>
      </c>
      <c r="BQ3" s="454" t="n"/>
      <c r="BR3" s="454" t="n"/>
      <c r="BS3" s="454" t="n"/>
      <c r="BT3" s="454" t="n"/>
      <c r="BU3" s="456" t="n"/>
      <c r="BV3" s="462" t="inlineStr">
        <is>
          <t>Differenza
Leq medio - Leq,i</t>
        </is>
      </c>
      <c r="BW3" s="454" t="n"/>
      <c r="BX3" s="454" t="n"/>
      <c r="BY3" s="454" t="n"/>
      <c r="BZ3" s="454" t="n"/>
      <c r="CA3" s="456" t="n"/>
      <c r="CB3" s="80" t="n"/>
      <c r="CD3" s="462" t="inlineStr">
        <is>
          <t>Quadrati degli scarti Leq medio  - Leq,i</t>
        </is>
      </c>
      <c r="CE3" s="454" t="n"/>
      <c r="CF3" s="454" t="n"/>
      <c r="CG3" s="454" t="n"/>
      <c r="CH3" s="454" t="n"/>
      <c r="CI3" s="456" t="n"/>
    </row>
    <row r="4" ht="22.5" customFormat="1" customHeight="1" s="70" thickBot="1">
      <c r="A4" s="463" t="n"/>
      <c r="B4" s="463" t="n"/>
      <c r="C4" s="463" t="n"/>
      <c r="D4" s="463" t="n"/>
      <c r="E4" s="463" t="n"/>
      <c r="F4" s="463" t="n"/>
      <c r="G4" s="463" t="n"/>
      <c r="H4" s="463" t="n"/>
      <c r="I4" s="340" t="inlineStr">
        <is>
          <t>I</t>
        </is>
      </c>
      <c r="J4" s="340" t="inlineStr">
        <is>
          <t>F</t>
        </is>
      </c>
      <c r="K4" s="340" t="inlineStr">
        <is>
          <t>S</t>
        </is>
      </c>
      <c r="L4" s="340" t="inlineStr">
        <is>
          <t>C</t>
        </is>
      </c>
      <c r="M4" s="150" t="inlineStr">
        <is>
          <t>U1a,m</t>
        </is>
      </c>
      <c r="N4" s="459" t="n"/>
      <c r="O4" s="463" t="n"/>
      <c r="P4" s="463" t="n"/>
      <c r="Q4" s="139" t="inlineStr">
        <is>
          <t>Sec.</t>
        </is>
      </c>
      <c r="R4" s="161" t="inlineStr">
        <is>
          <t xml:space="preserve">LAeq,T </t>
        </is>
      </c>
      <c r="S4" s="162" t="inlineStr">
        <is>
          <t xml:space="preserve">LCeq,T </t>
        </is>
      </c>
      <c r="T4" s="163" t="inlineStr">
        <is>
          <t>Lpicco,C</t>
        </is>
      </c>
      <c r="U4" s="164" t="inlineStr">
        <is>
          <t>LAS(t)</t>
        </is>
      </c>
      <c r="V4" s="165" t="inlineStr">
        <is>
          <t>LAeq,I,T</t>
        </is>
      </c>
      <c r="W4" s="139" t="inlineStr">
        <is>
          <t>Sec.</t>
        </is>
      </c>
      <c r="X4" s="161" t="inlineStr">
        <is>
          <t xml:space="preserve">LAeq,T </t>
        </is>
      </c>
      <c r="Y4" s="162" t="inlineStr">
        <is>
          <t xml:space="preserve">LCeq,T </t>
        </is>
      </c>
      <c r="Z4" s="163" t="inlineStr">
        <is>
          <t>Lpicco,C</t>
        </is>
      </c>
      <c r="AA4" s="139" t="inlineStr">
        <is>
          <t>Sec.</t>
        </is>
      </c>
      <c r="AB4" s="161" t="inlineStr">
        <is>
          <t xml:space="preserve">LAeq,T </t>
        </is>
      </c>
      <c r="AC4" s="162" t="inlineStr">
        <is>
          <t xml:space="preserve">LCeq,T </t>
        </is>
      </c>
      <c r="AD4" s="163" t="inlineStr">
        <is>
          <t>Lpicco,C</t>
        </is>
      </c>
      <c r="AE4" s="139" t="inlineStr">
        <is>
          <t>Sec.</t>
        </is>
      </c>
      <c r="AF4" s="161" t="inlineStr">
        <is>
          <t xml:space="preserve">LAeq,T </t>
        </is>
      </c>
      <c r="AG4" s="162" t="inlineStr">
        <is>
          <t xml:space="preserve">LCeq,T </t>
        </is>
      </c>
      <c r="AH4" s="163" t="inlineStr">
        <is>
          <t>Lpicco,C</t>
        </is>
      </c>
      <c r="AI4" s="139" t="inlineStr">
        <is>
          <t>Sec.</t>
        </is>
      </c>
      <c r="AJ4" s="161" t="inlineStr">
        <is>
          <t xml:space="preserve">LAeq,T </t>
        </is>
      </c>
      <c r="AK4" s="162" t="inlineStr">
        <is>
          <t xml:space="preserve">LCeq,T </t>
        </is>
      </c>
      <c r="AL4" s="163" t="inlineStr">
        <is>
          <t>Lpicco,C</t>
        </is>
      </c>
      <c r="AM4" s="139" t="inlineStr">
        <is>
          <t>Sec.</t>
        </is>
      </c>
      <c r="AN4" s="161" t="inlineStr">
        <is>
          <t xml:space="preserve">LAeq,T </t>
        </is>
      </c>
      <c r="AO4" s="162" t="inlineStr">
        <is>
          <t xml:space="preserve">LCeq,T </t>
        </is>
      </c>
      <c r="AP4" s="163" t="inlineStr">
        <is>
          <t>Lpicco,C</t>
        </is>
      </c>
      <c r="AQ4" s="463" t="n"/>
      <c r="AR4" s="463" t="n"/>
      <c r="AS4" s="463" t="n"/>
      <c r="AT4" s="458" t="n"/>
      <c r="AU4" s="152" t="inlineStr">
        <is>
          <t>PNR</t>
        </is>
      </c>
      <c r="AV4" s="153" t="inlineStr">
        <is>
          <t>L'Aeq,T</t>
        </is>
      </c>
      <c r="AW4" s="155" t="inlineStr">
        <is>
          <t>Picco</t>
        </is>
      </c>
      <c r="AX4" s="152" t="inlineStr">
        <is>
          <t>PNR</t>
        </is>
      </c>
      <c r="AY4" s="153" t="inlineStr">
        <is>
          <t>L'Aeq,T</t>
        </is>
      </c>
      <c r="AZ4" s="155" t="inlineStr">
        <is>
          <t>Picco</t>
        </is>
      </c>
      <c r="BA4" s="152" t="inlineStr">
        <is>
          <t>PNR</t>
        </is>
      </c>
      <c r="BB4" s="153" t="inlineStr">
        <is>
          <t>L'Aeq,T</t>
        </is>
      </c>
      <c r="BC4" s="155" t="inlineStr">
        <is>
          <t>Picco</t>
        </is>
      </c>
      <c r="BD4" s="152" t="inlineStr">
        <is>
          <t>PNR</t>
        </is>
      </c>
      <c r="BE4" s="153" t="inlineStr">
        <is>
          <t>L'Aeq,T</t>
        </is>
      </c>
      <c r="BF4" s="155" t="inlineStr">
        <is>
          <t>Picco</t>
        </is>
      </c>
      <c r="BG4" s="152" t="inlineStr">
        <is>
          <t>PNR</t>
        </is>
      </c>
      <c r="BH4" s="153" t="inlineStr">
        <is>
          <t>L'Aeq,T</t>
        </is>
      </c>
      <c r="BI4" s="155" t="inlineStr">
        <is>
          <t>Picco</t>
        </is>
      </c>
      <c r="BJ4" s="152" t="inlineStr">
        <is>
          <t>PNR</t>
        </is>
      </c>
      <c r="BK4" s="153" t="inlineStr">
        <is>
          <t>L'Aeq,T</t>
        </is>
      </c>
      <c r="BL4" s="155" t="inlineStr">
        <is>
          <t>Picco</t>
        </is>
      </c>
      <c r="BM4" s="152" t="inlineStr">
        <is>
          <t>PNR</t>
        </is>
      </c>
      <c r="BN4" s="153" t="inlineStr">
        <is>
          <t>L'Aeq,T</t>
        </is>
      </c>
      <c r="BO4" s="155" t="inlineStr">
        <is>
          <t>Picco</t>
        </is>
      </c>
      <c r="BP4" s="156" t="n">
        <v>1</v>
      </c>
      <c r="BQ4" s="134" t="n">
        <v>2</v>
      </c>
      <c r="BR4" s="134" t="n">
        <v>3</v>
      </c>
      <c r="BS4" s="134" t="n">
        <v>4</v>
      </c>
      <c r="BT4" s="134" t="n">
        <v>5</v>
      </c>
      <c r="BU4" s="134" t="n">
        <v>6</v>
      </c>
      <c r="BV4" s="134" t="n">
        <v>1</v>
      </c>
      <c r="BW4" s="134" t="n">
        <v>2</v>
      </c>
      <c r="BX4" s="134" t="n">
        <v>3</v>
      </c>
      <c r="BY4" s="134" t="n">
        <v>4</v>
      </c>
      <c r="BZ4" s="134" t="n">
        <v>5</v>
      </c>
      <c r="CA4" s="134" t="n">
        <v>6</v>
      </c>
      <c r="CB4" s="397" t="inlineStr">
        <is>
          <t>N°campioni</t>
        </is>
      </c>
      <c r="CC4" s="397" t="inlineStr">
        <is>
          <t>U1a (I terrm.)</t>
        </is>
      </c>
      <c r="CD4" s="134" t="n">
        <v>1</v>
      </c>
      <c r="CE4" s="134" t="n">
        <v>2</v>
      </c>
      <c r="CF4" s="134" t="n">
        <v>3</v>
      </c>
      <c r="CG4" s="134" t="n">
        <v>4</v>
      </c>
      <c r="CH4" s="134" t="n">
        <v>5</v>
      </c>
      <c r="CI4" s="134" t="n">
        <v>6</v>
      </c>
      <c r="CJ4" s="80" t="n"/>
    </row>
    <row r="5" ht="6.75" customFormat="1" customHeight="1" s="261">
      <c r="A5" s="244" t="n"/>
      <c r="B5" s="244" t="inlineStr">
        <is>
          <t>⌂</t>
        </is>
      </c>
      <c r="C5" s="245" t="n"/>
      <c r="D5" s="246" t="n"/>
      <c r="E5" s="246" t="n"/>
      <c r="F5" s="247" t="n"/>
      <c r="G5" s="245" t="n"/>
      <c r="H5" s="245" t="n"/>
      <c r="I5" s="245" t="n"/>
      <c r="J5" s="245" t="n"/>
      <c r="K5" s="245" t="n"/>
      <c r="L5" s="245" t="n"/>
      <c r="M5" s="248" t="n"/>
      <c r="N5" s="249" t="n"/>
      <c r="O5" s="250" t="n"/>
      <c r="P5" s="251" t="n"/>
      <c r="Q5" s="252" t="n"/>
      <c r="R5" s="252" t="n"/>
      <c r="S5" s="252" t="n"/>
      <c r="T5" s="252" t="n"/>
      <c r="U5" s="222" t="n"/>
      <c r="V5" s="222" t="n"/>
      <c r="W5" s="253" t="n"/>
      <c r="X5" s="252" t="n"/>
      <c r="Y5" s="252" t="n"/>
      <c r="Z5" s="252" t="n"/>
      <c r="AA5" s="253" t="n"/>
      <c r="AB5" s="252" t="n"/>
      <c r="AC5" s="252" t="n"/>
      <c r="AD5" s="252" t="n"/>
      <c r="AE5" s="252" t="n"/>
      <c r="AF5" s="252" t="n"/>
      <c r="AG5" s="252" t="n"/>
      <c r="AH5" s="252" t="n"/>
      <c r="AI5" s="253" t="n"/>
      <c r="AJ5" s="252" t="n"/>
      <c r="AK5" s="252" t="n"/>
      <c r="AL5" s="252" t="n"/>
      <c r="AM5" s="253" t="n"/>
      <c r="AN5" s="252" t="n"/>
      <c r="AO5" s="252" t="n"/>
      <c r="AP5" s="252" t="n"/>
      <c r="AQ5" s="254" t="n"/>
      <c r="AR5" s="254" t="n"/>
      <c r="AS5" s="254" t="n"/>
      <c r="AT5" s="255" t="n"/>
      <c r="AU5" s="256" t="n"/>
      <c r="AV5" s="257" t="n"/>
      <c r="AW5" s="257" t="n"/>
      <c r="AX5" s="256" t="n"/>
      <c r="AY5" s="257" t="n"/>
      <c r="AZ5" s="257" t="n"/>
      <c r="BA5" s="256" t="n"/>
      <c r="BB5" s="257" t="n"/>
      <c r="BC5" s="257" t="n"/>
      <c r="BD5" s="256" t="n"/>
      <c r="BE5" s="257" t="n"/>
      <c r="BF5" s="257" t="n"/>
      <c r="BG5" s="256" t="n"/>
      <c r="BH5" s="257" t="n"/>
      <c r="BI5" s="257" t="n"/>
      <c r="BJ5" s="256" t="n"/>
      <c r="BK5" s="257" t="n"/>
      <c r="BL5" s="257" t="n"/>
      <c r="BM5" s="256" t="n"/>
      <c r="BN5" s="257" t="n"/>
      <c r="BO5" s="257" t="n"/>
      <c r="BP5" s="258" t="n"/>
      <c r="BQ5" s="259" t="n"/>
      <c r="BR5" s="259" t="n"/>
      <c r="BS5" s="259" t="n"/>
      <c r="BT5" s="259" t="n"/>
      <c r="BU5" s="259" t="n"/>
      <c r="BV5" s="259" t="n"/>
      <c r="BW5" s="259" t="n"/>
      <c r="BX5" s="259" t="n"/>
      <c r="BY5" s="259" t="n"/>
      <c r="BZ5" s="259" t="n"/>
      <c r="CA5" s="259" t="n"/>
      <c r="CB5" s="260" t="n"/>
      <c r="CC5" s="260" t="n"/>
      <c r="CD5" s="259" t="n"/>
      <c r="CE5" s="259" t="n"/>
      <c r="CF5" s="259" t="n"/>
      <c r="CG5" s="259" t="n"/>
      <c r="CH5" s="259" t="n"/>
      <c r="CI5" s="259" t="n"/>
    </row>
    <row r="6" ht="18.75" customHeight="1" s="444">
      <c r="A6" s="340" t="inlineStr">
        <is>
          <t>Gualdo 1</t>
        </is>
      </c>
      <c r="B6" s="65" t="inlineStr">
        <is>
          <t>W1</t>
        </is>
      </c>
      <c r="C6" s="78" t="inlineStr">
        <is>
          <t>Molatura con mola assiale</t>
        </is>
      </c>
      <c r="D6" s="83" t="inlineStr">
        <is>
          <t>/</t>
        </is>
      </c>
      <c r="E6" s="83" t="inlineStr">
        <is>
          <t>/</t>
        </is>
      </c>
      <c r="F6" s="192" t="inlineStr">
        <is>
          <t>Molatura con mola assiale</t>
        </is>
      </c>
      <c r="G6" s="71" t="n">
        <v>45996</v>
      </c>
      <c r="H6" s="77" t="inlineStr">
        <is>
          <t>Compito</t>
        </is>
      </c>
      <c r="I6" s="77">
        <f>IF((V6-R6)&gt;3,"SI","")</f>
        <v/>
      </c>
      <c r="J6" s="77" t="inlineStr">
        <is>
          <t>SI</t>
        </is>
      </c>
      <c r="K6" s="77" t="n"/>
      <c r="L6" s="77" t="n"/>
      <c r="M6" s="137">
        <f>IF(R6&gt;0,(SQRT(CC6*(SUM(CD6:CI6)))),"")</f>
        <v/>
      </c>
      <c r="N6" s="4">
        <f>IF(T6&gt;0,(MAX(T6,Z6,AD6,AH6,AL6,AP6))+SQRT(1.2^2+1^2),"")</f>
        <v/>
      </c>
      <c r="O6" s="3">
        <f>IF(R6="",0,10*LOG10(SUM(BP6:BU6)/(COUNT(R6,X6,AB6,AF6,AJ6,AN6))))</f>
        <v/>
      </c>
      <c r="P6" s="5">
        <f>IF(AND(Y6="",AC6="",AG6="",AK6="",AO6=""),S6,AVERAGE(S6,Y6,AC6,AG6,AK6,AO6)+STDEV(S6,Y6,AC6,AG6,AK6,AO6))</f>
        <v/>
      </c>
      <c r="Q6" s="14" t="n">
        <v>300</v>
      </c>
      <c r="R6" s="11" t="n">
        <v>98.59999999999999</v>
      </c>
      <c r="S6" s="12" t="n">
        <v>98.3</v>
      </c>
      <c r="T6" s="13" t="n">
        <v>120.7</v>
      </c>
      <c r="U6" s="79" t="n"/>
      <c r="V6" s="79" t="n"/>
      <c r="W6" s="10" t="n">
        <v>300</v>
      </c>
      <c r="X6" s="11" t="n">
        <v>98.59999999999999</v>
      </c>
      <c r="Y6" s="12" t="n">
        <v>97.8</v>
      </c>
      <c r="Z6" s="13" t="n">
        <v>119.4</v>
      </c>
      <c r="AA6" s="10" t="n">
        <v>300</v>
      </c>
      <c r="AB6" s="11" t="n">
        <v>98.09999999999999</v>
      </c>
      <c r="AC6" s="12" t="n">
        <v>96.90000000000001</v>
      </c>
      <c r="AD6" s="13" t="n">
        <v>117.8</v>
      </c>
      <c r="AE6" s="14" t="n">
        <v>300</v>
      </c>
      <c r="AF6" s="11" t="n">
        <v>93.7</v>
      </c>
      <c r="AG6" s="12" t="n">
        <v>93.09999999999999</v>
      </c>
      <c r="AH6" s="13" t="n">
        <v>117.2</v>
      </c>
      <c r="AI6" s="10" t="n">
        <v>300</v>
      </c>
      <c r="AJ6" s="11" t="n">
        <v>100.3</v>
      </c>
      <c r="AK6" s="12" t="n">
        <v>99.2</v>
      </c>
      <c r="AL6" s="13" t="n">
        <v>116</v>
      </c>
      <c r="AM6" s="10" t="n">
        <v>300</v>
      </c>
      <c r="AN6" s="11" t="n">
        <v>96.8</v>
      </c>
      <c r="AO6" s="12" t="n">
        <v>95.59999999999999</v>
      </c>
      <c r="AP6" s="13" t="n">
        <v>120.8</v>
      </c>
      <c r="AQ6" s="6">
        <f>IF(AND((O6)&lt;85,N6&lt;137),"NO","SI")</f>
        <v/>
      </c>
      <c r="AR6" s="7">
        <f>IF((480*(10^(7.95-(O6/10))))&lt;480,480*(10^(7.95-(O6/10))),480)</f>
        <v/>
      </c>
      <c r="AS6" s="8">
        <f>IF((480*(10^(8.45-(O6/10))))&lt;480,480*(10^(8.45-(O6/10))),480)</f>
        <v/>
      </c>
      <c r="AT6" s="9">
        <f>IF((480*(10^(8.65-(O6/10))))&lt;480,480*(10^(8.65-(O6/10))),480)</f>
        <v/>
      </c>
      <c r="AU6" s="151">
        <f>IF(O6&lt;80,"0",IF((P6-O6)&lt;=2,('DPI art.191'!$G$3-(('DPI art.191'!$F$3-'DPI art.191'!$G$3)/4)*(P6-O6-2)),('DPI art.191'!$G$3-(('DPI art.191'!$F$3-'DPI art.191'!$H$3)/8)*(P6-O6-2))))</f>
        <v/>
      </c>
      <c r="AV6" s="24">
        <f>O6-AU6</f>
        <v/>
      </c>
      <c r="AW6" s="24">
        <f>IF(N6&lt;135,N6,N6-'DPI art.191'!$I$3)</f>
        <v/>
      </c>
      <c r="AX6" s="111">
        <f>IF(O6&lt;80,"0",IF((P6-O6)&lt;=2,('DPI art.191'!$G$5-(('DPI art.191'!$F$5-'DPI art.191'!$G$5)/4)*(P6-O6-2)),('DPI art.191'!$G$5-(('DPI art.191'!$G$5-'DPI art.191'!$H$5)/8)*(P6-O6-2))))</f>
        <v/>
      </c>
      <c r="AY6" s="24">
        <f>O6-AX6</f>
        <v/>
      </c>
      <c r="AZ6" s="24">
        <f>IF(N6&lt;135,N6,N6-'DPI art.191'!$I$5)</f>
        <v/>
      </c>
      <c r="BA6" s="111">
        <f>IF(O6&lt;80,"0",IF((P6-O6)&lt;=2,('DPI art.191'!$G$7-(('DPI art.191'!$F$7-'DPI art.191'!$G$7)/4)*(P6-O6-2)),('DPI art.191'!$G$7-(('DPI art.191'!$G$7-'DPI art.191'!$H$7)/8)*(P6-O6-2))))</f>
        <v/>
      </c>
      <c r="BB6" s="24">
        <f>O6-BA6</f>
        <v/>
      </c>
      <c r="BC6" s="24">
        <f>IF(N6&lt;135,N6,N6-'DPI art.191'!$I$7)</f>
        <v/>
      </c>
      <c r="BD6" s="111">
        <f>IF(O6&lt;80,"0",IF((P6-O6)&lt;=2,('DPI art.191'!$G$9-(('DPI art.191'!$F$9-'DPI art.191'!$G$9)/4)*(O6-P6-2)),('DPI art.191'!$G$9-(('DPI art.191'!$G$9-'DPI art.191'!$H$9)/8)*(P6-O6-2))))</f>
        <v/>
      </c>
      <c r="BE6" s="24">
        <f>O6-BD6</f>
        <v/>
      </c>
      <c r="BF6" s="24">
        <f>IF(N6&lt;135,N6,N6-'DPI art.191'!$I$9)</f>
        <v/>
      </c>
      <c r="BG6" s="111">
        <f>IF(O6&lt;80,"0",IF((P6-O6)&lt;=2,('DPI art.191'!$G$11-(('DPI art.191'!$F$11-'DPI art.191'!$G$11)/4)*(P6-O6-2)),('DPI art.191'!$G$11-(('DPI art.191'!$G$11-'DPI art.191'!$H$11)/8)*(P6-O6-2))))</f>
        <v/>
      </c>
      <c r="BH6" s="24">
        <f>O6-BG6</f>
        <v/>
      </c>
      <c r="BI6" s="24">
        <f>IF(T6&lt;135,T6,T6-'DPI art.191'!$I$11)</f>
        <v/>
      </c>
      <c r="BJ6" s="111">
        <f>IF(O6&lt;80,"0",IF((P6-O6)&lt;=2,('DPI art.191'!$G$13-(('DPI art.191'!$F$13-'DPI art.191'!$G$13)/4)*(P6-O6-2)),('DPI art.191'!$G$13-(('DPI art.191'!$G$13-'DPI art.191'!$H$13)/8)*(P6-O6-2))))</f>
        <v/>
      </c>
      <c r="BK6" s="24">
        <f>O6-BJ6</f>
        <v/>
      </c>
      <c r="BL6" s="24">
        <f>IF(T6&lt;135,T6,T6-'DPI art.191'!$I$13)</f>
        <v/>
      </c>
      <c r="BM6" s="111">
        <f>IF(O6&lt;80,"0",IF((P6-O6)&lt;=2,('DPI art.191'!$G$15-(('DPI art.191'!$F$15-'DPI art.191'!$G$15)/4)*(P6-O6-2)),('DPI art.191'!$G$15-(('DPI art.191'!$G$15-'DPI art.191'!$H$15)/8)*(P6-O6-2))))</f>
        <v/>
      </c>
      <c r="BN6" s="24">
        <f>O6-BM6</f>
        <v/>
      </c>
      <c r="BO6" s="24">
        <f>IF(Z6&lt;135,Z6,Z6-'DPI art.191'!$I$15)</f>
        <v/>
      </c>
      <c r="BP6" s="108">
        <f>10^(0.1*R6)</f>
        <v/>
      </c>
      <c r="BQ6" s="108">
        <f>10^(0.1*X6)</f>
        <v/>
      </c>
      <c r="BR6" s="108">
        <f>10^(0.1*AB6)</f>
        <v/>
      </c>
      <c r="BS6" s="108">
        <f>10^(0.1*AF6)</f>
        <v/>
      </c>
      <c r="BT6" s="108">
        <f>10^(0.1*AJ6)</f>
        <v/>
      </c>
      <c r="BU6" s="108">
        <f>10^(0.1*AN6)</f>
        <v/>
      </c>
      <c r="BV6" s="106">
        <f>IF(R6&gt;0,(O6-R6),"")</f>
        <v/>
      </c>
      <c r="BW6" s="106">
        <f>IF(X6&gt;0,(O6-X6),"")</f>
        <v/>
      </c>
      <c r="BX6" s="106">
        <f>IF(AB6&gt;0,(O6-AB6),"")</f>
        <v/>
      </c>
      <c r="BY6" s="106">
        <f>IF(AF6&gt;0,(O6-AF6),"")</f>
        <v/>
      </c>
      <c r="BZ6" s="106">
        <f>IF(AJ6&gt;0,(O6-AJ6),"")</f>
        <v/>
      </c>
      <c r="CA6" s="106">
        <f>IF(AN6&gt;0,(O6-AN6),"")</f>
        <v/>
      </c>
      <c r="CB6" s="106">
        <f>COUNT(BV6:CA6)</f>
        <v/>
      </c>
      <c r="CC6" s="464">
        <f>IF(CB6=0,0,IF(CB6=1,0,1/(CB6*(CB6-1))))</f>
        <v/>
      </c>
      <c r="CD6" s="136">
        <f>IF(R6&gt;0,(BV6^2),"")</f>
        <v/>
      </c>
      <c r="CE6" s="136">
        <f>IF(X6&gt;0,(BW6^2),"")</f>
        <v/>
      </c>
      <c r="CF6" s="136">
        <f>IF(AB6&gt;0,(BX6^2),"")</f>
        <v/>
      </c>
      <c r="CG6" s="136">
        <f>IF(AF6&gt;0,(BY6^2),"")</f>
        <v/>
      </c>
      <c r="CH6" s="136">
        <f>IF(AJ6&gt;0,(BZ6^2),"")</f>
        <v/>
      </c>
      <c r="CI6" s="136">
        <f>IF(AN6&gt;0,(CA6^2),"")</f>
        <v/>
      </c>
    </row>
    <row r="7" ht="18.75" customHeight="1" s="444">
      <c r="A7" s="340" t="inlineStr">
        <is>
          <t>024/B/PRS767</t>
        </is>
      </c>
      <c r="B7" s="65" t="inlineStr">
        <is>
          <t>W2</t>
        </is>
      </c>
      <c r="C7" s="78" t="inlineStr">
        <is>
          <t>Saldatura</t>
        </is>
      </c>
      <c r="D7" s="83" t="inlineStr">
        <is>
          <t>/</t>
        </is>
      </c>
      <c r="E7" s="83" t="inlineStr">
        <is>
          <t>/</t>
        </is>
      </c>
      <c r="F7" s="192" t="inlineStr">
        <is>
          <t>Saldatura</t>
        </is>
      </c>
      <c r="G7" s="71" t="n">
        <v>45996</v>
      </c>
      <c r="H7" s="77" t="inlineStr">
        <is>
          <t>Compito</t>
        </is>
      </c>
      <c r="I7" s="77">
        <f>IF((V7-R7)&gt;3,"SI","")</f>
        <v/>
      </c>
      <c r="J7" s="77" t="inlineStr">
        <is>
          <t>SI</t>
        </is>
      </c>
      <c r="K7" s="77" t="n"/>
      <c r="L7" s="77" t="n"/>
      <c r="M7" s="137">
        <f>IF(R7&gt;0,(SQRT(CC7*(SUM(CD7:CI7)))),"")</f>
        <v/>
      </c>
      <c r="N7" s="4">
        <f>IF(T7&gt;0,(MAX(T7,Z7,AD7,AH7,AL7,AP7))+SQRT(1.2^2+1^2),"")</f>
        <v/>
      </c>
      <c r="O7" s="3">
        <f>IF(R7="",0,10*LOG10(SUM(BP7:BU7)/(COUNT(R7,X7,AB7,AF7,AJ7,AN7))))</f>
        <v/>
      </c>
      <c r="P7" s="5">
        <f>IF(AND(Y7="",AC7="",AG7="",AK7="",AO7=""),S7,AVERAGE(S7,Y7,AC7,AG7,AK7,AO7)+STDEV(S7,Y7,AC7,AG7,AK7,AO7))</f>
        <v/>
      </c>
      <c r="Q7" s="14" t="n">
        <v>300</v>
      </c>
      <c r="R7" s="11" t="n">
        <v>88.7</v>
      </c>
      <c r="S7" s="12" t="n">
        <v>87.90000000000001</v>
      </c>
      <c r="T7" s="13" t="n">
        <v>118.3</v>
      </c>
      <c r="U7" s="79" t="n"/>
      <c r="V7" s="79" t="n"/>
      <c r="W7" s="10" t="n">
        <v>300</v>
      </c>
      <c r="X7" s="11" t="n">
        <v>91.90000000000001</v>
      </c>
      <c r="Y7" s="12" t="n">
        <v>91.40000000000001</v>
      </c>
      <c r="Z7" s="13" t="n">
        <v>116.7</v>
      </c>
      <c r="AA7" s="10" t="n">
        <v>300</v>
      </c>
      <c r="AB7" s="11" t="n">
        <v>80.5</v>
      </c>
      <c r="AC7" s="12" t="n">
        <v>82.8</v>
      </c>
      <c r="AD7" s="13" t="n">
        <v>113.7</v>
      </c>
      <c r="AE7" s="14" t="n">
        <v>300</v>
      </c>
      <c r="AF7" s="11" t="n">
        <v>90.3</v>
      </c>
      <c r="AG7" s="12" t="n">
        <v>90.3</v>
      </c>
      <c r="AH7" s="13" t="n">
        <v>117.7</v>
      </c>
      <c r="AI7" s="10" t="n">
        <v>300</v>
      </c>
      <c r="AJ7" s="11" t="n">
        <v>93.40000000000001</v>
      </c>
      <c r="AK7" s="12" t="n">
        <v>92.7</v>
      </c>
      <c r="AL7" s="13" t="n">
        <v>117.5</v>
      </c>
      <c r="AM7" s="10" t="n">
        <v>300</v>
      </c>
      <c r="AN7" s="11" t="n">
        <v>98</v>
      </c>
      <c r="AO7" s="12" t="n">
        <v>96.59999999999999</v>
      </c>
      <c r="AP7" s="13" t="n">
        <v>122.9</v>
      </c>
      <c r="AQ7" s="6">
        <f>IF(AND((O7)&lt;85,N7&lt;137),"NO","SI")</f>
        <v/>
      </c>
      <c r="AR7" s="7">
        <f>IF((480*(10^(7.95-(O7/10))))&lt;480,480*(10^(7.95-(O7/10))),480)</f>
        <v/>
      </c>
      <c r="AS7" s="8">
        <f>IF((480*(10^(8.45-(O7/10))))&lt;480,480*(10^(8.45-(O7/10))),480)</f>
        <v/>
      </c>
      <c r="AT7" s="9">
        <f>IF((480*(10^(8.65-(O7/10))))&lt;480,480*(10^(8.65-(O7/10))),480)</f>
        <v/>
      </c>
      <c r="AU7" s="151">
        <f>IF(O7&lt;80,"0",IF((P7-O7)&lt;=2,('DPI art.191'!$G$3-(('DPI art.191'!$F$3-'DPI art.191'!$G$3)/4)*(P7-O7-2)),('DPI art.191'!$G$3-(('DPI art.191'!$F$3-'DPI art.191'!$H$3)/8)*(P7-O7-2))))</f>
        <v/>
      </c>
      <c r="AV7" s="24">
        <f>O7-AU7</f>
        <v/>
      </c>
      <c r="AW7" s="24">
        <f>IF(N7&lt;135,N7,N7-'DPI art.191'!$I$3)</f>
        <v/>
      </c>
      <c r="AX7" s="111">
        <f>IF(O7&lt;80,"0",IF((P7-O7)&lt;=2,('DPI art.191'!$G$5-(('DPI art.191'!$F$5-'DPI art.191'!$G$5)/4)*(P7-O7-2)),('DPI art.191'!$G$5-(('DPI art.191'!$G$5-'DPI art.191'!$H$5)/8)*(P7-O7-2))))</f>
        <v/>
      </c>
      <c r="AY7" s="24">
        <f>O7-AX7</f>
        <v/>
      </c>
      <c r="AZ7" s="24">
        <f>IF(N7&lt;135,N7,N7-'DPI art.191'!$I$5)</f>
        <v/>
      </c>
      <c r="BA7" s="111">
        <f>IF(O7&lt;80,"0",IF((P7-O7)&lt;=2,('DPI art.191'!$G$7-(('DPI art.191'!$F$7-'DPI art.191'!$G$7)/4)*(P7-O7-2)),('DPI art.191'!$G$7-(('DPI art.191'!$G$7-'DPI art.191'!$H$7)/8)*(P7-O7-2))))</f>
        <v/>
      </c>
      <c r="BB7" s="24">
        <f>O7-BA7</f>
        <v/>
      </c>
      <c r="BC7" s="24">
        <f>IF(N7&lt;135,N7,N7-'DPI art.191'!$I$7)</f>
        <v/>
      </c>
      <c r="BD7" s="111">
        <f>IF(O7&lt;80,"0",IF((P7-O7)&lt;=2,('DPI art.191'!$G$9-(('DPI art.191'!$F$9-'DPI art.191'!$G$9)/4)*(O7-P7-2)),('DPI art.191'!$G$9-(('DPI art.191'!$G$9-'DPI art.191'!$H$9)/8)*(P7-O7-2))))</f>
        <v/>
      </c>
      <c r="BE7" s="24">
        <f>O7-BD7</f>
        <v/>
      </c>
      <c r="BF7" s="24">
        <f>IF(N7&lt;135,N7,N7-'DPI art.191'!$I$9)</f>
        <v/>
      </c>
      <c r="BG7" s="111">
        <f>IF(O7&lt;80,"0",IF((P7-O7)&lt;=2,('DPI art.191'!$G$11-(('DPI art.191'!$F$11-'DPI art.191'!$G$11)/4)*(P7-O7-2)),('DPI art.191'!$G$11-(('DPI art.191'!$G$11-'DPI art.191'!$H$11)/8)*(P7-O7-2))))</f>
        <v/>
      </c>
      <c r="BH7" s="24">
        <f>O7-BG7</f>
        <v/>
      </c>
      <c r="BI7" s="24">
        <f>IF(T7&lt;135,T7,T7-'DPI art.191'!$I$11)</f>
        <v/>
      </c>
      <c r="BJ7" s="111">
        <f>IF(O7&lt;80,"0",IF((P7-O7)&lt;=2,('DPI art.191'!$G$13-(('DPI art.191'!$F$13-'DPI art.191'!$G$13)/4)*(P7-O7-2)),('DPI art.191'!$G$13-(('DPI art.191'!$G$13-'DPI art.191'!$H$13)/8)*(P7-O7-2))))</f>
        <v/>
      </c>
      <c r="BK7" s="24">
        <f>O7-BJ7</f>
        <v/>
      </c>
      <c r="BL7" s="24">
        <f>IF(T7&lt;135,T7,T7-'DPI art.191'!$I$13)</f>
        <v/>
      </c>
      <c r="BM7" s="111">
        <f>IF(O7&lt;80,"0",IF((P7-O7)&lt;=2,('DPI art.191'!$G$15-(('DPI art.191'!$F$15-'DPI art.191'!$G$15)/4)*(P7-O7-2)),('DPI art.191'!$G$15-(('DPI art.191'!$G$15-'DPI art.191'!$H$15)/8)*(P7-O7-2))))</f>
        <v/>
      </c>
      <c r="BN7" s="24">
        <f>O7-BM7</f>
        <v/>
      </c>
      <c r="BO7" s="24">
        <f>IF(Z7&lt;135,Z7,Z7-'DPI art.191'!$I$15)</f>
        <v/>
      </c>
      <c r="BP7" s="108">
        <f>10^(0.1*R7)</f>
        <v/>
      </c>
      <c r="BQ7" s="108">
        <f>10^(0.1*X7)</f>
        <v/>
      </c>
      <c r="BR7" s="108">
        <f>10^(0.1*AB7)</f>
        <v/>
      </c>
      <c r="BS7" s="108">
        <f>10^(0.1*AF7)</f>
        <v/>
      </c>
      <c r="BT7" s="108">
        <f>10^(0.1*AJ7)</f>
        <v/>
      </c>
      <c r="BU7" s="108">
        <f>10^(0.1*AN7)</f>
        <v/>
      </c>
      <c r="BV7" s="106">
        <f>IF(R7&gt;0,(O7-R7),"")</f>
        <v/>
      </c>
      <c r="BW7" s="106">
        <f>IF(X7&gt;0,(O7-X7),"")</f>
        <v/>
      </c>
      <c r="BX7" s="106">
        <f>IF(AB7&gt;0,(O7-AB7),"")</f>
        <v/>
      </c>
      <c r="BY7" s="106">
        <f>IF(AF7&gt;0,(O7-AF7),"")</f>
        <v/>
      </c>
      <c r="BZ7" s="106">
        <f>IF(AJ7&gt;0,(O7-AJ7),"")</f>
        <v/>
      </c>
      <c r="CA7" s="106">
        <f>IF(AN7&gt;0,(O7-AN7),"")</f>
        <v/>
      </c>
      <c r="CB7" s="106">
        <f>COUNT(BV7:CA7)</f>
        <v/>
      </c>
      <c r="CC7" s="464">
        <f>IF(CB7=0,0,IF(CB7=1,0,1/(CB7*(CB7-1))))</f>
        <v/>
      </c>
      <c r="CD7" s="136">
        <f>IF(R7&gt;0,(BV7^2),"")</f>
        <v/>
      </c>
      <c r="CE7" s="136">
        <f>IF(X7&gt;0,(BW7^2),"")</f>
        <v/>
      </c>
      <c r="CF7" s="136">
        <f>IF(AB7&gt;0,(BX7^2),"")</f>
        <v/>
      </c>
      <c r="CG7" s="136">
        <f>IF(AF7&gt;0,(BY7^2),"")</f>
        <v/>
      </c>
      <c r="CH7" s="136">
        <f>IF(AJ7&gt;0,(BZ7^2),"")</f>
        <v/>
      </c>
      <c r="CI7" s="136">
        <f>IF(AN7&gt;0,(CA7^2),"")</f>
        <v/>
      </c>
    </row>
    <row r="8" ht="18.75" customHeight="1" s="444">
      <c r="A8" s="340" t="inlineStr">
        <is>
          <t>017/1241</t>
        </is>
      </c>
      <c r="B8" s="65" t="inlineStr">
        <is>
          <t>W3</t>
        </is>
      </c>
      <c r="C8" s="78" t="inlineStr">
        <is>
          <t>Molatura con mola piccola</t>
        </is>
      </c>
      <c r="D8" s="83" t="inlineStr">
        <is>
          <t>/</t>
        </is>
      </c>
      <c r="E8" s="83" t="inlineStr">
        <is>
          <t>/</t>
        </is>
      </c>
      <c r="F8" s="192" t="inlineStr">
        <is>
          <t>Molatura con mola piccola</t>
        </is>
      </c>
      <c r="G8" s="71" t="n">
        <v>45996</v>
      </c>
      <c r="H8" s="77" t="inlineStr">
        <is>
          <t>Compito</t>
        </is>
      </c>
      <c r="I8" s="77">
        <f>IF((V8-R8)&gt;3,"SI","")</f>
        <v/>
      </c>
      <c r="J8" s="77" t="inlineStr">
        <is>
          <t>SI</t>
        </is>
      </c>
      <c r="K8" s="77" t="n"/>
      <c r="L8" s="77" t="n"/>
      <c r="M8" s="137">
        <f>IF(R8&gt;0,(SQRT(CC8*(SUM(CD8:CI8)))),"")</f>
        <v/>
      </c>
      <c r="N8" s="4">
        <f>IF(T8&gt;0,(MAX(T8,Z8,AD8,AH8,AL8,AP8))+SQRT(1.2^2+1^2),"")</f>
        <v/>
      </c>
      <c r="O8" s="3">
        <f>IF(R8="",0,10*LOG10(SUM(BP8:BU8)/(COUNT(R8,X8,AB8,AF8,AJ8,AN8))))</f>
        <v/>
      </c>
      <c r="P8" s="5">
        <f>IF(AND(Y8="",AC8="",AG8="",AK8="",AO8=""),S8,AVERAGE(S8,Y8,AC8,AG8,AK8,AO8)+STDEV(S8,Y8,AC8,AG8,AK8,AO8))</f>
        <v/>
      </c>
      <c r="Q8" s="14" t="n">
        <v>300</v>
      </c>
      <c r="R8" s="11" t="n">
        <v>93.90000000000001</v>
      </c>
      <c r="S8" s="12" t="n">
        <v>93.90000000000001</v>
      </c>
      <c r="T8" s="13" t="n">
        <v>121.1</v>
      </c>
      <c r="U8" s="79" t="n"/>
      <c r="V8" s="79" t="n"/>
      <c r="W8" s="10" t="n">
        <v>300</v>
      </c>
      <c r="X8" s="11" t="n">
        <v>92.90000000000001</v>
      </c>
      <c r="Y8" s="12" t="n">
        <v>92.59999999999999</v>
      </c>
      <c r="Z8" s="13" t="n">
        <v>119.6</v>
      </c>
      <c r="AA8" s="10" t="n">
        <v>300</v>
      </c>
      <c r="AB8" s="11" t="n">
        <v>98.3</v>
      </c>
      <c r="AC8" s="12" t="n">
        <v>98.40000000000001</v>
      </c>
      <c r="AD8" s="13" t="n">
        <v>124.2</v>
      </c>
      <c r="AE8" s="14" t="n">
        <v>300</v>
      </c>
      <c r="AF8" s="11" t="n">
        <v>97.7</v>
      </c>
      <c r="AG8" s="12" t="n">
        <v>96.5</v>
      </c>
      <c r="AH8" s="13" t="n">
        <v>126.1</v>
      </c>
      <c r="AI8" s="10" t="n">
        <v>300</v>
      </c>
      <c r="AJ8" s="11" t="n">
        <v>102.7</v>
      </c>
      <c r="AK8" s="12" t="n">
        <v>101.2</v>
      </c>
      <c r="AL8" s="13" t="n">
        <v>120.5</v>
      </c>
      <c r="AM8" s="10" t="n">
        <v>300</v>
      </c>
      <c r="AN8" s="11" t="n">
        <v>98.5</v>
      </c>
      <c r="AO8" s="12" t="n">
        <v>97</v>
      </c>
      <c r="AP8" s="13" t="n">
        <v>120.3</v>
      </c>
      <c r="AQ8" s="6">
        <f>IF(AND((O8)&lt;85,N8&lt;137),"NO","SI")</f>
        <v/>
      </c>
      <c r="AR8" s="7">
        <f>IF((480*(10^(7.95-(O8/10))))&lt;480,480*(10^(7.95-(O8/10))),480)</f>
        <v/>
      </c>
      <c r="AS8" s="8">
        <f>IF((480*(10^(8.45-(O8/10))))&lt;480,480*(10^(8.45-(O8/10))),480)</f>
        <v/>
      </c>
      <c r="AT8" s="9">
        <f>IF((480*(10^(8.65-(O8/10))))&lt;480,480*(10^(8.65-(O8/10))),480)</f>
        <v/>
      </c>
      <c r="AU8" s="151">
        <f>IF(O8&lt;80,"0",IF((P8-O8)&lt;=2,('DPI art.191'!$G$3-(('DPI art.191'!$F$3-'DPI art.191'!$G$3)/4)*(P8-O8-2)),('DPI art.191'!$G$3-(('DPI art.191'!$F$3-'DPI art.191'!$H$3)/8)*(P8-O8-2))))</f>
        <v/>
      </c>
      <c r="AV8" s="24">
        <f>O8-AU8</f>
        <v/>
      </c>
      <c r="AW8" s="24">
        <f>IF(N8&lt;135,N8,N8-'DPI art.191'!$I$3)</f>
        <v/>
      </c>
      <c r="AX8" s="111">
        <f>IF(O8&lt;80,"0",IF((P8-O8)&lt;=2,('DPI art.191'!$G$5-(('DPI art.191'!$F$5-'DPI art.191'!$G$5)/4)*(P8-O8-2)),('DPI art.191'!$G$5-(('DPI art.191'!$G$5-'DPI art.191'!$H$5)/8)*(P8-O8-2))))</f>
        <v/>
      </c>
      <c r="AY8" s="24">
        <f>O8-AX8</f>
        <v/>
      </c>
      <c r="AZ8" s="24">
        <f>IF(N8&lt;135,N8,N8-'DPI art.191'!$I$5)</f>
        <v/>
      </c>
      <c r="BA8" s="111">
        <f>IF(O8&lt;80,"0",IF((P8-O8)&lt;=2,('DPI art.191'!$G$7-(('DPI art.191'!$F$7-'DPI art.191'!$G$7)/4)*(P8-O8-2)),('DPI art.191'!$G$7-(('DPI art.191'!$G$7-'DPI art.191'!$H$7)/8)*(P8-O8-2))))</f>
        <v/>
      </c>
      <c r="BB8" s="24">
        <f>O8-BA8</f>
        <v/>
      </c>
      <c r="BC8" s="24">
        <f>IF(N8&lt;135,N8,N8-'DPI art.191'!$I$7)</f>
        <v/>
      </c>
      <c r="BD8" s="111">
        <f>IF(O8&lt;80,"0",IF((P8-O8)&lt;=2,('DPI art.191'!$G$9-(('DPI art.191'!$F$9-'DPI art.191'!$G$9)/4)*(O8-P8-2)),('DPI art.191'!$G$9-(('DPI art.191'!$G$9-'DPI art.191'!$H$9)/8)*(P8-O8-2))))</f>
        <v/>
      </c>
      <c r="BE8" s="24">
        <f>O8-BD8</f>
        <v/>
      </c>
      <c r="BF8" s="24">
        <f>IF(N8&lt;135,N8,N8-'DPI art.191'!$I$9)</f>
        <v/>
      </c>
      <c r="BG8" s="111">
        <f>IF(O8&lt;80,"0",IF((P8-O8)&lt;=2,('DPI art.191'!$G$11-(('DPI art.191'!$F$11-'DPI art.191'!$G$11)/4)*(P8-O8-2)),('DPI art.191'!$G$11-(('DPI art.191'!$G$11-'DPI art.191'!$H$11)/8)*(P8-O8-2))))</f>
        <v/>
      </c>
      <c r="BH8" s="24">
        <f>O8-BG8</f>
        <v/>
      </c>
      <c r="BI8" s="24">
        <f>IF(T8&lt;135,T8,T8-'DPI art.191'!$I$11)</f>
        <v/>
      </c>
      <c r="BJ8" s="111">
        <f>IF(O8&lt;80,"0",IF((P8-O8)&lt;=2,('DPI art.191'!$G$13-(('DPI art.191'!$F$13-'DPI art.191'!$G$13)/4)*(P8-O8-2)),('DPI art.191'!$G$13-(('DPI art.191'!$G$13-'DPI art.191'!$H$13)/8)*(P8-O8-2))))</f>
        <v/>
      </c>
      <c r="BK8" s="24">
        <f>O8-BJ8</f>
        <v/>
      </c>
      <c r="BL8" s="24">
        <f>IF(T8&lt;135,T8,T8-'DPI art.191'!$I$13)</f>
        <v/>
      </c>
      <c r="BM8" s="111">
        <f>IF(O8&lt;80,"0",IF((P8-O8)&lt;=2,('DPI art.191'!$G$15-(('DPI art.191'!$F$15-'DPI art.191'!$G$15)/4)*(P8-O8-2)),('DPI art.191'!$G$15-(('DPI art.191'!$G$15-'DPI art.191'!$H$15)/8)*(P8-O8-2))))</f>
        <v/>
      </c>
      <c r="BN8" s="24">
        <f>O8-BM8</f>
        <v/>
      </c>
      <c r="BO8" s="24">
        <f>IF(Z8&lt;135,Z8,Z8-'DPI art.191'!$I$15)</f>
        <v/>
      </c>
      <c r="BP8" s="108">
        <f>10^(0.1*R8)</f>
        <v/>
      </c>
      <c r="BQ8" s="108">
        <f>10^(0.1*X8)</f>
        <v/>
      </c>
      <c r="BR8" s="108">
        <f>10^(0.1*AB8)</f>
        <v/>
      </c>
      <c r="BS8" s="108">
        <f>10^(0.1*AF8)</f>
        <v/>
      </c>
      <c r="BT8" s="108">
        <f>10^(0.1*AJ8)</f>
        <v/>
      </c>
      <c r="BU8" s="108">
        <f>10^(0.1*AN8)</f>
        <v/>
      </c>
      <c r="BV8" s="106">
        <f>IF(R8&gt;0,(O8-R8),"")</f>
        <v/>
      </c>
      <c r="BW8" s="106">
        <f>IF(X8&gt;0,(O8-X8),"")</f>
        <v/>
      </c>
      <c r="BX8" s="106">
        <f>IF(AB8&gt;0,(O8-AB8),"")</f>
        <v/>
      </c>
      <c r="BY8" s="106">
        <f>IF(AF8&gt;0,(O8-AF8),"")</f>
        <v/>
      </c>
      <c r="BZ8" s="106">
        <f>IF(AJ8&gt;0,(O8-AJ8),"")</f>
        <v/>
      </c>
      <c r="CA8" s="106">
        <f>IF(AN8&gt;0,(O8-AN8),"")</f>
        <v/>
      </c>
      <c r="CB8" s="106">
        <f>COUNT(BV8:CA8)</f>
        <v/>
      </c>
      <c r="CC8" s="464">
        <f>IF(CB8=0,0,IF(CB8=1,0,1/(CB8*(CB8-1))))</f>
        <v/>
      </c>
      <c r="CD8" s="136">
        <f>IF(R8&gt;0,(BV8^2),"")</f>
        <v/>
      </c>
      <c r="CE8" s="136">
        <f>IF(X8&gt;0,(BW8^2),"")</f>
        <v/>
      </c>
      <c r="CF8" s="136">
        <f>IF(AB8&gt;0,(BX8^2),"")</f>
        <v/>
      </c>
      <c r="CG8" s="136">
        <f>IF(AF8&gt;0,(BY8^2),"")</f>
        <v/>
      </c>
      <c r="CH8" s="136">
        <f>IF(AJ8&gt;0,(BZ8^2),"")</f>
        <v/>
      </c>
      <c r="CI8" s="136">
        <f>IF(AN8&gt;0,(CA8^2),"")</f>
        <v/>
      </c>
    </row>
    <row r="9" ht="18.75" customHeight="1" s="444">
      <c r="A9" s="340" t="inlineStr">
        <is>
          <t>275/07</t>
        </is>
      </c>
      <c r="B9" s="65" t="inlineStr">
        <is>
          <t>W4</t>
        </is>
      </c>
      <c r="C9" s="78" t="inlineStr">
        <is>
          <t>Smussatura</t>
        </is>
      </c>
      <c r="D9" s="83" t="inlineStr">
        <is>
          <t>/</t>
        </is>
      </c>
      <c r="E9" s="83" t="inlineStr">
        <is>
          <t>/</t>
        </is>
      </c>
      <c r="F9" s="192" t="inlineStr">
        <is>
          <t>Smussatura</t>
        </is>
      </c>
      <c r="G9" s="71" t="n">
        <v>45996</v>
      </c>
      <c r="H9" s="77" t="inlineStr">
        <is>
          <t>Compito</t>
        </is>
      </c>
      <c r="I9" s="77">
        <f>IF((V9-R9)&gt;3,"SI","")</f>
        <v/>
      </c>
      <c r="J9" s="77" t="inlineStr">
        <is>
          <t>SI</t>
        </is>
      </c>
      <c r="K9" s="77" t="n"/>
      <c r="L9" s="77" t="n"/>
      <c r="M9" s="137">
        <f>IF(R9&gt;0,(SQRT(CC9*(SUM(CD9:CI9)))),"")</f>
        <v/>
      </c>
      <c r="N9" s="4">
        <f>IF(T9&gt;0,(MAX(T9,Z9,AD9,AH9,AL9,AP9))+SQRT(1.2^2+1^2),"")</f>
        <v/>
      </c>
      <c r="O9" s="3">
        <f>IF(R9="",0,10*LOG10(SUM(BP9:BU9)/(COUNT(R9,X9,AB9,AF9,AJ9,AN9))))</f>
        <v/>
      </c>
      <c r="P9" s="5">
        <f>IF(AND(Y9="",AC9="",AG9="",AK9="",AO9=""),S9,AVERAGE(S9,Y9,AC9,AG9,AK9,AO9)+STDEV(S9,Y9,AC9,AG9,AK9,AO9))</f>
        <v/>
      </c>
      <c r="Q9" s="14" t="n">
        <v>300</v>
      </c>
      <c r="R9" s="11" t="n">
        <v>94.5</v>
      </c>
      <c r="S9" s="12" t="n">
        <v>95</v>
      </c>
      <c r="T9" s="13" t="n">
        <v>121.2</v>
      </c>
      <c r="U9" s="79" t="n"/>
      <c r="V9" s="79" t="n"/>
      <c r="W9" s="10" t="n">
        <v>300</v>
      </c>
      <c r="X9" s="11" t="n">
        <v>91.8</v>
      </c>
      <c r="Y9" s="12" t="n">
        <v>92.59999999999999</v>
      </c>
      <c r="Z9" s="13" t="n">
        <v>115.9</v>
      </c>
      <c r="AA9" s="10" t="n">
        <v>300</v>
      </c>
      <c r="AB9" s="11" t="n">
        <v>92.3</v>
      </c>
      <c r="AC9" s="12" t="n">
        <v>92.90000000000001</v>
      </c>
      <c r="AD9" s="13" t="n">
        <v>117.4</v>
      </c>
      <c r="AE9" s="14" t="n">
        <v>300</v>
      </c>
      <c r="AF9" s="11" t="n">
        <v>94.5</v>
      </c>
      <c r="AG9" s="12" t="n">
        <v>94</v>
      </c>
      <c r="AH9" s="13" t="n">
        <v>121.1</v>
      </c>
      <c r="AI9" s="10" t="n">
        <v>300</v>
      </c>
      <c r="AJ9" s="11" t="n">
        <v>93.5</v>
      </c>
      <c r="AK9" s="12" t="n">
        <v>95</v>
      </c>
      <c r="AL9" s="13" t="n">
        <v>121.4</v>
      </c>
      <c r="AM9" s="10" t="n">
        <v>300</v>
      </c>
      <c r="AN9" s="11" t="n">
        <v>94.59999999999999</v>
      </c>
      <c r="AO9" s="12" t="n">
        <v>94.2</v>
      </c>
      <c r="AP9" s="13" t="n">
        <v>121.2</v>
      </c>
      <c r="AQ9" s="6">
        <f>IF(AND((O9)&lt;85,N9&lt;137),"NO","SI")</f>
        <v/>
      </c>
      <c r="AR9" s="7">
        <f>IF((480*(10^(7.95-(O9/10))))&lt;480,480*(10^(7.95-(O9/10))),480)</f>
        <v/>
      </c>
      <c r="AS9" s="8">
        <f>IF((480*(10^(8.45-(O9/10))))&lt;480,480*(10^(8.45-(O9/10))),480)</f>
        <v/>
      </c>
      <c r="AT9" s="9">
        <f>IF((480*(10^(8.65-(O9/10))))&lt;480,480*(10^(8.65-(O9/10))),480)</f>
        <v/>
      </c>
      <c r="AU9" s="151">
        <f>IF(O9&lt;80,"0",IF((P9-O9)&lt;=2,('DPI art.191'!$G$3-(('DPI art.191'!$F$3-'DPI art.191'!$G$3)/4)*(P9-O9-2)),('DPI art.191'!$G$3-(('DPI art.191'!$F$3-'DPI art.191'!$H$3)/8)*(P9-O9-2))))</f>
        <v/>
      </c>
      <c r="AV9" s="24">
        <f>O9-AU9</f>
        <v/>
      </c>
      <c r="AW9" s="24">
        <f>IF(N9&lt;135,N9,N9-'DPI art.191'!$I$3)</f>
        <v/>
      </c>
      <c r="AX9" s="111">
        <f>IF(O9&lt;80,"0",IF((P9-O9)&lt;=2,('DPI art.191'!$G$5-(('DPI art.191'!$F$5-'DPI art.191'!$G$5)/4)*(P9-O9-2)),('DPI art.191'!$G$5-(('DPI art.191'!$G$5-'DPI art.191'!$H$5)/8)*(P9-O9-2))))</f>
        <v/>
      </c>
      <c r="AY9" s="24">
        <f>O9-AX9</f>
        <v/>
      </c>
      <c r="AZ9" s="24">
        <f>IF(N9&lt;135,N9,N9-'DPI art.191'!$I$5)</f>
        <v/>
      </c>
      <c r="BA9" s="111">
        <f>IF(O9&lt;80,"0",IF((P9-O9)&lt;=2,('DPI art.191'!$G$7-(('DPI art.191'!$F$7-'DPI art.191'!$G$7)/4)*(P9-O9-2)),('DPI art.191'!$G$7-(('DPI art.191'!$G$7-'DPI art.191'!$H$7)/8)*(P9-O9-2))))</f>
        <v/>
      </c>
      <c r="BB9" s="24">
        <f>O9-BA9</f>
        <v/>
      </c>
      <c r="BC9" s="24">
        <f>IF(N9&lt;135,N9,N9-'DPI art.191'!$I$7)</f>
        <v/>
      </c>
      <c r="BD9" s="111">
        <f>IF(O9&lt;80,"0",IF((P9-O9)&lt;=2,('DPI art.191'!$G$9-(('DPI art.191'!$F$9-'DPI art.191'!$G$9)/4)*(O9-P9-2)),('DPI art.191'!$G$9-(('DPI art.191'!$G$9-'DPI art.191'!$H$9)/8)*(P9-O9-2))))</f>
        <v/>
      </c>
      <c r="BE9" s="24">
        <f>O9-BD9</f>
        <v/>
      </c>
      <c r="BF9" s="24">
        <f>IF(N9&lt;135,N9,N9-'DPI art.191'!$I$9)</f>
        <v/>
      </c>
      <c r="BG9" s="111">
        <f>IF(O9&lt;80,"0",IF((P9-O9)&lt;=2,('DPI art.191'!$G$11-(('DPI art.191'!$F$11-'DPI art.191'!$G$11)/4)*(P9-O9-2)),('DPI art.191'!$G$11-(('DPI art.191'!$G$11-'DPI art.191'!$H$11)/8)*(P9-O9-2))))</f>
        <v/>
      </c>
      <c r="BH9" s="24">
        <f>O9-BG9</f>
        <v/>
      </c>
      <c r="BI9" s="24">
        <f>IF(T9&lt;135,T9,T9-'DPI art.191'!$I$11)</f>
        <v/>
      </c>
      <c r="BJ9" s="111">
        <f>IF(O9&lt;80,"0",IF((P9-O9)&lt;=2,('DPI art.191'!$G$13-(('DPI art.191'!$F$13-'DPI art.191'!$G$13)/4)*(P9-O9-2)),('DPI art.191'!$G$13-(('DPI art.191'!$G$13-'DPI art.191'!$H$13)/8)*(P9-O9-2))))</f>
        <v/>
      </c>
      <c r="BK9" s="24">
        <f>O9-BJ9</f>
        <v/>
      </c>
      <c r="BL9" s="24">
        <f>IF(T9&lt;135,T9,T9-'DPI art.191'!$I$13)</f>
        <v/>
      </c>
      <c r="BM9" s="111">
        <f>IF(O9&lt;80,"0",IF((P9-O9)&lt;=2,('DPI art.191'!$G$15-(('DPI art.191'!$F$15-'DPI art.191'!$G$15)/4)*(P9-O9-2)),('DPI art.191'!$G$15-(('DPI art.191'!$G$15-'DPI art.191'!$H$15)/8)*(P9-O9-2))))</f>
        <v/>
      </c>
      <c r="BN9" s="24">
        <f>O9-BM9</f>
        <v/>
      </c>
      <c r="BO9" s="24">
        <f>IF(Z9&lt;135,Z9,Z9-'DPI art.191'!$I$15)</f>
        <v/>
      </c>
      <c r="BP9" s="108">
        <f>10^(0.1*R9)</f>
        <v/>
      </c>
      <c r="BQ9" s="108">
        <f>10^(0.1*X9)</f>
        <v/>
      </c>
      <c r="BR9" s="108">
        <f>10^(0.1*AB9)</f>
        <v/>
      </c>
      <c r="BS9" s="108">
        <f>10^(0.1*AF9)</f>
        <v/>
      </c>
      <c r="BT9" s="108">
        <f>10^(0.1*AJ9)</f>
        <v/>
      </c>
      <c r="BU9" s="108">
        <f>10^(0.1*AN9)</f>
        <v/>
      </c>
      <c r="BV9" s="106">
        <f>IF(R9&gt;0,(O9-R9),"")</f>
        <v/>
      </c>
      <c r="BW9" s="106">
        <f>IF(X9&gt;0,(O9-X9),"")</f>
        <v/>
      </c>
      <c r="BX9" s="106">
        <f>IF(AB9&gt;0,(O9-AB9),"")</f>
        <v/>
      </c>
      <c r="BY9" s="106">
        <f>IF(AF9&gt;0,(O9-AF9),"")</f>
        <v/>
      </c>
      <c r="BZ9" s="106">
        <f>IF(AJ9&gt;0,(O9-AJ9),"")</f>
        <v/>
      </c>
      <c r="CA9" s="106">
        <f>IF(AN9&gt;0,(O9-AN9),"")</f>
        <v/>
      </c>
      <c r="CB9" s="106">
        <f>COUNT(BV9:CA9)</f>
        <v/>
      </c>
      <c r="CC9" s="464">
        <f>IF(CB9=0,0,IF(CB9=1,0,1/(CB9*(CB9-1))))</f>
        <v/>
      </c>
      <c r="CD9" s="136">
        <f>IF(R9&gt;0,(BV9^2),"")</f>
        <v/>
      </c>
      <c r="CE9" s="136">
        <f>IF(X9&gt;0,(BW9^2),"")</f>
        <v/>
      </c>
      <c r="CF9" s="136">
        <f>IF(AB9&gt;0,(BX9^2),"")</f>
        <v/>
      </c>
      <c r="CG9" s="136">
        <f>IF(AF9&gt;0,(BY9^2),"")</f>
        <v/>
      </c>
      <c r="CH9" s="136">
        <f>IF(AJ9&gt;0,(BZ9^2),"")</f>
        <v/>
      </c>
      <c r="CI9" s="136">
        <f>IF(AN9&gt;0,(CA9^2),"")</f>
        <v/>
      </c>
    </row>
    <row r="10" ht="18.75" customHeight="1" s="444">
      <c r="A10" s="340" t="inlineStr">
        <is>
          <t>017/1419</t>
        </is>
      </c>
      <c r="B10" s="65" t="inlineStr">
        <is>
          <t>W5</t>
        </is>
      </c>
      <c r="C10" s="78" t="inlineStr">
        <is>
          <t>Molatura con mola piccola</t>
        </is>
      </c>
      <c r="D10" s="83" t="inlineStr">
        <is>
          <t>/</t>
        </is>
      </c>
      <c r="E10" s="83" t="inlineStr">
        <is>
          <t>/</t>
        </is>
      </c>
      <c r="F10" s="192" t="inlineStr">
        <is>
          <t>Molatura con mola piccola</t>
        </is>
      </c>
      <c r="G10" s="71" t="n">
        <v>45996</v>
      </c>
      <c r="H10" s="77" t="inlineStr">
        <is>
          <t>Compito</t>
        </is>
      </c>
      <c r="I10" s="77">
        <f>IF((V10-R10)&gt;3,"SI","")</f>
        <v/>
      </c>
      <c r="J10" s="77" t="inlineStr">
        <is>
          <t>SI</t>
        </is>
      </c>
      <c r="K10" s="77" t="n"/>
      <c r="L10" s="77" t="n"/>
      <c r="M10" s="137">
        <f>IF(R10&gt;0,(SQRT(CC10*(SUM(CD10:CI10)))),"")</f>
        <v/>
      </c>
      <c r="N10" s="4">
        <f>IF(T10&gt;0,(MAX(T10,Z10,AD10,AH10,AL10,AP10))+SQRT(1.2^2+1^2),"")</f>
        <v/>
      </c>
      <c r="O10" s="3">
        <f>IF(R10="",0,10*LOG10(SUM(BP10:BU10)/(COUNT(R10,X10,AB10,AF10,AJ10,AN10))))</f>
        <v/>
      </c>
      <c r="P10" s="5">
        <f>IF(AND(Y10="",AC10="",AG10="",AK10="",AO10=""),S10,AVERAGE(S10,Y10,AC10,AG10,AK10,AO10)+STDEV(S10,Y10,AC10,AG10,AK10,AO10))</f>
        <v/>
      </c>
      <c r="Q10" s="14" t="n">
        <v>300</v>
      </c>
      <c r="R10" s="11" t="n">
        <v>103</v>
      </c>
      <c r="S10" s="12" t="n">
        <v>101.5</v>
      </c>
      <c r="T10" s="13" t="n">
        <v>125.9</v>
      </c>
      <c r="U10" s="79" t="n"/>
      <c r="V10" s="79" t="n"/>
      <c r="W10" s="10" t="n">
        <v>300</v>
      </c>
      <c r="X10" s="11" t="n">
        <v>101.8</v>
      </c>
      <c r="Y10" s="12" t="n">
        <v>100.2</v>
      </c>
      <c r="Z10" s="13" t="n">
        <v>130.5</v>
      </c>
      <c r="AA10" s="10" t="n">
        <v>300</v>
      </c>
      <c r="AB10" s="11" t="n">
        <v>98.3</v>
      </c>
      <c r="AC10" s="12" t="n">
        <v>96.8</v>
      </c>
      <c r="AD10" s="13" t="n">
        <v>125.9</v>
      </c>
      <c r="AE10" s="14" t="n">
        <v>300</v>
      </c>
      <c r="AF10" s="11" t="n">
        <v>106.3</v>
      </c>
      <c r="AG10" s="12" t="n">
        <v>104.7</v>
      </c>
      <c r="AH10" s="13" t="n">
        <v>125.3</v>
      </c>
      <c r="AI10" s="10" t="n">
        <v>300</v>
      </c>
      <c r="AJ10" s="11" t="n">
        <v>105.5</v>
      </c>
      <c r="AK10" s="12" t="n">
        <v>104</v>
      </c>
      <c r="AL10" s="13" t="n">
        <v>128.3</v>
      </c>
      <c r="AM10" s="10" t="n">
        <v>300</v>
      </c>
      <c r="AN10" s="11" t="n">
        <v>95.59999999999999</v>
      </c>
      <c r="AO10" s="12" t="n">
        <v>94.5</v>
      </c>
      <c r="AP10" s="13" t="n">
        <v>124.3</v>
      </c>
      <c r="AQ10" s="6">
        <f>IF(AND((O10)&lt;85,N10&lt;137),"NO","SI")</f>
        <v/>
      </c>
      <c r="AR10" s="7">
        <f>IF((480*(10^(7.95-(O10/10))))&lt;480,480*(10^(7.95-(O10/10))),480)</f>
        <v/>
      </c>
      <c r="AS10" s="8">
        <f>IF((480*(10^(8.45-(O10/10))))&lt;480,480*(10^(8.45-(O10/10))),480)</f>
        <v/>
      </c>
      <c r="AT10" s="9">
        <f>IF((480*(10^(8.65-(O10/10))))&lt;480,480*(10^(8.65-(O10/10))),480)</f>
        <v/>
      </c>
      <c r="AU10" s="151">
        <f>IF(O10&lt;80,"0",IF((P10-O10)&lt;=2,('DPI art.191'!$G$3-(('DPI art.191'!$F$3-'DPI art.191'!$G$3)/4)*(P10-O10-2)),('DPI art.191'!$G$3-(('DPI art.191'!$F$3-'DPI art.191'!$H$3)/8)*(P10-O10-2))))</f>
        <v/>
      </c>
      <c r="AV10" s="24">
        <f>O10-AU10</f>
        <v/>
      </c>
      <c r="AW10" s="24">
        <f>IF(N10&lt;135,N10,N10-'DPI art.191'!$I$3)</f>
        <v/>
      </c>
      <c r="AX10" s="111">
        <f>IF(O10&lt;80,"0",IF((P10-O10)&lt;=2,('DPI art.191'!$G$5-(('DPI art.191'!$F$5-'DPI art.191'!$G$5)/4)*(P10-O10-2)),('DPI art.191'!$G$5-(('DPI art.191'!$G$5-'DPI art.191'!$H$5)/8)*(P10-O10-2))))</f>
        <v/>
      </c>
      <c r="AY10" s="24">
        <f>O10-AX10</f>
        <v/>
      </c>
      <c r="AZ10" s="24">
        <f>IF(N10&lt;135,N10,N10-'DPI art.191'!$I$5)</f>
        <v/>
      </c>
      <c r="BA10" s="111">
        <f>IF(O10&lt;80,"0",IF((P10-O10)&lt;=2,('DPI art.191'!$G$7-(('DPI art.191'!$F$7-'DPI art.191'!$G$7)/4)*(P10-O10-2)),('DPI art.191'!$G$7-(('DPI art.191'!$G$7-'DPI art.191'!$H$7)/8)*(P10-O10-2))))</f>
        <v/>
      </c>
      <c r="BB10" s="24">
        <f>O10-BA10</f>
        <v/>
      </c>
      <c r="BC10" s="24">
        <f>IF(N10&lt;135,N10,N10-'DPI art.191'!$I$7)</f>
        <v/>
      </c>
      <c r="BD10" s="111">
        <f>IF(O10&lt;80,"0",IF((P10-O10)&lt;=2,('DPI art.191'!$G$9-(('DPI art.191'!$F$9-'DPI art.191'!$G$9)/4)*(O10-P10-2)),('DPI art.191'!$G$9-(('DPI art.191'!$G$9-'DPI art.191'!$H$9)/8)*(P10-O10-2))))</f>
        <v/>
      </c>
      <c r="BE10" s="24">
        <f>O10-BD10</f>
        <v/>
      </c>
      <c r="BF10" s="24">
        <f>IF(N10&lt;135,N10,N10-'DPI art.191'!$I$9)</f>
        <v/>
      </c>
      <c r="BG10" s="111">
        <f>IF(O10&lt;80,"0",IF((P10-O10)&lt;=2,('DPI art.191'!$G$11-(('DPI art.191'!$F$11-'DPI art.191'!$G$11)/4)*(P10-O10-2)),('DPI art.191'!$G$11-(('DPI art.191'!$G$11-'DPI art.191'!$H$11)/8)*(P10-O10-2))))</f>
        <v/>
      </c>
      <c r="BH10" s="24">
        <f>O10-BG10</f>
        <v/>
      </c>
      <c r="BI10" s="24">
        <f>IF(T10&lt;135,T10,T10-'DPI art.191'!$I$11)</f>
        <v/>
      </c>
      <c r="BJ10" s="111">
        <f>IF(O10&lt;80,"0",IF((P10-O10)&lt;=2,('DPI art.191'!$G$13-(('DPI art.191'!$F$13-'DPI art.191'!$G$13)/4)*(P10-O10-2)),('DPI art.191'!$G$13-(('DPI art.191'!$G$13-'DPI art.191'!$H$13)/8)*(P10-O10-2))))</f>
        <v/>
      </c>
      <c r="BK10" s="24">
        <f>O10-BJ10</f>
        <v/>
      </c>
      <c r="BL10" s="24">
        <f>IF(T10&lt;135,T10,T10-'DPI art.191'!$I$13)</f>
        <v/>
      </c>
      <c r="BM10" s="111">
        <f>IF(O10&lt;80,"0",IF((P10-O10)&lt;=2,('DPI art.191'!$G$15-(('DPI art.191'!$F$15-'DPI art.191'!$G$15)/4)*(P10-O10-2)),('DPI art.191'!$G$15-(('DPI art.191'!$G$15-'DPI art.191'!$H$15)/8)*(P10-O10-2))))</f>
        <v/>
      </c>
      <c r="BN10" s="24">
        <f>O10-BM10</f>
        <v/>
      </c>
      <c r="BO10" s="24">
        <f>IF(Z10&lt;135,Z10,Z10-'DPI art.191'!$I$15)</f>
        <v/>
      </c>
      <c r="BP10" s="108">
        <f>10^(0.1*R10)</f>
        <v/>
      </c>
      <c r="BQ10" s="108">
        <f>10^(0.1*X10)</f>
        <v/>
      </c>
      <c r="BR10" s="108">
        <f>10^(0.1*AB10)</f>
        <v/>
      </c>
      <c r="BS10" s="108">
        <f>10^(0.1*AF10)</f>
        <v/>
      </c>
      <c r="BT10" s="108">
        <f>10^(0.1*AJ10)</f>
        <v/>
      </c>
      <c r="BU10" s="108">
        <f>10^(0.1*AN10)</f>
        <v/>
      </c>
      <c r="BV10" s="106">
        <f>IF(R10&gt;0,(O10-R10),"")</f>
        <v/>
      </c>
      <c r="BW10" s="106">
        <f>IF(X10&gt;0,(O10-X10),"")</f>
        <v/>
      </c>
      <c r="BX10" s="106">
        <f>IF(AB10&gt;0,(O10-AB10),"")</f>
        <v/>
      </c>
      <c r="BY10" s="106">
        <f>IF(AF10&gt;0,(O10-AF10),"")</f>
        <v/>
      </c>
      <c r="BZ10" s="106">
        <f>IF(AJ10&gt;0,(O10-AJ10),"")</f>
        <v/>
      </c>
      <c r="CA10" s="106">
        <f>IF(AN10&gt;0,(O10-AN10),"")</f>
        <v/>
      </c>
      <c r="CB10" s="106">
        <f>COUNT(BV10:CA10)</f>
        <v/>
      </c>
      <c r="CC10" s="464">
        <f>IF(CB10=0,0,IF(CB10=1,0,1/(CB10*(CB10-1))))</f>
        <v/>
      </c>
      <c r="CD10" s="136">
        <f>IF(R10&gt;0,(BV10^2),"")</f>
        <v/>
      </c>
      <c r="CE10" s="136">
        <f>IF(X10&gt;0,(BW10^2),"")</f>
        <v/>
      </c>
      <c r="CF10" s="136">
        <f>IF(AB10&gt;0,(BX10^2),"")</f>
        <v/>
      </c>
      <c r="CG10" s="136">
        <f>IF(AF10&gt;0,(BY10^2),"")</f>
        <v/>
      </c>
      <c r="CH10" s="136">
        <f>IF(AJ10&gt;0,(BZ10^2),"")</f>
        <v/>
      </c>
      <c r="CI10" s="136">
        <f>IF(AN10&gt;0,(CA10^2),"")</f>
        <v/>
      </c>
    </row>
    <row r="11" ht="25.5" customHeight="1" s="444">
      <c r="A11" s="340" t="inlineStr">
        <is>
          <t>024/B/PRS809</t>
        </is>
      </c>
      <c r="B11" s="65" t="inlineStr">
        <is>
          <t>W6</t>
        </is>
      </c>
      <c r="C11" s="78" t="inlineStr">
        <is>
          <t>Saldatura interna gambe in piattaforma</t>
        </is>
      </c>
      <c r="D11" s="83" t="inlineStr">
        <is>
          <t>/</t>
        </is>
      </c>
      <c r="E11" s="83" t="inlineStr">
        <is>
          <t>/</t>
        </is>
      </c>
      <c r="F11" s="192" t="inlineStr">
        <is>
          <t>Saldatura interna gambe in piattaforma</t>
        </is>
      </c>
      <c r="G11" s="71" t="n">
        <v>45996</v>
      </c>
      <c r="H11" s="77" t="inlineStr">
        <is>
          <t>Compito</t>
        </is>
      </c>
      <c r="I11" s="77">
        <f>IF((V11-R11)&gt;3,"SI","")</f>
        <v/>
      </c>
      <c r="J11" s="77" t="inlineStr">
        <is>
          <t>SI</t>
        </is>
      </c>
      <c r="K11" s="77" t="n"/>
      <c r="L11" s="77" t="n"/>
      <c r="M11" s="137">
        <f>IF(R11&gt;0,(SQRT(CC11*(SUM(CD11:CI11)))),"")</f>
        <v/>
      </c>
      <c r="N11" s="4">
        <f>IF(T11&gt;0,(MAX(T11,Z11,AD11,AH11,AL11,AP11))+SQRT(1.2^2+1^2),"")</f>
        <v/>
      </c>
      <c r="O11" s="3">
        <f>IF(R11="",0,10*LOG10(SUM(BP11:BU11)/(COUNT(R11,X11,AB11,AF11,AJ11,AN11))))</f>
        <v/>
      </c>
      <c r="P11" s="5">
        <f>IF(AND(Y11="",AC11="",AG11="",AK11="",AO11=""),S11,AVERAGE(S11,Y11,AC11,AG11,AK11,AO11)+STDEV(S11,Y11,AC11,AG11,AK11,AO11))</f>
        <v/>
      </c>
      <c r="Q11" s="14" t="n">
        <v>300</v>
      </c>
      <c r="R11" s="11" t="n">
        <v>86.09999999999999</v>
      </c>
      <c r="S11" s="12" t="n">
        <v>88.09999999999999</v>
      </c>
      <c r="T11" s="13" t="n">
        <v>125.6</v>
      </c>
      <c r="U11" s="79" t="n"/>
      <c r="V11" s="79" t="n"/>
      <c r="W11" s="10" t="n">
        <v>300</v>
      </c>
      <c r="X11" s="11" t="n">
        <v>84.40000000000001</v>
      </c>
      <c r="Y11" s="12" t="n">
        <v>87.90000000000001</v>
      </c>
      <c r="Z11" s="13" t="n">
        <v>123</v>
      </c>
      <c r="AA11" s="10" t="n">
        <v>300</v>
      </c>
      <c r="AB11" s="11" t="n">
        <v>87.3</v>
      </c>
      <c r="AC11" s="12" t="n">
        <v>89.90000000000001</v>
      </c>
      <c r="AD11" s="13" t="n">
        <v>119.6</v>
      </c>
      <c r="AE11" s="14" t="n">
        <v>300</v>
      </c>
      <c r="AF11" s="11" t="n">
        <v>102.5</v>
      </c>
      <c r="AG11" s="12" t="n">
        <v>101.1</v>
      </c>
      <c r="AH11" s="13" t="n">
        <v>127.5</v>
      </c>
      <c r="AI11" s="10" t="n">
        <v>300</v>
      </c>
      <c r="AJ11" s="11" t="n">
        <v>89.8</v>
      </c>
      <c r="AK11" s="12" t="n">
        <v>90</v>
      </c>
      <c r="AL11" s="13" t="n">
        <v>115.4</v>
      </c>
      <c r="AM11" s="10" t="n">
        <v>300</v>
      </c>
      <c r="AN11" s="11" t="n">
        <v>85.90000000000001</v>
      </c>
      <c r="AO11" s="12" t="n">
        <v>86.09999999999999</v>
      </c>
      <c r="AP11" s="13" t="n">
        <v>121.3</v>
      </c>
      <c r="AQ11" s="6">
        <f>IF(AND((O11)&lt;85,N11&lt;137),"NO","SI")</f>
        <v/>
      </c>
      <c r="AR11" s="7">
        <f>IF((480*(10^(7.95-(O11/10))))&lt;480,480*(10^(7.95-(O11/10))),480)</f>
        <v/>
      </c>
      <c r="AS11" s="8">
        <f>IF((480*(10^(8.45-(O11/10))))&lt;480,480*(10^(8.45-(O11/10))),480)</f>
        <v/>
      </c>
      <c r="AT11" s="9">
        <f>IF((480*(10^(8.65-(O11/10))))&lt;480,480*(10^(8.65-(O11/10))),480)</f>
        <v/>
      </c>
      <c r="AU11" s="151">
        <f>IF(O11&lt;80,"0",IF((P11-O11)&lt;=2,('DPI art.191'!$G$3-(('DPI art.191'!$F$3-'DPI art.191'!$G$3)/4)*(P11-O11-2)),('DPI art.191'!$G$3-(('DPI art.191'!$F$3-'DPI art.191'!$H$3)/8)*(P11-O11-2))))</f>
        <v/>
      </c>
      <c r="AV11" s="24">
        <f>O11-AU11</f>
        <v/>
      </c>
      <c r="AW11" s="24">
        <f>IF(N11&lt;135,N11,N11-'DPI art.191'!$I$3)</f>
        <v/>
      </c>
      <c r="AX11" s="111">
        <f>IF(O11&lt;80,"0",IF((P11-O11)&lt;=2,('DPI art.191'!$G$5-(('DPI art.191'!$F$5-'DPI art.191'!$G$5)/4)*(P11-O11-2)),('DPI art.191'!$G$5-(('DPI art.191'!$G$5-'DPI art.191'!$H$5)/8)*(P11-O11-2))))</f>
        <v/>
      </c>
      <c r="AY11" s="24">
        <f>O11-AX11</f>
        <v/>
      </c>
      <c r="AZ11" s="24">
        <f>IF(N11&lt;135,N11,N11-'DPI art.191'!$I$5)</f>
        <v/>
      </c>
      <c r="BA11" s="111">
        <f>IF(O11&lt;80,"0",IF((P11-O11)&lt;=2,('DPI art.191'!$G$7-(('DPI art.191'!$F$7-'DPI art.191'!$G$7)/4)*(P11-O11-2)),('DPI art.191'!$G$7-(('DPI art.191'!$G$7-'DPI art.191'!$H$7)/8)*(P11-O11-2))))</f>
        <v/>
      </c>
      <c r="BB11" s="24">
        <f>O11-BA11</f>
        <v/>
      </c>
      <c r="BC11" s="24">
        <f>IF(N11&lt;135,N11,N11-'DPI art.191'!$I$7)</f>
        <v/>
      </c>
      <c r="BD11" s="111">
        <f>IF(O11&lt;80,"0",IF((P11-O11)&lt;=2,('DPI art.191'!$G$9-(('DPI art.191'!$F$9-'DPI art.191'!$G$9)/4)*(O11-P11-2)),('DPI art.191'!$G$9-(('DPI art.191'!$G$9-'DPI art.191'!$H$9)/8)*(P11-O11-2))))</f>
        <v/>
      </c>
      <c r="BE11" s="24">
        <f>O11-BD11</f>
        <v/>
      </c>
      <c r="BF11" s="24">
        <f>IF(N11&lt;135,N11,N11-'DPI art.191'!$I$9)</f>
        <v/>
      </c>
      <c r="BG11" s="111">
        <f>IF(O11&lt;80,"0",IF((P11-O11)&lt;=2,('DPI art.191'!$G$11-(('DPI art.191'!$F$11-'DPI art.191'!$G$11)/4)*(P11-O11-2)),('DPI art.191'!$G$11-(('DPI art.191'!$G$11-'DPI art.191'!$H$11)/8)*(P11-O11-2))))</f>
        <v/>
      </c>
      <c r="BH11" s="24">
        <f>O11-BG11</f>
        <v/>
      </c>
      <c r="BI11" s="24">
        <f>IF(T11&lt;135,T11,T11-'DPI art.191'!$I$11)</f>
        <v/>
      </c>
      <c r="BJ11" s="111">
        <f>IF(O11&lt;80,"0",IF((P11-O11)&lt;=2,('DPI art.191'!$G$13-(('DPI art.191'!$F$13-'DPI art.191'!$G$13)/4)*(P11-O11-2)),('DPI art.191'!$G$13-(('DPI art.191'!$G$13-'DPI art.191'!$H$13)/8)*(P11-O11-2))))</f>
        <v/>
      </c>
      <c r="BK11" s="24">
        <f>O11-BJ11</f>
        <v/>
      </c>
      <c r="BL11" s="24">
        <f>IF(T11&lt;135,T11,T11-'DPI art.191'!$I$13)</f>
        <v/>
      </c>
      <c r="BM11" s="111">
        <f>IF(O11&lt;80,"0",IF((P11-O11)&lt;=2,('DPI art.191'!$G$15-(('DPI art.191'!$F$15-'DPI art.191'!$G$15)/4)*(P11-O11-2)),('DPI art.191'!$G$15-(('DPI art.191'!$G$15-'DPI art.191'!$H$15)/8)*(P11-O11-2))))</f>
        <v/>
      </c>
      <c r="BN11" s="24">
        <f>O11-BM11</f>
        <v/>
      </c>
      <c r="BO11" s="24">
        <f>IF(Z11&lt;135,Z11,Z11-'DPI art.191'!$I$15)</f>
        <v/>
      </c>
      <c r="BP11" s="108">
        <f>10^(0.1*R11)</f>
        <v/>
      </c>
      <c r="BQ11" s="108">
        <f>10^(0.1*X11)</f>
        <v/>
      </c>
      <c r="BR11" s="108">
        <f>10^(0.1*AB11)</f>
        <v/>
      </c>
      <c r="BS11" s="108">
        <f>10^(0.1*AF11)</f>
        <v/>
      </c>
      <c r="BT11" s="108">
        <f>10^(0.1*AJ11)</f>
        <v/>
      </c>
      <c r="BU11" s="108">
        <f>10^(0.1*AN11)</f>
        <v/>
      </c>
      <c r="BV11" s="106">
        <f>IF(R11&gt;0,(O11-R11),"")</f>
        <v/>
      </c>
      <c r="BW11" s="106">
        <f>IF(X11&gt;0,(O11-X11),"")</f>
        <v/>
      </c>
      <c r="BX11" s="106">
        <f>IF(AB11&gt;0,(O11-AB11),"")</f>
        <v/>
      </c>
      <c r="BY11" s="106">
        <f>IF(AF11&gt;0,(O11-AF11),"")</f>
        <v/>
      </c>
      <c r="BZ11" s="106">
        <f>IF(AJ11&gt;0,(O11-AJ11),"")</f>
        <v/>
      </c>
      <c r="CA11" s="106">
        <f>IF(AN11&gt;0,(O11-AN11),"")</f>
        <v/>
      </c>
      <c r="CB11" s="106">
        <f>COUNT(BV11:CA11)</f>
        <v/>
      </c>
      <c r="CC11" s="464">
        <f>IF(CB11=0,0,IF(CB11=1,0,1/(CB11*(CB11-1))))</f>
        <v/>
      </c>
      <c r="CD11" s="136">
        <f>IF(R11&gt;0,(BV11^2),"")</f>
        <v/>
      </c>
      <c r="CE11" s="136">
        <f>IF(X11&gt;0,(BW11^2),"")</f>
        <v/>
      </c>
      <c r="CF11" s="136">
        <f>IF(AB11&gt;0,(BX11^2),"")</f>
        <v/>
      </c>
      <c r="CG11" s="136">
        <f>IF(AF11&gt;0,(BY11^2),"")</f>
        <v/>
      </c>
      <c r="CH11" s="136">
        <f>IF(AJ11&gt;0,(BZ11^2),"")</f>
        <v/>
      </c>
      <c r="CI11" s="136">
        <f>IF(AN11&gt;0,(CA11^2),"")</f>
        <v/>
      </c>
    </row>
    <row r="12" ht="25.5" customHeight="1" s="444">
      <c r="A12" s="340" t="inlineStr">
        <is>
          <t>458/30</t>
        </is>
      </c>
      <c r="B12" s="65" t="inlineStr">
        <is>
          <t>W7</t>
        </is>
      </c>
      <c r="C12" s="78" t="inlineStr">
        <is>
          <t>Movimentazione con carrello elevatore</t>
        </is>
      </c>
      <c r="D12" s="83" t="inlineStr">
        <is>
          <t>/</t>
        </is>
      </c>
      <c r="E12" s="83" t="inlineStr">
        <is>
          <t>/</t>
        </is>
      </c>
      <c r="F12" s="192" t="inlineStr">
        <is>
          <t>Movimentazione con carrello elevatore</t>
        </is>
      </c>
      <c r="G12" s="71" t="n">
        <v>45996</v>
      </c>
      <c r="H12" s="77" t="inlineStr">
        <is>
          <t>Compito</t>
        </is>
      </c>
      <c r="I12" s="77">
        <f>IF((V12-R12)&gt;3,"SI","")</f>
        <v/>
      </c>
      <c r="J12" s="77" t="inlineStr">
        <is>
          <t>SI</t>
        </is>
      </c>
      <c r="K12" s="77" t="n"/>
      <c r="L12" s="77" t="n"/>
      <c r="M12" s="137">
        <f>IF(R12&gt;0,(SQRT(CC12*(SUM(CD12:CI12)))),"")</f>
        <v/>
      </c>
      <c r="N12" s="4">
        <f>IF(T12&gt;0,(MAX(T12,Z12,AD12,AH12,AL12,AP12))+SQRT(1.2^2+1^2),"")</f>
        <v/>
      </c>
      <c r="O12" s="3">
        <f>IF(R12="",0,10*LOG10(SUM(BP12:BU12)/(COUNT(R12,X12,AB12,AF12,AJ12,AN12))))</f>
        <v/>
      </c>
      <c r="P12" s="5">
        <f>IF(AND(Y12="",AC12="",AG12="",AK12="",AO12=""),S12,AVERAGE(S12,Y12,AC12,AG12,AK12,AO12)+STDEV(S12,Y12,AC12,AG12,AK12,AO12))</f>
        <v/>
      </c>
      <c r="Q12" s="14" t="n">
        <v>300</v>
      </c>
      <c r="R12" s="11" t="n">
        <v>84.5</v>
      </c>
      <c r="S12" s="12" t="n">
        <v>94</v>
      </c>
      <c r="T12" s="13" t="n">
        <v>128</v>
      </c>
      <c r="U12" s="79" t="n"/>
      <c r="V12" s="79" t="n"/>
      <c r="W12" s="10" t="n">
        <v>300</v>
      </c>
      <c r="X12" s="11" t="n">
        <v>74.59999999999999</v>
      </c>
      <c r="Y12" s="12" t="n">
        <v>92.8</v>
      </c>
      <c r="Z12" s="13" t="n">
        <v>109.5</v>
      </c>
      <c r="AA12" s="10" t="n">
        <v>300</v>
      </c>
      <c r="AB12" s="11" t="n">
        <v>72.7</v>
      </c>
      <c r="AC12" s="12" t="n">
        <v>93.90000000000001</v>
      </c>
      <c r="AD12" s="13" t="n">
        <v>111.1</v>
      </c>
      <c r="AE12" s="14" t="n">
        <v>300</v>
      </c>
      <c r="AF12" s="11" t="n">
        <v>77</v>
      </c>
      <c r="AG12" s="12" t="n">
        <v>91.2</v>
      </c>
      <c r="AH12" s="13" t="n">
        <v>121.1</v>
      </c>
      <c r="AI12" s="10" t="n">
        <v>300</v>
      </c>
      <c r="AJ12" s="11" t="n">
        <v>83.3</v>
      </c>
      <c r="AK12" s="12" t="n">
        <v>92.09999999999999</v>
      </c>
      <c r="AL12" s="13" t="n">
        <v>117.1</v>
      </c>
      <c r="AM12" s="10" t="n">
        <v>300</v>
      </c>
      <c r="AN12" s="11" t="n">
        <v>72.2</v>
      </c>
      <c r="AO12" s="12" t="n">
        <v>87.8</v>
      </c>
      <c r="AP12" s="13" t="n">
        <v>116.4</v>
      </c>
      <c r="AQ12" s="6">
        <f>IF(AND((O12)&lt;85,N12&lt;137),"NO","SI")</f>
        <v/>
      </c>
      <c r="AR12" s="7">
        <f>IF((480*(10^(7.95-(O12/10))))&lt;480,480*(10^(7.95-(O12/10))),480)</f>
        <v/>
      </c>
      <c r="AS12" s="8">
        <f>IF((480*(10^(8.45-(O12/10))))&lt;480,480*(10^(8.45-(O12/10))),480)</f>
        <v/>
      </c>
      <c r="AT12" s="9">
        <f>IF((480*(10^(8.65-(O12/10))))&lt;480,480*(10^(8.65-(O12/10))),480)</f>
        <v/>
      </c>
      <c r="AU12" s="151">
        <f>IF(O12&lt;80,"0",IF((P12-O12)&lt;=2,('DPI art.191'!$G$3-(('DPI art.191'!$F$3-'DPI art.191'!$G$3)/4)*(P12-O12-2)),('DPI art.191'!$G$3-(('DPI art.191'!$F$3-'DPI art.191'!$H$3)/8)*(P12-O12-2))))</f>
        <v/>
      </c>
      <c r="AV12" s="24">
        <f>O12-AU12</f>
        <v/>
      </c>
      <c r="AW12" s="24">
        <f>IF(N12&lt;135,N12,N12-'DPI art.191'!$I$3)</f>
        <v/>
      </c>
      <c r="AX12" s="111">
        <f>IF(O12&lt;80,"0",IF((P12-O12)&lt;=2,('DPI art.191'!$G$5-(('DPI art.191'!$F$5-'DPI art.191'!$G$5)/4)*(P12-O12-2)),('DPI art.191'!$G$5-(('DPI art.191'!$G$5-'DPI art.191'!$H$5)/8)*(P12-O12-2))))</f>
        <v/>
      </c>
      <c r="AY12" s="24">
        <f>O12-AX12</f>
        <v/>
      </c>
      <c r="AZ12" s="24">
        <f>IF(N12&lt;135,N12,N12-'DPI art.191'!$I$5)</f>
        <v/>
      </c>
      <c r="BA12" s="111">
        <f>IF(O12&lt;80,"0",IF((P12-O12)&lt;=2,('DPI art.191'!$G$7-(('DPI art.191'!$F$7-'DPI art.191'!$G$7)/4)*(P12-O12-2)),('DPI art.191'!$G$7-(('DPI art.191'!$G$7-'DPI art.191'!$H$7)/8)*(P12-O12-2))))</f>
        <v/>
      </c>
      <c r="BB12" s="24">
        <f>O12-BA12</f>
        <v/>
      </c>
      <c r="BC12" s="24">
        <f>IF(N12&lt;135,N12,N12-'DPI art.191'!$I$7)</f>
        <v/>
      </c>
      <c r="BD12" s="111">
        <f>IF(O12&lt;80,"0",IF((P12-O12)&lt;=2,('DPI art.191'!$G$9-(('DPI art.191'!$F$9-'DPI art.191'!$G$9)/4)*(O12-P12-2)),('DPI art.191'!$G$9-(('DPI art.191'!$G$9-'DPI art.191'!$H$9)/8)*(P12-O12-2))))</f>
        <v/>
      </c>
      <c r="BE12" s="24">
        <f>O12-BD12</f>
        <v/>
      </c>
      <c r="BF12" s="24">
        <f>IF(N12&lt;135,N12,N12-'DPI art.191'!$I$9)</f>
        <v/>
      </c>
      <c r="BG12" s="111">
        <f>IF(O12&lt;80,"0",IF((P12-O12)&lt;=2,('DPI art.191'!$G$11-(('DPI art.191'!$F$11-'DPI art.191'!$G$11)/4)*(P12-O12-2)),('DPI art.191'!$G$11-(('DPI art.191'!$G$11-'DPI art.191'!$H$11)/8)*(P12-O12-2))))</f>
        <v/>
      </c>
      <c r="BH12" s="24">
        <f>O12-BG12</f>
        <v/>
      </c>
      <c r="BI12" s="24">
        <f>IF(T12&lt;135,T12,T12-'DPI art.191'!$I$11)</f>
        <v/>
      </c>
      <c r="BJ12" s="111">
        <f>IF(O12&lt;80,"0",IF((P12-O12)&lt;=2,('DPI art.191'!$G$13-(('DPI art.191'!$F$13-'DPI art.191'!$G$13)/4)*(P12-O12-2)),('DPI art.191'!$G$13-(('DPI art.191'!$G$13-'DPI art.191'!$H$13)/8)*(P12-O12-2))))</f>
        <v/>
      </c>
      <c r="BK12" s="24">
        <f>O12-BJ12</f>
        <v/>
      </c>
      <c r="BL12" s="24">
        <f>IF(T12&lt;135,T12,T12-'DPI art.191'!$I$13)</f>
        <v/>
      </c>
      <c r="BM12" s="111">
        <f>IF(O12&lt;80,"0",IF((P12-O12)&lt;=2,('DPI art.191'!$G$15-(('DPI art.191'!$F$15-'DPI art.191'!$G$15)/4)*(P12-O12-2)),('DPI art.191'!$G$15-(('DPI art.191'!$G$15-'DPI art.191'!$H$15)/8)*(P12-O12-2))))</f>
        <v/>
      </c>
      <c r="BN12" s="24">
        <f>O12-BM12</f>
        <v/>
      </c>
      <c r="BO12" s="24">
        <f>IF(Z12&lt;135,Z12,Z12-'DPI art.191'!$I$15)</f>
        <v/>
      </c>
      <c r="BP12" s="108">
        <f>10^(0.1*R12)</f>
        <v/>
      </c>
      <c r="BQ12" s="108">
        <f>10^(0.1*X12)</f>
        <v/>
      </c>
      <c r="BR12" s="108">
        <f>10^(0.1*AB12)</f>
        <v/>
      </c>
      <c r="BS12" s="108">
        <f>10^(0.1*AF12)</f>
        <v/>
      </c>
      <c r="BT12" s="108">
        <f>10^(0.1*AJ12)</f>
        <v/>
      </c>
      <c r="BU12" s="108">
        <f>10^(0.1*AN12)</f>
        <v/>
      </c>
      <c r="BV12" s="106">
        <f>IF(R12&gt;0,(O12-R12),"")</f>
        <v/>
      </c>
      <c r="BW12" s="106">
        <f>IF(X12&gt;0,(O12-X12),"")</f>
        <v/>
      </c>
      <c r="BX12" s="106">
        <f>IF(AB12&gt;0,(O12-AB12),"")</f>
        <v/>
      </c>
      <c r="BY12" s="106">
        <f>IF(AF12&gt;0,(O12-AF12),"")</f>
        <v/>
      </c>
      <c r="BZ12" s="106">
        <f>IF(AJ12&gt;0,(O12-AJ12),"")</f>
        <v/>
      </c>
      <c r="CA12" s="106">
        <f>IF(AN12&gt;0,(O12-AN12),"")</f>
        <v/>
      </c>
      <c r="CB12" s="106">
        <f>COUNT(BV12:CA12)</f>
        <v/>
      </c>
      <c r="CC12" s="464">
        <f>IF(CB12=0,0,IF(CB12=1,0,1/(CB12*(CB12-1))))</f>
        <v/>
      </c>
      <c r="CD12" s="136">
        <f>IF(R12&gt;0,(BV12^2),"")</f>
        <v/>
      </c>
      <c r="CE12" s="136">
        <f>IF(X12&gt;0,(BW12^2),"")</f>
        <v/>
      </c>
      <c r="CF12" s="136">
        <f>IF(AB12&gt;0,(BX12^2),"")</f>
        <v/>
      </c>
      <c r="CG12" s="136">
        <f>IF(AF12&gt;0,(BY12^2),"")</f>
        <v/>
      </c>
      <c r="CH12" s="136">
        <f>IF(AJ12&gt;0,(BZ12^2),"")</f>
        <v/>
      </c>
      <c r="CI12" s="136">
        <f>IF(AN12&gt;0,(CA12^2),"")</f>
        <v/>
      </c>
    </row>
    <row r="13" ht="25.5" customHeight="1" s="444">
      <c r="A13" s="340" t="inlineStr">
        <is>
          <t>458/27</t>
        </is>
      </c>
      <c r="B13" s="65" t="inlineStr">
        <is>
          <t>W8</t>
        </is>
      </c>
      <c r="C13" s="78" t="inlineStr">
        <is>
          <t>Movimentazione con carrello elevatore</t>
        </is>
      </c>
      <c r="D13" s="83" t="inlineStr">
        <is>
          <t>/</t>
        </is>
      </c>
      <c r="E13" s="83" t="inlineStr">
        <is>
          <t>/</t>
        </is>
      </c>
      <c r="F13" s="192" t="inlineStr">
        <is>
          <t>Movimentazione con carrello elevatore</t>
        </is>
      </c>
      <c r="G13" s="71" t="n">
        <v>45996</v>
      </c>
      <c r="H13" s="77" t="inlineStr">
        <is>
          <t>Compito</t>
        </is>
      </c>
      <c r="I13" s="77">
        <f>IF((V13-R13)&gt;3,"SI","")</f>
        <v/>
      </c>
      <c r="J13" s="77" t="inlineStr">
        <is>
          <t>SI</t>
        </is>
      </c>
      <c r="K13" s="77" t="n"/>
      <c r="L13" s="77" t="n"/>
      <c r="M13" s="137">
        <f>IF(R13&gt;0,(SQRT(CC13*(SUM(CD13:CI13)))),"")</f>
        <v/>
      </c>
      <c r="N13" s="4">
        <f>IF(T13&gt;0,(MAX(T13,Z13,AD13,AH13,AL13,AP13))+SQRT(1.2^2+1^2),"")</f>
        <v/>
      </c>
      <c r="O13" s="3">
        <f>IF(R13="",0,10*LOG10(SUM(BP13:BU13)/(COUNT(R13,X13,AB13,AF13,AJ13,AN13))))</f>
        <v/>
      </c>
      <c r="P13" s="5">
        <f>IF(AND(Y13="",AC13="",AG13="",AK13="",AO13=""),S13,AVERAGE(S13,Y13,AC13,AG13,AK13,AO13)+STDEV(S13,Y13,AC13,AG13,AK13,AO13))</f>
        <v/>
      </c>
      <c r="Q13" s="14" t="n">
        <v>300</v>
      </c>
      <c r="R13" s="11" t="n">
        <v>83</v>
      </c>
      <c r="S13" s="12" t="n">
        <v>98.3</v>
      </c>
      <c r="T13" s="13" t="n">
        <v>115.1</v>
      </c>
      <c r="U13" s="79" t="n"/>
      <c r="V13" s="79" t="n"/>
      <c r="W13" s="10" t="n">
        <v>300</v>
      </c>
      <c r="X13" s="11" t="n">
        <v>88</v>
      </c>
      <c r="Y13" s="12" t="n">
        <v>100.3</v>
      </c>
      <c r="Z13" s="13" t="n">
        <v>118.6</v>
      </c>
      <c r="AA13" s="10" t="n">
        <v>300</v>
      </c>
      <c r="AB13" s="11" t="n">
        <v>92.5</v>
      </c>
      <c r="AC13" s="12" t="n">
        <v>96.8</v>
      </c>
      <c r="AD13" s="13" t="n">
        <v>126.4</v>
      </c>
      <c r="AE13" s="14" t="n">
        <v>300</v>
      </c>
      <c r="AF13" s="11" t="n">
        <v>85.7</v>
      </c>
      <c r="AG13" s="12" t="n">
        <v>96.09999999999999</v>
      </c>
      <c r="AH13" s="13" t="n">
        <v>118.1</v>
      </c>
      <c r="AI13" s="10" t="n">
        <v>300</v>
      </c>
      <c r="AJ13" s="11" t="n">
        <v>88.3</v>
      </c>
      <c r="AK13" s="12" t="n">
        <v>96.90000000000001</v>
      </c>
      <c r="AL13" s="13" t="n">
        <v>116.9</v>
      </c>
      <c r="AM13" s="10" t="n">
        <v>300</v>
      </c>
      <c r="AN13" s="11" t="n">
        <v>85.59999999999999</v>
      </c>
      <c r="AO13" s="12" t="n">
        <v>98.8</v>
      </c>
      <c r="AP13" s="13" t="n">
        <v>119.2</v>
      </c>
      <c r="AQ13" s="6">
        <f>IF(AND((O13)&lt;85,N13&lt;137),"NO","SI")</f>
        <v/>
      </c>
      <c r="AR13" s="7">
        <f>IF((480*(10^(7.95-(O13/10))))&lt;480,480*(10^(7.95-(O13/10))),480)</f>
        <v/>
      </c>
      <c r="AS13" s="8">
        <f>IF((480*(10^(8.45-(O13/10))))&lt;480,480*(10^(8.45-(O13/10))),480)</f>
        <v/>
      </c>
      <c r="AT13" s="9">
        <f>IF((480*(10^(8.65-(O13/10))))&lt;480,480*(10^(8.65-(O13/10))),480)</f>
        <v/>
      </c>
      <c r="AU13" s="151">
        <f>IF(O13&lt;80,"0",IF((P13-O13)&lt;=2,('DPI art.191'!$G$3-(('DPI art.191'!$F$3-'DPI art.191'!$G$3)/4)*(P13-O13-2)),('DPI art.191'!$G$3-(('DPI art.191'!$F$3-'DPI art.191'!$H$3)/8)*(P13-O13-2))))</f>
        <v/>
      </c>
      <c r="AV13" s="24">
        <f>O13-AU13</f>
        <v/>
      </c>
      <c r="AW13" s="24">
        <f>IF(N13&lt;135,N13,N13-'DPI art.191'!$I$3)</f>
        <v/>
      </c>
      <c r="AX13" s="111">
        <f>IF(O13&lt;80,"0",IF((P13-O13)&lt;=2,('DPI art.191'!$G$5-(('DPI art.191'!$F$5-'DPI art.191'!$G$5)/4)*(P13-O13-2)),('DPI art.191'!$G$5-(('DPI art.191'!$G$5-'DPI art.191'!$H$5)/8)*(P13-O13-2))))</f>
        <v/>
      </c>
      <c r="AY13" s="24">
        <f>O13-AX13</f>
        <v/>
      </c>
      <c r="AZ13" s="24">
        <f>IF(N13&lt;135,N13,N13-'DPI art.191'!$I$5)</f>
        <v/>
      </c>
      <c r="BA13" s="111">
        <f>IF(O13&lt;80,"0",IF((P13-O13)&lt;=2,('DPI art.191'!$G$7-(('DPI art.191'!$F$7-'DPI art.191'!$G$7)/4)*(P13-O13-2)),('DPI art.191'!$G$7-(('DPI art.191'!$G$7-'DPI art.191'!$H$7)/8)*(P13-O13-2))))</f>
        <v/>
      </c>
      <c r="BB13" s="24">
        <f>O13-BA13</f>
        <v/>
      </c>
      <c r="BC13" s="24">
        <f>IF(N13&lt;135,N13,N13-'DPI art.191'!$I$7)</f>
        <v/>
      </c>
      <c r="BD13" s="111">
        <f>IF(O13&lt;80,"0",IF((P13-O13)&lt;=2,('DPI art.191'!$G$9-(('DPI art.191'!$F$9-'DPI art.191'!$G$9)/4)*(O13-P13-2)),('DPI art.191'!$G$9-(('DPI art.191'!$G$9-'DPI art.191'!$H$9)/8)*(P13-O13-2))))</f>
        <v/>
      </c>
      <c r="BE13" s="24">
        <f>O13-BD13</f>
        <v/>
      </c>
      <c r="BF13" s="24">
        <f>IF(N13&lt;135,N13,N13-'DPI art.191'!$I$9)</f>
        <v/>
      </c>
      <c r="BG13" s="111">
        <f>IF(O13&lt;80,"0",IF((P13-O13)&lt;=2,('DPI art.191'!$G$11-(('DPI art.191'!$F$11-'DPI art.191'!$G$11)/4)*(P13-O13-2)),('DPI art.191'!$G$11-(('DPI art.191'!$G$11-'DPI art.191'!$H$11)/8)*(P13-O13-2))))</f>
        <v/>
      </c>
      <c r="BH13" s="24">
        <f>O13-BG13</f>
        <v/>
      </c>
      <c r="BI13" s="24">
        <f>IF(T13&lt;135,T13,T13-'DPI art.191'!$I$11)</f>
        <v/>
      </c>
      <c r="BJ13" s="111">
        <f>IF(O13&lt;80,"0",IF((P13-O13)&lt;=2,('DPI art.191'!$G$13-(('DPI art.191'!$F$13-'DPI art.191'!$G$13)/4)*(P13-O13-2)),('DPI art.191'!$G$13-(('DPI art.191'!$G$13-'DPI art.191'!$H$13)/8)*(P13-O13-2))))</f>
        <v/>
      </c>
      <c r="BK13" s="24">
        <f>O13-BJ13</f>
        <v/>
      </c>
      <c r="BL13" s="24">
        <f>IF(T13&lt;135,T13,T13-'DPI art.191'!$I$13)</f>
        <v/>
      </c>
      <c r="BM13" s="111">
        <f>IF(O13&lt;80,"0",IF((P13-O13)&lt;=2,('DPI art.191'!$G$15-(('DPI art.191'!$F$15-'DPI art.191'!$G$15)/4)*(P13-O13-2)),('DPI art.191'!$G$15-(('DPI art.191'!$G$15-'DPI art.191'!$H$15)/8)*(P13-O13-2))))</f>
        <v/>
      </c>
      <c r="BN13" s="24">
        <f>O13-BM13</f>
        <v/>
      </c>
      <c r="BO13" s="24">
        <f>IF(Z13&lt;135,Z13,Z13-'DPI art.191'!$I$15)</f>
        <v/>
      </c>
      <c r="BP13" s="108">
        <f>10^(0.1*R13)</f>
        <v/>
      </c>
      <c r="BQ13" s="108">
        <f>10^(0.1*X13)</f>
        <v/>
      </c>
      <c r="BR13" s="108">
        <f>10^(0.1*AB13)</f>
        <v/>
      </c>
      <c r="BS13" s="108">
        <f>10^(0.1*AF13)</f>
        <v/>
      </c>
      <c r="BT13" s="108">
        <f>10^(0.1*AJ13)</f>
        <v/>
      </c>
      <c r="BU13" s="108">
        <f>10^(0.1*AN13)</f>
        <v/>
      </c>
      <c r="BV13" s="106">
        <f>IF(R13&gt;0,(O13-R13),"")</f>
        <v/>
      </c>
      <c r="BW13" s="106">
        <f>IF(X13&gt;0,(O13-X13),"")</f>
        <v/>
      </c>
      <c r="BX13" s="106">
        <f>IF(AB13&gt;0,(O13-AB13),"")</f>
        <v/>
      </c>
      <c r="BY13" s="106">
        <f>IF(AF13&gt;0,(O13-AF13),"")</f>
        <v/>
      </c>
      <c r="BZ13" s="106">
        <f>IF(AJ13&gt;0,(O13-AJ13),"")</f>
        <v/>
      </c>
      <c r="CA13" s="106">
        <f>IF(AN13&gt;0,(O13-AN13),"")</f>
        <v/>
      </c>
      <c r="CB13" s="106">
        <f>COUNT(BV13:CA13)</f>
        <v/>
      </c>
      <c r="CC13" s="464">
        <f>IF(CB13=0,0,IF(CB13=1,0,1/(CB13*(CB13-1))))</f>
        <v/>
      </c>
      <c r="CD13" s="136">
        <f>IF(R13&gt;0,(BV13^2),"")</f>
        <v/>
      </c>
      <c r="CE13" s="136">
        <f>IF(X13&gt;0,(BW13^2),"")</f>
        <v/>
      </c>
      <c r="CF13" s="136">
        <f>IF(AB13&gt;0,(BX13^2),"")</f>
        <v/>
      </c>
      <c r="CG13" s="136">
        <f>IF(AF13&gt;0,(BY13^2),"")</f>
        <v/>
      </c>
      <c r="CH13" s="136">
        <f>IF(AJ13&gt;0,(BZ13^2),"")</f>
        <v/>
      </c>
      <c r="CI13" s="136">
        <f>IF(AN13&gt;0,(CA13^2),"")</f>
        <v/>
      </c>
    </row>
    <row r="14" ht="25.5" customHeight="1" s="444">
      <c r="A14" s="340" t="inlineStr">
        <is>
          <t>031/28</t>
        </is>
      </c>
      <c r="B14" s="65" t="inlineStr">
        <is>
          <t>W9</t>
        </is>
      </c>
      <c r="C14" s="78" t="inlineStr">
        <is>
          <t>Movimentazione con autogru in esterno</t>
        </is>
      </c>
      <c r="D14" s="83" t="inlineStr">
        <is>
          <t>/</t>
        </is>
      </c>
      <c r="E14" s="83" t="inlineStr">
        <is>
          <t>/</t>
        </is>
      </c>
      <c r="F14" s="192" t="inlineStr">
        <is>
          <t>Movimentazione con autogru in esterno</t>
        </is>
      </c>
      <c r="G14" s="71" t="n">
        <v>45996</v>
      </c>
      <c r="H14" s="77" t="inlineStr">
        <is>
          <t>Compito</t>
        </is>
      </c>
      <c r="I14" s="77">
        <f>IF((V14-R14)&gt;3,"SI","")</f>
        <v/>
      </c>
      <c r="J14" s="77" t="inlineStr">
        <is>
          <t>SI</t>
        </is>
      </c>
      <c r="K14" s="77" t="n"/>
      <c r="L14" s="77" t="n"/>
      <c r="M14" s="137">
        <f>IF(R14&gt;0,(SQRT(CC14*(SUM(CD14:CI14)))),"")</f>
        <v/>
      </c>
      <c r="N14" s="4">
        <f>IF(T14&gt;0,(MAX(T14,Z14,AD14,AH14,AL14,AP14))+SQRT(1.2^2+1^2),"")</f>
        <v/>
      </c>
      <c r="O14" s="3">
        <f>IF(R14="",0,10*LOG10(SUM(BP14:BU14)/(COUNT(R14,X14,AB14,AF14,AJ14,AN14))))</f>
        <v/>
      </c>
      <c r="P14" s="5">
        <f>IF(AND(Y14="",AC14="",AG14="",AK14="",AO14=""),S14,AVERAGE(S14,Y14,AC14,AG14,AK14,AO14)+STDEV(S14,Y14,AC14,AG14,AK14,AO14))</f>
        <v/>
      </c>
      <c r="Q14" s="14" t="n">
        <v>300</v>
      </c>
      <c r="R14" s="11" t="n">
        <v>75.5</v>
      </c>
      <c r="S14" s="12" t="n">
        <v>89.09999999999999</v>
      </c>
      <c r="T14" s="13" t="n">
        <v>117</v>
      </c>
      <c r="U14" s="79" t="n"/>
      <c r="V14" s="79" t="n"/>
      <c r="W14" s="10" t="n">
        <v>300</v>
      </c>
      <c r="X14" s="11" t="n">
        <v>79.40000000000001</v>
      </c>
      <c r="Y14" s="12" t="n">
        <v>87.5</v>
      </c>
      <c r="Z14" s="13" t="n">
        <v>106</v>
      </c>
      <c r="AA14" s="10" t="n">
        <v>300</v>
      </c>
      <c r="AB14" s="11" t="n">
        <v>75.90000000000001</v>
      </c>
      <c r="AC14" s="12" t="n">
        <v>86.40000000000001</v>
      </c>
      <c r="AD14" s="13" t="n">
        <v>104</v>
      </c>
      <c r="AE14" s="14" t="n">
        <v>300</v>
      </c>
      <c r="AF14" s="11" t="n">
        <v>79.2</v>
      </c>
      <c r="AG14" s="12" t="n">
        <v>87.8</v>
      </c>
      <c r="AH14" s="13" t="n">
        <v>120.3</v>
      </c>
      <c r="AI14" s="10" t="n">
        <v>300</v>
      </c>
      <c r="AJ14" s="11" t="n">
        <v>81.2</v>
      </c>
      <c r="AK14" s="12" t="n">
        <v>90.3</v>
      </c>
      <c r="AL14" s="13" t="n">
        <v>117.4</v>
      </c>
      <c r="AM14" s="10" t="n">
        <v>300</v>
      </c>
      <c r="AN14" s="11" t="n">
        <v>80.90000000000001</v>
      </c>
      <c r="AO14" s="12" t="n">
        <v>92.8</v>
      </c>
      <c r="AP14" s="13" t="n">
        <v>114.5</v>
      </c>
      <c r="AQ14" s="6">
        <f>IF(AND((O14)&lt;85,N14&lt;137),"NO","SI")</f>
        <v/>
      </c>
      <c r="AR14" s="7">
        <f>IF((480*(10^(7.95-(O14/10))))&lt;480,480*(10^(7.95-(O14/10))),480)</f>
        <v/>
      </c>
      <c r="AS14" s="8">
        <f>IF((480*(10^(8.45-(O14/10))))&lt;480,480*(10^(8.45-(O14/10))),480)</f>
        <v/>
      </c>
      <c r="AT14" s="9">
        <f>IF((480*(10^(8.65-(O14/10))))&lt;480,480*(10^(8.65-(O14/10))),480)</f>
        <v/>
      </c>
      <c r="AU14" s="151">
        <f>IF(O14&lt;80,"0",IF((P14-O14)&lt;=2,('DPI art.191'!$G$3-(('DPI art.191'!$F$3-'DPI art.191'!$G$3)/4)*(P14-O14-2)),('DPI art.191'!$G$3-(('DPI art.191'!$F$3-'DPI art.191'!$H$3)/8)*(P14-O14-2))))</f>
        <v/>
      </c>
      <c r="AV14" s="24">
        <f>O14-AU14</f>
        <v/>
      </c>
      <c r="AW14" s="24">
        <f>IF(N14&lt;135,N14,N14-'DPI art.191'!$I$3)</f>
        <v/>
      </c>
      <c r="AX14" s="111">
        <f>IF(O14&lt;80,"0",IF((P14-O14)&lt;=2,('DPI art.191'!$G$5-(('DPI art.191'!$F$5-'DPI art.191'!$G$5)/4)*(P14-O14-2)),('DPI art.191'!$G$5-(('DPI art.191'!$G$5-'DPI art.191'!$H$5)/8)*(P14-O14-2))))</f>
        <v/>
      </c>
      <c r="AY14" s="24">
        <f>O14-AX14</f>
        <v/>
      </c>
      <c r="AZ14" s="24">
        <f>IF(N14&lt;135,N14,N14-'DPI art.191'!$I$5)</f>
        <v/>
      </c>
      <c r="BA14" s="111">
        <f>IF(O14&lt;80,"0",IF((P14-O14)&lt;=2,('DPI art.191'!$G$7-(('DPI art.191'!$F$7-'DPI art.191'!$G$7)/4)*(P14-O14-2)),('DPI art.191'!$G$7-(('DPI art.191'!$G$7-'DPI art.191'!$H$7)/8)*(P14-O14-2))))</f>
        <v/>
      </c>
      <c r="BB14" s="24">
        <f>O14-BA14</f>
        <v/>
      </c>
      <c r="BC14" s="24">
        <f>IF(N14&lt;135,N14,N14-'DPI art.191'!$I$7)</f>
        <v/>
      </c>
      <c r="BD14" s="111">
        <f>IF(O14&lt;80,"0",IF((P14-O14)&lt;=2,('DPI art.191'!$G$9-(('DPI art.191'!$F$9-'DPI art.191'!$G$9)/4)*(O14-P14-2)),('DPI art.191'!$G$9-(('DPI art.191'!$G$9-'DPI art.191'!$H$9)/8)*(P14-O14-2))))</f>
        <v/>
      </c>
      <c r="BE14" s="24">
        <f>O14-BD14</f>
        <v/>
      </c>
      <c r="BF14" s="24">
        <f>IF(N14&lt;135,N14,N14-'DPI art.191'!$I$9)</f>
        <v/>
      </c>
      <c r="BG14" s="111">
        <f>IF(O14&lt;80,"0",IF((P14-O14)&lt;=2,('DPI art.191'!$G$11-(('DPI art.191'!$F$11-'DPI art.191'!$G$11)/4)*(P14-O14-2)),('DPI art.191'!$G$11-(('DPI art.191'!$G$11-'DPI art.191'!$H$11)/8)*(P14-O14-2))))</f>
        <v/>
      </c>
      <c r="BH14" s="24">
        <f>O14-BG14</f>
        <v/>
      </c>
      <c r="BI14" s="24">
        <f>IF(T14&lt;135,T14,T14-'DPI art.191'!$I$11)</f>
        <v/>
      </c>
      <c r="BJ14" s="111">
        <f>IF(O14&lt;80,"0",IF((P14-O14)&lt;=2,('DPI art.191'!$G$13-(('DPI art.191'!$F$13-'DPI art.191'!$G$13)/4)*(P14-O14-2)),('DPI art.191'!$G$13-(('DPI art.191'!$G$13-'DPI art.191'!$H$13)/8)*(P14-O14-2))))</f>
        <v/>
      </c>
      <c r="BK14" s="24">
        <f>O14-BJ14</f>
        <v/>
      </c>
      <c r="BL14" s="24">
        <f>IF(T14&lt;135,T14,T14-'DPI art.191'!$I$13)</f>
        <v/>
      </c>
      <c r="BM14" s="111">
        <f>IF(O14&lt;80,"0",IF((P14-O14)&lt;=2,('DPI art.191'!$G$15-(('DPI art.191'!$F$15-'DPI art.191'!$G$15)/4)*(P14-O14-2)),('DPI art.191'!$G$15-(('DPI art.191'!$G$15-'DPI art.191'!$H$15)/8)*(P14-O14-2))))</f>
        <v/>
      </c>
      <c r="BN14" s="24">
        <f>O14-BM14</f>
        <v/>
      </c>
      <c r="BO14" s="24">
        <f>IF(Z14&lt;135,Z14,Z14-'DPI art.191'!$I$15)</f>
        <v/>
      </c>
      <c r="BP14" s="108">
        <f>10^(0.1*R14)</f>
        <v/>
      </c>
      <c r="BQ14" s="108">
        <f>10^(0.1*X14)</f>
        <v/>
      </c>
      <c r="BR14" s="108">
        <f>10^(0.1*AB14)</f>
        <v/>
      </c>
      <c r="BS14" s="108">
        <f>10^(0.1*AF14)</f>
        <v/>
      </c>
      <c r="BT14" s="108">
        <f>10^(0.1*AJ14)</f>
        <v/>
      </c>
      <c r="BU14" s="108">
        <f>10^(0.1*AN14)</f>
        <v/>
      </c>
      <c r="BV14" s="106">
        <f>IF(R14&gt;0,(O14-R14),"")</f>
        <v/>
      </c>
      <c r="BW14" s="106">
        <f>IF(X14&gt;0,(O14-X14),"")</f>
        <v/>
      </c>
      <c r="BX14" s="106">
        <f>IF(AB14&gt;0,(O14-AB14),"")</f>
        <v/>
      </c>
      <c r="BY14" s="106">
        <f>IF(AF14&gt;0,(O14-AF14),"")</f>
        <v/>
      </c>
      <c r="BZ14" s="106">
        <f>IF(AJ14&gt;0,(O14-AJ14),"")</f>
        <v/>
      </c>
      <c r="CA14" s="106">
        <f>IF(AN14&gt;0,(O14-AN14),"")</f>
        <v/>
      </c>
      <c r="CB14" s="106">
        <f>COUNT(BV14:CA14)</f>
        <v/>
      </c>
      <c r="CC14" s="464">
        <f>IF(CB14=0,0,IF(CB14=1,0,1/(CB14*(CB14-1))))</f>
        <v/>
      </c>
      <c r="CD14" s="136">
        <f>IF(R14&gt;0,(BV14^2),"")</f>
        <v/>
      </c>
      <c r="CE14" s="136">
        <f>IF(X14&gt;0,(BW14^2),"")</f>
        <v/>
      </c>
      <c r="CF14" s="136">
        <f>IF(AB14&gt;0,(BX14^2),"")</f>
        <v/>
      </c>
      <c r="CG14" s="136">
        <f>IF(AF14&gt;0,(BY14^2),"")</f>
        <v/>
      </c>
      <c r="CH14" s="136">
        <f>IF(AJ14&gt;0,(BZ14^2),"")</f>
        <v/>
      </c>
      <c r="CI14" s="136">
        <f>IF(AN14&gt;0,(CA14^2),"")</f>
        <v/>
      </c>
    </row>
    <row r="15" ht="25.5" customHeight="1" s="444">
      <c r="A15" s="340" t="inlineStr">
        <is>
          <t>031/33</t>
        </is>
      </c>
      <c r="B15" s="65" t="inlineStr">
        <is>
          <t>W10</t>
        </is>
      </c>
      <c r="C15" s="78" t="inlineStr">
        <is>
          <t>Movimentazione con autogru in esterno</t>
        </is>
      </c>
      <c r="D15" s="83" t="inlineStr">
        <is>
          <t>/</t>
        </is>
      </c>
      <c r="E15" s="83" t="inlineStr">
        <is>
          <t>/</t>
        </is>
      </c>
      <c r="F15" s="192" t="inlineStr">
        <is>
          <t>Movimentazione con autogru in esterno</t>
        </is>
      </c>
      <c r="G15" s="71" t="n">
        <v>45996</v>
      </c>
      <c r="H15" s="77" t="inlineStr">
        <is>
          <t>Compito</t>
        </is>
      </c>
      <c r="I15" s="77">
        <f>IF((V15-R15)&gt;3,"SI","")</f>
        <v/>
      </c>
      <c r="J15" s="77" t="inlineStr">
        <is>
          <t>SI</t>
        </is>
      </c>
      <c r="K15" s="77" t="n"/>
      <c r="L15" s="77" t="n"/>
      <c r="M15" s="137">
        <f>IF(R15&gt;0,(SQRT(CC15*(SUM(CD15:CI15)))),"")</f>
        <v/>
      </c>
      <c r="N15" s="4">
        <f>IF(T15&gt;0,(MAX(T15,Z15,AD15,AH15,AL15,AP15))+SQRT(1.2^2+1^2),"")</f>
        <v/>
      </c>
      <c r="O15" s="3">
        <f>IF(R15="",0,10*LOG10(SUM(BP15:BU15)/(COUNT(R15,X15,AB15,AF15,AJ15,AN15))))</f>
        <v/>
      </c>
      <c r="P15" s="5">
        <f>IF(AND(Y15="",AC15="",AG15="",AK15="",AO15=""),S15,AVERAGE(S15,Y15,AC15,AG15,AK15,AO15)+STDEV(S15,Y15,AC15,AG15,AK15,AO15))</f>
        <v/>
      </c>
      <c r="Q15" s="14" t="n">
        <v>300</v>
      </c>
      <c r="R15" s="11" t="n">
        <v>81.5</v>
      </c>
      <c r="S15" s="12" t="n">
        <v>104.6</v>
      </c>
      <c r="T15" s="13" t="n">
        <v>131.2</v>
      </c>
      <c r="U15" s="79" t="n"/>
      <c r="V15" s="79" t="n"/>
      <c r="W15" s="10" t="n">
        <v>300</v>
      </c>
      <c r="X15" s="11" t="n">
        <v>80.59999999999999</v>
      </c>
      <c r="Y15" s="12" t="n">
        <v>107.5</v>
      </c>
      <c r="Z15" s="13" t="n">
        <v>121.1</v>
      </c>
      <c r="AA15" s="10" t="n">
        <v>300</v>
      </c>
      <c r="AB15" s="11" t="n">
        <v>81.40000000000001</v>
      </c>
      <c r="AC15" s="12" t="n">
        <v>110.3</v>
      </c>
      <c r="AD15" s="13" t="n">
        <v>121.2</v>
      </c>
      <c r="AE15" s="14" t="n">
        <v>300</v>
      </c>
      <c r="AF15" s="11" t="n">
        <v>82.8</v>
      </c>
      <c r="AG15" s="12" t="n">
        <v>106.1</v>
      </c>
      <c r="AH15" s="13" t="n">
        <v>120.7</v>
      </c>
      <c r="AI15" s="10" t="n">
        <v>300</v>
      </c>
      <c r="AJ15" s="11" t="n">
        <v>83</v>
      </c>
      <c r="AK15" s="12" t="n">
        <v>103.3</v>
      </c>
      <c r="AL15" s="13" t="n">
        <v>113.9</v>
      </c>
      <c r="AM15" s="10" t="n">
        <v>300</v>
      </c>
      <c r="AN15" s="11" t="n">
        <v>83.5</v>
      </c>
      <c r="AO15" s="12" t="n">
        <v>104</v>
      </c>
      <c r="AP15" s="13" t="n">
        <v>118.8</v>
      </c>
      <c r="AQ15" s="6">
        <f>IF(AND((O15)&lt;85,N15&lt;137),"NO","SI")</f>
        <v/>
      </c>
      <c r="AR15" s="7">
        <f>IF((480*(10^(7.95-(O15/10))))&lt;480,480*(10^(7.95-(O15/10))),480)</f>
        <v/>
      </c>
      <c r="AS15" s="8">
        <f>IF((480*(10^(8.45-(O15/10))))&lt;480,480*(10^(8.45-(O15/10))),480)</f>
        <v/>
      </c>
      <c r="AT15" s="9">
        <f>IF((480*(10^(8.65-(O15/10))))&lt;480,480*(10^(8.65-(O15/10))),480)</f>
        <v/>
      </c>
      <c r="AU15" s="151">
        <f>IF(O15&lt;80,"0",IF((P15-O15)&lt;=2,('DPI art.191'!$G$3-(('DPI art.191'!$F$3-'DPI art.191'!$G$3)/4)*(P15-O15-2)),('DPI art.191'!$G$3-(('DPI art.191'!$F$3-'DPI art.191'!$H$3)/8)*(P15-O15-2))))</f>
        <v/>
      </c>
      <c r="AV15" s="24">
        <f>O15-AU15</f>
        <v/>
      </c>
      <c r="AW15" s="24">
        <f>IF(N15&lt;135,N15,N15-'DPI art.191'!$I$3)</f>
        <v/>
      </c>
      <c r="AX15" s="111">
        <f>IF(O15&lt;80,"0",IF((P15-O15)&lt;=2,('DPI art.191'!$G$5-(('DPI art.191'!$F$5-'DPI art.191'!$G$5)/4)*(P15-O15-2)),('DPI art.191'!$G$5-(('DPI art.191'!$G$5-'DPI art.191'!$H$5)/8)*(P15-O15-2))))</f>
        <v/>
      </c>
      <c r="AY15" s="24">
        <f>O15-AX15</f>
        <v/>
      </c>
      <c r="AZ15" s="24">
        <f>IF(N15&lt;135,N15,N15-'DPI art.191'!$I$5)</f>
        <v/>
      </c>
      <c r="BA15" s="111">
        <f>IF(O15&lt;80,"0",IF((P15-O15)&lt;=2,('DPI art.191'!$G$7-(('DPI art.191'!$F$7-'DPI art.191'!$G$7)/4)*(P15-O15-2)),('DPI art.191'!$G$7-(('DPI art.191'!$G$7-'DPI art.191'!$H$7)/8)*(P15-O15-2))))</f>
        <v/>
      </c>
      <c r="BB15" s="24">
        <f>O15-BA15</f>
        <v/>
      </c>
      <c r="BC15" s="24">
        <f>IF(N15&lt;135,N15,N15-'DPI art.191'!$I$7)</f>
        <v/>
      </c>
      <c r="BD15" s="111">
        <f>IF(O15&lt;80,"0",IF((P15-O15)&lt;=2,('DPI art.191'!$G$9-(('DPI art.191'!$F$9-'DPI art.191'!$G$9)/4)*(O15-P15-2)),('DPI art.191'!$G$9-(('DPI art.191'!$G$9-'DPI art.191'!$H$9)/8)*(P15-O15-2))))</f>
        <v/>
      </c>
      <c r="BE15" s="24">
        <f>O15-BD15</f>
        <v/>
      </c>
      <c r="BF15" s="24">
        <f>IF(N15&lt;135,N15,N15-'DPI art.191'!$I$9)</f>
        <v/>
      </c>
      <c r="BG15" s="111">
        <f>IF(O15&lt;80,"0",IF((P15-O15)&lt;=2,('DPI art.191'!$G$11-(('DPI art.191'!$F$11-'DPI art.191'!$G$11)/4)*(P15-O15-2)),('DPI art.191'!$G$11-(('DPI art.191'!$G$11-'DPI art.191'!$H$11)/8)*(P15-O15-2))))</f>
        <v/>
      </c>
      <c r="BH15" s="24">
        <f>O15-BG15</f>
        <v/>
      </c>
      <c r="BI15" s="24">
        <f>IF(T15&lt;135,T15,T15-'DPI art.191'!$I$11)</f>
        <v/>
      </c>
      <c r="BJ15" s="111">
        <f>IF(O15&lt;80,"0",IF((P15-O15)&lt;=2,('DPI art.191'!$G$13-(('DPI art.191'!$F$13-'DPI art.191'!$G$13)/4)*(P15-O15-2)),('DPI art.191'!$G$13-(('DPI art.191'!$G$13-'DPI art.191'!$H$13)/8)*(P15-O15-2))))</f>
        <v/>
      </c>
      <c r="BK15" s="24">
        <f>O15-BJ15</f>
        <v/>
      </c>
      <c r="BL15" s="24">
        <f>IF(T15&lt;135,T15,T15-'DPI art.191'!$I$13)</f>
        <v/>
      </c>
      <c r="BM15" s="111">
        <f>IF(O15&lt;80,"0",IF((P15-O15)&lt;=2,('DPI art.191'!$G$15-(('DPI art.191'!$F$15-'DPI art.191'!$G$15)/4)*(P15-O15-2)),('DPI art.191'!$G$15-(('DPI art.191'!$G$15-'DPI art.191'!$H$15)/8)*(P15-O15-2))))</f>
        <v/>
      </c>
      <c r="BN15" s="24">
        <f>O15-BM15</f>
        <v/>
      </c>
      <c r="BO15" s="24">
        <f>IF(Z15&lt;135,Z15,Z15-'DPI art.191'!$I$15)</f>
        <v/>
      </c>
      <c r="BP15" s="108">
        <f>10^(0.1*R15)</f>
        <v/>
      </c>
      <c r="BQ15" s="108">
        <f>10^(0.1*X15)</f>
        <v/>
      </c>
      <c r="BR15" s="108">
        <f>10^(0.1*AB15)</f>
        <v/>
      </c>
      <c r="BS15" s="108">
        <f>10^(0.1*AF15)</f>
        <v/>
      </c>
      <c r="BT15" s="108">
        <f>10^(0.1*AJ15)</f>
        <v/>
      </c>
      <c r="BU15" s="108">
        <f>10^(0.1*AN15)</f>
        <v/>
      </c>
      <c r="BV15" s="106">
        <f>IF(R15&gt;0,(O15-R15),"")</f>
        <v/>
      </c>
      <c r="BW15" s="106">
        <f>IF(X15&gt;0,(O15-X15),"")</f>
        <v/>
      </c>
      <c r="BX15" s="106">
        <f>IF(AB15&gt;0,(O15-AB15),"")</f>
        <v/>
      </c>
      <c r="BY15" s="106">
        <f>IF(AF15&gt;0,(O15-AF15),"")</f>
        <v/>
      </c>
      <c r="BZ15" s="106">
        <f>IF(AJ15&gt;0,(O15-AJ15),"")</f>
        <v/>
      </c>
      <c r="CA15" s="106">
        <f>IF(AN15&gt;0,(O15-AN15),"")</f>
        <v/>
      </c>
      <c r="CB15" s="106">
        <f>COUNT(BV15:CA15)</f>
        <v/>
      </c>
      <c r="CC15" s="464">
        <f>IF(CB15=0,0,IF(CB15=1,0,1/(CB15*(CB15-1))))</f>
        <v/>
      </c>
      <c r="CD15" s="136">
        <f>IF(R15&gt;0,(BV15^2),"")</f>
        <v/>
      </c>
      <c r="CE15" s="136">
        <f>IF(X15&gt;0,(BW15^2),"")</f>
        <v/>
      </c>
      <c r="CF15" s="136">
        <f>IF(AB15&gt;0,(BX15^2),"")</f>
        <v/>
      </c>
      <c r="CG15" s="136">
        <f>IF(AF15&gt;0,(BY15^2),"")</f>
        <v/>
      </c>
      <c r="CH15" s="136">
        <f>IF(AJ15&gt;0,(BZ15^2),"")</f>
        <v/>
      </c>
      <c r="CI15" s="136">
        <f>IF(AN15&gt;0,(CA15^2),"")</f>
        <v/>
      </c>
    </row>
    <row r="16" ht="25.5" customHeight="1" s="444">
      <c r="A16" s="340" t="inlineStr">
        <is>
          <t>045/25</t>
        </is>
      </c>
      <c r="B16" s="65" t="inlineStr">
        <is>
          <t>W11</t>
        </is>
      </c>
      <c r="C16" s="78" t="inlineStr">
        <is>
          <t>Trasferimenti con trattore in esterno</t>
        </is>
      </c>
      <c r="D16" s="83" t="inlineStr">
        <is>
          <t>/</t>
        </is>
      </c>
      <c r="E16" s="83" t="inlineStr">
        <is>
          <t>/</t>
        </is>
      </c>
      <c r="F16" s="192" t="inlineStr">
        <is>
          <t>Trasferimenti con trattore in esterno</t>
        </is>
      </c>
      <c r="G16" s="71" t="n">
        <v>45996</v>
      </c>
      <c r="H16" s="77" t="inlineStr">
        <is>
          <t>Compito</t>
        </is>
      </c>
      <c r="I16" s="77">
        <f>IF((V16-R16)&gt;3,"SI","")</f>
        <v/>
      </c>
      <c r="J16" s="77" t="inlineStr">
        <is>
          <t>SI</t>
        </is>
      </c>
      <c r="K16" s="77" t="n"/>
      <c r="L16" s="77" t="n"/>
      <c r="M16" s="137">
        <f>IF(R16&gt;0,(SQRT(CC16*(SUM(CD16:CI16)))),"")</f>
        <v/>
      </c>
      <c r="N16" s="4">
        <f>IF(T16&gt;0,(MAX(T16,Z16,AD16,AH16,AL16,AP16))+SQRT(1.2^2+1^2),"")</f>
        <v/>
      </c>
      <c r="O16" s="3">
        <f>IF(R16="",0,10*LOG10(SUM(BP16:BU16)/(COUNT(R16,X16,AB16,AF16,AJ16,AN16))))</f>
        <v/>
      </c>
      <c r="P16" s="5">
        <f>IF(AND(Y16="",AC16="",AG16="",AK16="",AO16=""),S16,AVERAGE(S16,Y16,AC16,AG16,AK16,AO16)+STDEV(S16,Y16,AC16,AG16,AK16,AO16))</f>
        <v/>
      </c>
      <c r="Q16" s="14" t="n">
        <v>300</v>
      </c>
      <c r="R16" s="11" t="n">
        <v>82</v>
      </c>
      <c r="S16" s="12" t="n">
        <v>92.2</v>
      </c>
      <c r="T16" s="13" t="n">
        <v>132.5</v>
      </c>
      <c r="U16" s="79" t="n"/>
      <c r="V16" s="79" t="n"/>
      <c r="W16" s="10" t="n">
        <v>300</v>
      </c>
      <c r="X16" s="11" t="n">
        <v>89.7</v>
      </c>
      <c r="Y16" s="12" t="n">
        <v>100.1</v>
      </c>
      <c r="Z16" s="13" t="n">
        <v>134.7</v>
      </c>
      <c r="AA16" s="10" t="n">
        <v>300</v>
      </c>
      <c r="AB16" s="11" t="n">
        <v>91.40000000000001</v>
      </c>
      <c r="AC16" s="12" t="n">
        <v>93.3</v>
      </c>
      <c r="AD16" s="13" t="n">
        <v>117.9</v>
      </c>
      <c r="AE16" s="14" t="n">
        <v>300</v>
      </c>
      <c r="AF16" s="11" t="n">
        <v>82.8</v>
      </c>
      <c r="AG16" s="12" t="n">
        <v>94.7</v>
      </c>
      <c r="AH16" s="13" t="n">
        <v>135</v>
      </c>
      <c r="AI16" s="10" t="n">
        <v>300</v>
      </c>
      <c r="AJ16" s="11" t="n">
        <v>89.7</v>
      </c>
      <c r="AK16" s="12" t="n">
        <v>92</v>
      </c>
      <c r="AL16" s="13" t="n">
        <v>128.7</v>
      </c>
      <c r="AM16" s="10" t="n">
        <v>300</v>
      </c>
      <c r="AN16" s="11" t="n">
        <v>90.2</v>
      </c>
      <c r="AO16" s="12" t="n">
        <v>94.5</v>
      </c>
      <c r="AP16" s="13" t="n">
        <v>133.9</v>
      </c>
      <c r="AQ16" s="6">
        <f>IF(AND((O16)&lt;85,N16&lt;137),"NO","SI")</f>
        <v/>
      </c>
      <c r="AR16" s="7">
        <f>IF((480*(10^(7.95-(O16/10))))&lt;480,480*(10^(7.95-(O16/10))),480)</f>
        <v/>
      </c>
      <c r="AS16" s="8">
        <f>IF((480*(10^(8.45-(O16/10))))&lt;480,480*(10^(8.45-(O16/10))),480)</f>
        <v/>
      </c>
      <c r="AT16" s="9">
        <f>IF((480*(10^(8.65-(O16/10))))&lt;480,480*(10^(8.65-(O16/10))),480)</f>
        <v/>
      </c>
      <c r="AU16" s="151">
        <f>IF(O16&lt;80,"0",IF((P16-O16)&lt;=2,('DPI art.191'!$G$3-(('DPI art.191'!$F$3-'DPI art.191'!$G$3)/4)*(P16-O16-2)),('DPI art.191'!$G$3-(('DPI art.191'!$F$3-'DPI art.191'!$H$3)/8)*(P16-O16-2))))</f>
        <v/>
      </c>
      <c r="AV16" s="24">
        <f>O16-AU16</f>
        <v/>
      </c>
      <c r="AW16" s="24">
        <f>IF(N16&lt;135,N16,N16-'DPI art.191'!$I$3)</f>
        <v/>
      </c>
      <c r="AX16" s="111">
        <f>IF(O16&lt;80,"0",IF((P16-O16)&lt;=2,('DPI art.191'!$G$5-(('DPI art.191'!$F$5-'DPI art.191'!$G$5)/4)*(P16-O16-2)),('DPI art.191'!$G$5-(('DPI art.191'!$G$5-'DPI art.191'!$H$5)/8)*(P16-O16-2))))</f>
        <v/>
      </c>
      <c r="AY16" s="24">
        <f>O16-AX16</f>
        <v/>
      </c>
      <c r="AZ16" s="24">
        <f>IF(N16&lt;135,N16,N16-'DPI art.191'!$I$5)</f>
        <v/>
      </c>
      <c r="BA16" s="111">
        <f>IF(O16&lt;80,"0",IF((P16-O16)&lt;=2,('DPI art.191'!$G$7-(('DPI art.191'!$F$7-'DPI art.191'!$G$7)/4)*(P16-O16-2)),('DPI art.191'!$G$7-(('DPI art.191'!$G$7-'DPI art.191'!$H$7)/8)*(P16-O16-2))))</f>
        <v/>
      </c>
      <c r="BB16" s="24">
        <f>O16-BA16</f>
        <v/>
      </c>
      <c r="BC16" s="24">
        <f>IF(N16&lt;135,N16,N16-'DPI art.191'!$I$7)</f>
        <v/>
      </c>
      <c r="BD16" s="111">
        <f>IF(O16&lt;80,"0",IF((P16-O16)&lt;=2,('DPI art.191'!$G$9-(('DPI art.191'!$F$9-'DPI art.191'!$G$9)/4)*(O16-P16-2)),('DPI art.191'!$G$9-(('DPI art.191'!$G$9-'DPI art.191'!$H$9)/8)*(P16-O16-2))))</f>
        <v/>
      </c>
      <c r="BE16" s="24">
        <f>O16-BD16</f>
        <v/>
      </c>
      <c r="BF16" s="24">
        <f>IF(N16&lt;135,N16,N16-'DPI art.191'!$I$9)</f>
        <v/>
      </c>
      <c r="BG16" s="111">
        <f>IF(O16&lt;80,"0",IF((P16-O16)&lt;=2,('DPI art.191'!$G$11-(('DPI art.191'!$F$11-'DPI art.191'!$G$11)/4)*(P16-O16-2)),('DPI art.191'!$G$11-(('DPI art.191'!$G$11-'DPI art.191'!$H$11)/8)*(P16-O16-2))))</f>
        <v/>
      </c>
      <c r="BH16" s="24">
        <f>O16-BG16</f>
        <v/>
      </c>
      <c r="BI16" s="24">
        <f>IF(T16&lt;135,T16,T16-'DPI art.191'!$I$11)</f>
        <v/>
      </c>
      <c r="BJ16" s="111">
        <f>IF(O16&lt;80,"0",IF((P16-O16)&lt;=2,('DPI art.191'!$G$13-(('DPI art.191'!$F$13-'DPI art.191'!$G$13)/4)*(P16-O16-2)),('DPI art.191'!$G$13-(('DPI art.191'!$G$13-'DPI art.191'!$H$13)/8)*(P16-O16-2))))</f>
        <v/>
      </c>
      <c r="BK16" s="24">
        <f>O16-BJ16</f>
        <v/>
      </c>
      <c r="BL16" s="24">
        <f>IF(T16&lt;135,T16,T16-'DPI art.191'!$I$13)</f>
        <v/>
      </c>
      <c r="BM16" s="111">
        <f>IF(O16&lt;80,"0",IF((P16-O16)&lt;=2,('DPI art.191'!$G$15-(('DPI art.191'!$F$15-'DPI art.191'!$G$15)/4)*(P16-O16-2)),('DPI art.191'!$G$15-(('DPI art.191'!$G$15-'DPI art.191'!$H$15)/8)*(P16-O16-2))))</f>
        <v/>
      </c>
      <c r="BN16" s="24">
        <f>O16-BM16</f>
        <v/>
      </c>
      <c r="BO16" s="24">
        <f>IF(Z16&lt;135,Z16,Z16-'DPI art.191'!$I$15)</f>
        <v/>
      </c>
      <c r="BP16" s="108">
        <f>10^(0.1*R16)</f>
        <v/>
      </c>
      <c r="BQ16" s="108">
        <f>10^(0.1*X16)</f>
        <v/>
      </c>
      <c r="BR16" s="108">
        <f>10^(0.1*AB16)</f>
        <v/>
      </c>
      <c r="BS16" s="108">
        <f>10^(0.1*AF16)</f>
        <v/>
      </c>
      <c r="BT16" s="108">
        <f>10^(0.1*AJ16)</f>
        <v/>
      </c>
      <c r="BU16" s="108">
        <f>10^(0.1*AN16)</f>
        <v/>
      </c>
      <c r="BV16" s="106">
        <f>IF(R16&gt;0,(O16-R16),"")</f>
        <v/>
      </c>
      <c r="BW16" s="106">
        <f>IF(X16&gt;0,(O16-X16),"")</f>
        <v/>
      </c>
      <c r="BX16" s="106">
        <f>IF(AB16&gt;0,(O16-AB16),"")</f>
        <v/>
      </c>
      <c r="BY16" s="106">
        <f>IF(AF16&gt;0,(O16-AF16),"")</f>
        <v/>
      </c>
      <c r="BZ16" s="106">
        <f>IF(AJ16&gt;0,(O16-AJ16),"")</f>
        <v/>
      </c>
      <c r="CA16" s="106">
        <f>IF(AN16&gt;0,(O16-AN16),"")</f>
        <v/>
      </c>
      <c r="CB16" s="106">
        <f>COUNT(BV16:CA16)</f>
        <v/>
      </c>
      <c r="CC16" s="464">
        <f>IF(CB16=0,0,IF(CB16=1,0,1/(CB16*(CB16-1))))</f>
        <v/>
      </c>
      <c r="CD16" s="136">
        <f>IF(R16&gt;0,(BV16^2),"")</f>
        <v/>
      </c>
      <c r="CE16" s="136">
        <f>IF(X16&gt;0,(BW16^2),"")</f>
        <v/>
      </c>
      <c r="CF16" s="136">
        <f>IF(AB16&gt;0,(BX16^2),"")</f>
        <v/>
      </c>
      <c r="CG16" s="136">
        <f>IF(AF16&gt;0,(BY16^2),"")</f>
        <v/>
      </c>
      <c r="CH16" s="136">
        <f>IF(AJ16&gt;0,(BZ16^2),"")</f>
        <v/>
      </c>
      <c r="CI16" s="136">
        <f>IF(AN16&gt;0,(CA16^2),"")</f>
        <v/>
      </c>
    </row>
    <row r="17" ht="18.75" customHeight="1" s="444">
      <c r="A17" s="340" t="inlineStr">
        <is>
          <t>Gualdo 2</t>
        </is>
      </c>
      <c r="B17" s="65" t="inlineStr">
        <is>
          <t>W12</t>
        </is>
      </c>
      <c r="C17" s="78" t="inlineStr">
        <is>
          <t>Molatura con mola grande</t>
        </is>
      </c>
      <c r="D17" s="83" t="inlineStr">
        <is>
          <t>/</t>
        </is>
      </c>
      <c r="E17" s="83" t="inlineStr">
        <is>
          <t>/</t>
        </is>
      </c>
      <c r="F17" s="192" t="inlineStr">
        <is>
          <t>Molatura con mola grande</t>
        </is>
      </c>
      <c r="G17" s="71" t="n">
        <v>46003</v>
      </c>
      <c r="H17" s="77" t="inlineStr">
        <is>
          <t>Compito</t>
        </is>
      </c>
      <c r="I17" s="77">
        <f>IF((V17-R17)&gt;3,"SI","")</f>
        <v/>
      </c>
      <c r="J17" s="77" t="inlineStr">
        <is>
          <t>SI</t>
        </is>
      </c>
      <c r="K17" s="77" t="n"/>
      <c r="L17" s="77" t="n"/>
      <c r="M17" s="137">
        <f>IF(R17&gt;0,(SQRT(CC17*(SUM(CD17:CI17)))),"")</f>
        <v/>
      </c>
      <c r="N17" s="4">
        <f>IF(T17&gt;0,(MAX(T17,Z17,AD17,AH17,AL17,AP17))+SQRT(1.2^2+1^2),"")</f>
        <v/>
      </c>
      <c r="O17" s="3">
        <f>IF(R17="",0,10*LOG10(SUM(BP17:BU17)/(COUNT(R17,X17,AB17,AF17,AJ17,AN17))))</f>
        <v/>
      </c>
      <c r="P17" s="5">
        <f>IF(AND(Y17="",AC17="",AG17="",AK17="",AO17=""),S17,AVERAGE(S17,Y17,AC17,AG17,AK17,AO17)+STDEV(S17,Y17,AC17,AG17,AK17,AO17))</f>
        <v/>
      </c>
      <c r="Q17" s="14" t="n">
        <v>300</v>
      </c>
      <c r="R17" s="11" t="n">
        <v>100.4</v>
      </c>
      <c r="S17" s="12" t="n">
        <v>99.90000000000001</v>
      </c>
      <c r="T17" s="13" t="n">
        <v>123.6</v>
      </c>
      <c r="U17" s="79" t="n"/>
      <c r="V17" s="79" t="n"/>
      <c r="W17" s="10" t="n">
        <v>300</v>
      </c>
      <c r="X17" s="11" t="n">
        <v>100.4</v>
      </c>
      <c r="Y17" s="12" t="n">
        <v>99.7</v>
      </c>
      <c r="Z17" s="13" t="n">
        <v>121</v>
      </c>
      <c r="AA17" s="10" t="n">
        <v>300</v>
      </c>
      <c r="AB17" s="11" t="n">
        <v>95</v>
      </c>
      <c r="AC17" s="12" t="n">
        <v>94.3</v>
      </c>
      <c r="AD17" s="13" t="n">
        <v>119.1</v>
      </c>
      <c r="AE17" s="14" t="n">
        <v>300</v>
      </c>
      <c r="AF17" s="11" t="n">
        <v>93.3</v>
      </c>
      <c r="AG17" s="12" t="n">
        <v>92.40000000000001</v>
      </c>
      <c r="AH17" s="13" t="n">
        <v>121</v>
      </c>
      <c r="AI17" s="10" t="n">
        <v>300</v>
      </c>
      <c r="AJ17" s="11" t="n">
        <v>99.90000000000001</v>
      </c>
      <c r="AK17" s="12" t="n">
        <v>98.90000000000001</v>
      </c>
      <c r="AL17" s="13" t="n">
        <v>120.6</v>
      </c>
      <c r="AM17" s="10" t="n">
        <v>300</v>
      </c>
      <c r="AN17" s="11" t="n">
        <v>98.59999999999999</v>
      </c>
      <c r="AO17" s="12" t="n">
        <v>98</v>
      </c>
      <c r="AP17" s="13" t="n">
        <v>121.8</v>
      </c>
      <c r="AQ17" s="6">
        <f>IF(AND((O17)&lt;85,N17&lt;137),"NO","SI")</f>
        <v/>
      </c>
      <c r="AR17" s="7">
        <f>IF((480*(10^(7.95-(O17/10))))&lt;480,480*(10^(7.95-(O17/10))),480)</f>
        <v/>
      </c>
      <c r="AS17" s="8">
        <f>IF((480*(10^(8.45-(O17/10))))&lt;480,480*(10^(8.45-(O17/10))),480)</f>
        <v/>
      </c>
      <c r="AT17" s="9">
        <f>IF((480*(10^(8.65-(O17/10))))&lt;480,480*(10^(8.65-(O17/10))),480)</f>
        <v/>
      </c>
      <c r="AU17" s="151">
        <f>IF(O17&lt;80,"0",IF((P17-O17)&lt;=2,('DPI art.191'!$G$3-(('DPI art.191'!$F$3-'DPI art.191'!$G$3)/4)*(P17-O17-2)),('DPI art.191'!$G$3-(('DPI art.191'!$F$3-'DPI art.191'!$H$3)/8)*(P17-O17-2))))</f>
        <v/>
      </c>
      <c r="AV17" s="24">
        <f>O17-AU17</f>
        <v/>
      </c>
      <c r="AW17" s="24">
        <f>IF(N17&lt;135,N17,N17-'DPI art.191'!$I$3)</f>
        <v/>
      </c>
      <c r="AX17" s="111">
        <f>IF(O17&lt;80,"0",IF((P17-O17)&lt;=2,('DPI art.191'!$G$5-(('DPI art.191'!$F$5-'DPI art.191'!$G$5)/4)*(P17-O17-2)),('DPI art.191'!$G$5-(('DPI art.191'!$G$5-'DPI art.191'!$H$5)/8)*(P17-O17-2))))</f>
        <v/>
      </c>
      <c r="AY17" s="24">
        <f>O17-AX17</f>
        <v/>
      </c>
      <c r="AZ17" s="24">
        <f>IF(N17&lt;135,N17,N17-'DPI art.191'!$I$5)</f>
        <v/>
      </c>
      <c r="BA17" s="111">
        <f>IF(O17&lt;80,"0",IF((P17-O17)&lt;=2,('DPI art.191'!$G$7-(('DPI art.191'!$F$7-'DPI art.191'!$G$7)/4)*(P17-O17-2)),('DPI art.191'!$G$7-(('DPI art.191'!$G$7-'DPI art.191'!$H$7)/8)*(P17-O17-2))))</f>
        <v/>
      </c>
      <c r="BB17" s="24">
        <f>O17-BA17</f>
        <v/>
      </c>
      <c r="BC17" s="24">
        <f>IF(N17&lt;135,N17,N17-'DPI art.191'!$I$7)</f>
        <v/>
      </c>
      <c r="BD17" s="111">
        <f>IF(O17&lt;80,"0",IF((P17-O17)&lt;=2,('DPI art.191'!$G$9-(('DPI art.191'!$F$9-'DPI art.191'!$G$9)/4)*(O17-P17-2)),('DPI art.191'!$G$9-(('DPI art.191'!$G$9-'DPI art.191'!$H$9)/8)*(P17-O17-2))))</f>
        <v/>
      </c>
      <c r="BE17" s="24">
        <f>O17-BD17</f>
        <v/>
      </c>
      <c r="BF17" s="24">
        <f>IF(N17&lt;135,N17,N17-'DPI art.191'!$I$9)</f>
        <v/>
      </c>
      <c r="BG17" s="111">
        <f>IF(O17&lt;80,"0",IF((P17-O17)&lt;=2,('DPI art.191'!$G$11-(('DPI art.191'!$F$11-'DPI art.191'!$G$11)/4)*(P17-O17-2)),('DPI art.191'!$G$11-(('DPI art.191'!$G$11-'DPI art.191'!$H$11)/8)*(P17-O17-2))))</f>
        <v/>
      </c>
      <c r="BH17" s="24">
        <f>O17-BG17</f>
        <v/>
      </c>
      <c r="BI17" s="24">
        <f>IF(T17&lt;135,T17,T17-'DPI art.191'!$I$11)</f>
        <v/>
      </c>
      <c r="BJ17" s="111">
        <f>IF(O17&lt;80,"0",IF((P17-O17)&lt;=2,('DPI art.191'!$G$13-(('DPI art.191'!$F$13-'DPI art.191'!$G$13)/4)*(P17-O17-2)),('DPI art.191'!$G$13-(('DPI art.191'!$G$13-'DPI art.191'!$H$13)/8)*(P17-O17-2))))</f>
        <v/>
      </c>
      <c r="BK17" s="24">
        <f>O17-BJ17</f>
        <v/>
      </c>
      <c r="BL17" s="24">
        <f>IF(T17&lt;135,T17,T17-'DPI art.191'!$I$13)</f>
        <v/>
      </c>
      <c r="BM17" s="111">
        <f>IF(O17&lt;80,"0",IF((P17-O17)&lt;=2,('DPI art.191'!$G$15-(('DPI art.191'!$F$15-'DPI art.191'!$G$15)/4)*(P17-O17-2)),('DPI art.191'!$G$15-(('DPI art.191'!$G$15-'DPI art.191'!$H$15)/8)*(P17-O17-2))))</f>
        <v/>
      </c>
      <c r="BN17" s="24">
        <f>O17-BM17</f>
        <v/>
      </c>
      <c r="BO17" s="24">
        <f>IF(Z17&lt;135,Z17,Z17-'DPI art.191'!$I$15)</f>
        <v/>
      </c>
      <c r="BP17" s="108">
        <f>10^(0.1*R17)</f>
        <v/>
      </c>
      <c r="BQ17" s="108">
        <f>10^(0.1*X17)</f>
        <v/>
      </c>
      <c r="BR17" s="108">
        <f>10^(0.1*AB17)</f>
        <v/>
      </c>
      <c r="BS17" s="108">
        <f>10^(0.1*AF17)</f>
        <v/>
      </c>
      <c r="BT17" s="108">
        <f>10^(0.1*AJ17)</f>
        <v/>
      </c>
      <c r="BU17" s="108">
        <f>10^(0.1*AN17)</f>
        <v/>
      </c>
      <c r="BV17" s="106">
        <f>IF(R17&gt;0,(O17-R17),"")</f>
        <v/>
      </c>
      <c r="BW17" s="106">
        <f>IF(X17&gt;0,(O17-X17),"")</f>
        <v/>
      </c>
      <c r="BX17" s="106">
        <f>IF(AB17&gt;0,(O17-AB17),"")</f>
        <v/>
      </c>
      <c r="BY17" s="106">
        <f>IF(AF17&gt;0,(O17-AF17),"")</f>
        <v/>
      </c>
      <c r="BZ17" s="106">
        <f>IF(AJ17&gt;0,(O17-AJ17),"")</f>
        <v/>
      </c>
      <c r="CA17" s="106">
        <f>IF(AN17&gt;0,(O17-AN17),"")</f>
        <v/>
      </c>
      <c r="CB17" s="106">
        <f>COUNT(BV17:CA17)</f>
        <v/>
      </c>
      <c r="CC17" s="464">
        <f>IF(CB17=0,0,IF(CB17=1,0,1/(CB17*(CB17-1))))</f>
        <v/>
      </c>
      <c r="CD17" s="136">
        <f>IF(R17&gt;0,(BV17^2),"")</f>
        <v/>
      </c>
      <c r="CE17" s="136">
        <f>IF(X17&gt;0,(BW17^2),"")</f>
        <v/>
      </c>
      <c r="CF17" s="136">
        <f>IF(AB17&gt;0,(BX17^2),"")</f>
        <v/>
      </c>
      <c r="CG17" s="136">
        <f>IF(AF17&gt;0,(BY17^2),"")</f>
        <v/>
      </c>
      <c r="CH17" s="136">
        <f>IF(AJ17&gt;0,(BZ17^2),"")</f>
        <v/>
      </c>
      <c r="CI17" s="136">
        <f>IF(AN17&gt;0,(CA17^2),"")</f>
        <v/>
      </c>
    </row>
    <row r="18" ht="18.75" customHeight="1" s="444">
      <c r="A18" s="340" t="inlineStr">
        <is>
          <t>Gualdo 2</t>
        </is>
      </c>
      <c r="B18" s="65" t="inlineStr">
        <is>
          <t>W13</t>
        </is>
      </c>
      <c r="C18" s="78" t="inlineStr">
        <is>
          <t>Molatura con mola piccola</t>
        </is>
      </c>
      <c r="D18" s="83" t="inlineStr">
        <is>
          <t>/</t>
        </is>
      </c>
      <c r="E18" s="83" t="inlineStr">
        <is>
          <t>/</t>
        </is>
      </c>
      <c r="F18" s="192" t="inlineStr">
        <is>
          <t>Molatura con mola piccola</t>
        </is>
      </c>
      <c r="G18" s="71" t="n">
        <v>46003</v>
      </c>
      <c r="H18" s="77" t="inlineStr">
        <is>
          <t>Compito</t>
        </is>
      </c>
      <c r="I18" s="77">
        <f>IF((V18-R18)&gt;3,"SI","")</f>
        <v/>
      </c>
      <c r="J18" s="77" t="inlineStr">
        <is>
          <t>SI</t>
        </is>
      </c>
      <c r="K18" s="77" t="n"/>
      <c r="L18" s="77" t="n"/>
      <c r="M18" s="137">
        <f>IF(R18&gt;0,(SQRT(CC18*(SUM(CD18:CI18)))),"")</f>
        <v/>
      </c>
      <c r="N18" s="4">
        <f>IF(T18&gt;0,(MAX(T18,Z18,AD18,AH18,AL18,AP18))+SQRT(1.2^2+1^2),"")</f>
        <v/>
      </c>
      <c r="O18" s="3">
        <f>IF(R18="",0,10*LOG10(SUM(BP18:BU18)/(COUNT(R18,X18,AB18,AF18,AJ18,AN18))))</f>
        <v/>
      </c>
      <c r="P18" s="5">
        <f>IF(AND(Y18="",AC18="",AG18="",AK18="",AO18=""),S18,AVERAGE(S18,Y18,AC18,AG18,AK18,AO18)+STDEV(S18,Y18,AC18,AG18,AK18,AO18))</f>
        <v/>
      </c>
      <c r="Q18" s="14" t="n">
        <v>300</v>
      </c>
      <c r="R18" s="11" t="n">
        <v>103.9</v>
      </c>
      <c r="S18" s="12" t="n">
        <v>102.5</v>
      </c>
      <c r="T18" s="13" t="n">
        <v>126.1</v>
      </c>
      <c r="U18" s="79" t="n"/>
      <c r="V18" s="79" t="n"/>
      <c r="W18" s="10" t="n">
        <v>300</v>
      </c>
      <c r="X18" s="11" t="n">
        <v>102.1</v>
      </c>
      <c r="Y18" s="12" t="n">
        <v>100.7</v>
      </c>
      <c r="Z18" s="13" t="n">
        <v>123.4</v>
      </c>
      <c r="AA18" s="10" t="n">
        <v>300</v>
      </c>
      <c r="AB18" s="11" t="n">
        <v>101.9</v>
      </c>
      <c r="AC18" s="12" t="n">
        <v>100.3</v>
      </c>
      <c r="AD18" s="13" t="n">
        <v>124.5</v>
      </c>
      <c r="AE18" s="14" t="n">
        <v>300</v>
      </c>
      <c r="AF18" s="11" t="n">
        <v>106.9</v>
      </c>
      <c r="AG18" s="12" t="n">
        <v>105.3</v>
      </c>
      <c r="AH18" s="13" t="n">
        <v>127.9</v>
      </c>
      <c r="AI18" s="10" t="n">
        <v>300</v>
      </c>
      <c r="AJ18" s="11" t="n">
        <v>103.9</v>
      </c>
      <c r="AK18" s="12" t="n">
        <v>102.3</v>
      </c>
      <c r="AL18" s="13" t="n">
        <v>126.4</v>
      </c>
      <c r="AM18" s="10" t="n">
        <v>300</v>
      </c>
      <c r="AN18" s="11" t="n">
        <v>91.40000000000001</v>
      </c>
      <c r="AO18" s="12" t="n">
        <v>90.59999999999999</v>
      </c>
      <c r="AP18" s="13" t="n">
        <v>119</v>
      </c>
      <c r="AQ18" s="6">
        <f>IF(AND((O18)&lt;85,N18&lt;137),"NO","SI")</f>
        <v/>
      </c>
      <c r="AR18" s="7">
        <f>IF((480*(10^(7.95-(O18/10))))&lt;480,480*(10^(7.95-(O18/10))),480)</f>
        <v/>
      </c>
      <c r="AS18" s="8">
        <f>IF((480*(10^(8.45-(O18/10))))&lt;480,480*(10^(8.45-(O18/10))),480)</f>
        <v/>
      </c>
      <c r="AT18" s="9">
        <f>IF((480*(10^(8.65-(O18/10))))&lt;480,480*(10^(8.65-(O18/10))),480)</f>
        <v/>
      </c>
      <c r="AU18" s="151">
        <f>IF(O18&lt;80,"0",IF((P18-O18)&lt;=2,('DPI art.191'!$G$3-(('DPI art.191'!$F$3-'DPI art.191'!$G$3)/4)*(P18-O18-2)),('DPI art.191'!$G$3-(('DPI art.191'!$F$3-'DPI art.191'!$H$3)/8)*(P18-O18-2))))</f>
        <v/>
      </c>
      <c r="AV18" s="24">
        <f>O18-AU18</f>
        <v/>
      </c>
      <c r="AW18" s="24">
        <f>IF(N18&lt;135,N18,N18-'DPI art.191'!$I$3)</f>
        <v/>
      </c>
      <c r="AX18" s="111">
        <f>IF(O18&lt;80,"0",IF((P18-O18)&lt;=2,('DPI art.191'!$G$5-(('DPI art.191'!$F$5-'DPI art.191'!$G$5)/4)*(P18-O18-2)),('DPI art.191'!$G$5-(('DPI art.191'!$G$5-'DPI art.191'!$H$5)/8)*(P18-O18-2))))</f>
        <v/>
      </c>
      <c r="AY18" s="24">
        <f>O18-AX18</f>
        <v/>
      </c>
      <c r="AZ18" s="24">
        <f>IF(N18&lt;135,N18,N18-'DPI art.191'!$I$5)</f>
        <v/>
      </c>
      <c r="BA18" s="111">
        <f>IF(O18&lt;80,"0",IF((P18-O18)&lt;=2,('DPI art.191'!$G$7-(('DPI art.191'!$F$7-'DPI art.191'!$G$7)/4)*(P18-O18-2)),('DPI art.191'!$G$7-(('DPI art.191'!$G$7-'DPI art.191'!$H$7)/8)*(P18-O18-2))))</f>
        <v/>
      </c>
      <c r="BB18" s="24">
        <f>O18-BA18</f>
        <v/>
      </c>
      <c r="BC18" s="24">
        <f>IF(N18&lt;135,N18,N18-'DPI art.191'!$I$7)</f>
        <v/>
      </c>
      <c r="BD18" s="111">
        <f>IF(O18&lt;80,"0",IF((P18-O18)&lt;=2,('DPI art.191'!$G$9-(('DPI art.191'!$F$9-'DPI art.191'!$G$9)/4)*(O18-P18-2)),('DPI art.191'!$G$9-(('DPI art.191'!$G$9-'DPI art.191'!$H$9)/8)*(P18-O18-2))))</f>
        <v/>
      </c>
      <c r="BE18" s="24">
        <f>O18-BD18</f>
        <v/>
      </c>
      <c r="BF18" s="24">
        <f>IF(N18&lt;135,N18,N18-'DPI art.191'!$I$9)</f>
        <v/>
      </c>
      <c r="BG18" s="111">
        <f>IF(O18&lt;80,"0",IF((P18-O18)&lt;=2,('DPI art.191'!$G$11-(('DPI art.191'!$F$11-'DPI art.191'!$G$11)/4)*(P18-O18-2)),('DPI art.191'!$G$11-(('DPI art.191'!$G$11-'DPI art.191'!$H$11)/8)*(P18-O18-2))))</f>
        <v/>
      </c>
      <c r="BH18" s="24">
        <f>O18-BG18</f>
        <v/>
      </c>
      <c r="BI18" s="24">
        <f>IF(T18&lt;135,T18,T18-'DPI art.191'!$I$11)</f>
        <v/>
      </c>
      <c r="BJ18" s="111">
        <f>IF(O18&lt;80,"0",IF((P18-O18)&lt;=2,('DPI art.191'!$G$13-(('DPI art.191'!$F$13-'DPI art.191'!$G$13)/4)*(P18-O18-2)),('DPI art.191'!$G$13-(('DPI art.191'!$G$13-'DPI art.191'!$H$13)/8)*(P18-O18-2))))</f>
        <v/>
      </c>
      <c r="BK18" s="24">
        <f>O18-BJ18</f>
        <v/>
      </c>
      <c r="BL18" s="24">
        <f>IF(T18&lt;135,T18,T18-'DPI art.191'!$I$13)</f>
        <v/>
      </c>
      <c r="BM18" s="111">
        <f>IF(O18&lt;80,"0",IF((P18-O18)&lt;=2,('DPI art.191'!$G$15-(('DPI art.191'!$F$15-'DPI art.191'!$G$15)/4)*(P18-O18-2)),('DPI art.191'!$G$15-(('DPI art.191'!$G$15-'DPI art.191'!$H$15)/8)*(P18-O18-2))))</f>
        <v/>
      </c>
      <c r="BN18" s="24">
        <f>O18-BM18</f>
        <v/>
      </c>
      <c r="BO18" s="24">
        <f>IF(Z18&lt;135,Z18,Z18-'DPI art.191'!$I$15)</f>
        <v/>
      </c>
      <c r="BP18" s="108">
        <f>10^(0.1*R18)</f>
        <v/>
      </c>
      <c r="BQ18" s="108">
        <f>10^(0.1*X18)</f>
        <v/>
      </c>
      <c r="BR18" s="108">
        <f>10^(0.1*AB18)</f>
        <v/>
      </c>
      <c r="BS18" s="108">
        <f>10^(0.1*AF18)</f>
        <v/>
      </c>
      <c r="BT18" s="108">
        <f>10^(0.1*AJ18)</f>
        <v/>
      </c>
      <c r="BU18" s="108">
        <f>10^(0.1*AN18)</f>
        <v/>
      </c>
      <c r="BV18" s="106">
        <f>IF(R18&gt;0,(O18-R18),"")</f>
        <v/>
      </c>
      <c r="BW18" s="106">
        <f>IF(X18&gt;0,(O18-X18),"")</f>
        <v/>
      </c>
      <c r="BX18" s="106">
        <f>IF(AB18&gt;0,(O18-AB18),"")</f>
        <v/>
      </c>
      <c r="BY18" s="106">
        <f>IF(AF18&gt;0,(O18-AF18),"")</f>
        <v/>
      </c>
      <c r="BZ18" s="106">
        <f>IF(AJ18&gt;0,(O18-AJ18),"")</f>
        <v/>
      </c>
      <c r="CA18" s="106">
        <f>IF(AN18&gt;0,(O18-AN18),"")</f>
        <v/>
      </c>
      <c r="CB18" s="106">
        <f>COUNT(BV18:CA18)</f>
        <v/>
      </c>
      <c r="CC18" s="464">
        <f>IF(CB18=0,0,IF(CB18=1,0,1/(CB18*(CB18-1))))</f>
        <v/>
      </c>
      <c r="CD18" s="136">
        <f>IF(R18&gt;0,(BV18^2),"")</f>
        <v/>
      </c>
      <c r="CE18" s="136">
        <f>IF(X18&gt;0,(BW18^2),"")</f>
        <v/>
      </c>
      <c r="CF18" s="136">
        <f>IF(AB18&gt;0,(BX18^2),"")</f>
        <v/>
      </c>
      <c r="CG18" s="136">
        <f>IF(AF18&gt;0,(BY18^2),"")</f>
        <v/>
      </c>
      <c r="CH18" s="136">
        <f>IF(AJ18&gt;0,(BZ18^2),"")</f>
        <v/>
      </c>
      <c r="CI18" s="136">
        <f>IF(AN18&gt;0,(CA18^2),"")</f>
        <v/>
      </c>
    </row>
    <row r="19" ht="18.75" customHeight="1" s="444">
      <c r="A19" s="340" t="inlineStr">
        <is>
          <t>Gualdo 2</t>
        </is>
      </c>
      <c r="B19" s="65" t="inlineStr">
        <is>
          <t>W14</t>
        </is>
      </c>
      <c r="C19" s="78" t="inlineStr">
        <is>
          <t>Movimentazione con carroponte</t>
        </is>
      </c>
      <c r="D19" s="83" t="inlineStr">
        <is>
          <t>/</t>
        </is>
      </c>
      <c r="E19" s="83" t="inlineStr">
        <is>
          <t>/</t>
        </is>
      </c>
      <c r="F19" s="192" t="inlineStr">
        <is>
          <t>Movimentazione con carroponte</t>
        </is>
      </c>
      <c r="G19" s="71" t="n">
        <v>46003</v>
      </c>
      <c r="H19" s="77" t="inlineStr">
        <is>
          <t>Compito</t>
        </is>
      </c>
      <c r="I19" s="77">
        <f>IF((V19-R19)&gt;3,"SI","")</f>
        <v/>
      </c>
      <c r="J19" s="77" t="inlineStr">
        <is>
          <t>SI</t>
        </is>
      </c>
      <c r="K19" s="77" t="n"/>
      <c r="L19" s="77" t="n"/>
      <c r="M19" s="137">
        <f>IF(R19&gt;0,(SQRT(CC19*(SUM(CD19:CI19)))),"")</f>
        <v/>
      </c>
      <c r="N19" s="4">
        <f>IF(T19&gt;0,(MAX(T19,Z19,AD19,AH19,AL19,AP19))+SQRT(1.2^2+1^2),"")</f>
        <v/>
      </c>
      <c r="O19" s="3">
        <f>IF(R19="",0,10*LOG10(SUM(BP19:BU19)/(COUNT(R19,X19,AB19,AF19,AJ19,AN19))))</f>
        <v/>
      </c>
      <c r="P19" s="5">
        <f>IF(AND(Y19="",AC19="",AG19="",AK19="",AO19=""),S19,AVERAGE(S19,Y19,AC19,AG19,AK19,AO19)+STDEV(S19,Y19,AC19,AG19,AK19,AO19))</f>
        <v/>
      </c>
      <c r="Q19" s="14" t="n">
        <v>300</v>
      </c>
      <c r="R19" s="11" t="n">
        <v>83</v>
      </c>
      <c r="S19" s="12" t="n">
        <v>85.5</v>
      </c>
      <c r="T19" s="13" t="n">
        <v>113.7</v>
      </c>
      <c r="U19" s="79" t="n"/>
      <c r="V19" s="79" t="n"/>
      <c r="W19" s="10" t="n">
        <v>300</v>
      </c>
      <c r="X19" s="11" t="n">
        <v>79.3</v>
      </c>
      <c r="Y19" s="12" t="n">
        <v>81.2</v>
      </c>
      <c r="Z19" s="13" t="n">
        <v>114.9</v>
      </c>
      <c r="AA19" s="10" t="n">
        <v>300</v>
      </c>
      <c r="AB19" s="11" t="n">
        <v>80.90000000000001</v>
      </c>
      <c r="AC19" s="12" t="n">
        <v>84.2</v>
      </c>
      <c r="AD19" s="13" t="n">
        <v>110.3</v>
      </c>
      <c r="AE19" s="14" t="n">
        <v>300</v>
      </c>
      <c r="AF19" s="11" t="n">
        <v>85.8</v>
      </c>
      <c r="AG19" s="12" t="n">
        <v>85.40000000000001</v>
      </c>
      <c r="AH19" s="13" t="n">
        <v>119.1</v>
      </c>
      <c r="AI19" s="10" t="n">
        <v>300</v>
      </c>
      <c r="AJ19" s="11" t="n">
        <v>75.40000000000001</v>
      </c>
      <c r="AK19" s="12" t="n">
        <v>79.8</v>
      </c>
      <c r="AL19" s="13" t="n">
        <v>108</v>
      </c>
      <c r="AM19" s="10" t="n">
        <v>300</v>
      </c>
      <c r="AN19" s="11" t="n">
        <v>77.8</v>
      </c>
      <c r="AO19" s="12" t="n">
        <v>79.90000000000001</v>
      </c>
      <c r="AP19" s="13" t="n">
        <v>120</v>
      </c>
      <c r="AQ19" s="6">
        <f>IF(AND((O19)&lt;85,N19&lt;137),"NO","SI")</f>
        <v/>
      </c>
      <c r="AR19" s="7">
        <f>IF((480*(10^(7.95-(O19/10))))&lt;480,480*(10^(7.95-(O19/10))),480)</f>
        <v/>
      </c>
      <c r="AS19" s="8">
        <f>IF((480*(10^(8.45-(O19/10))))&lt;480,480*(10^(8.45-(O19/10))),480)</f>
        <v/>
      </c>
      <c r="AT19" s="9">
        <f>IF((480*(10^(8.65-(O19/10))))&lt;480,480*(10^(8.65-(O19/10))),480)</f>
        <v/>
      </c>
      <c r="AU19" s="151">
        <f>IF(O19&lt;80,"0",IF((P19-O19)&lt;=2,('DPI art.191'!$G$3-(('DPI art.191'!$F$3-'DPI art.191'!$G$3)/4)*(P19-O19-2)),('DPI art.191'!$G$3-(('DPI art.191'!$F$3-'DPI art.191'!$H$3)/8)*(P19-O19-2))))</f>
        <v/>
      </c>
      <c r="AV19" s="24">
        <f>O19-AU19</f>
        <v/>
      </c>
      <c r="AW19" s="24">
        <f>IF(N19&lt;135,N19,N19-'DPI art.191'!$I$3)</f>
        <v/>
      </c>
      <c r="AX19" s="111">
        <f>IF(O19&lt;80,"0",IF((P19-O19)&lt;=2,('DPI art.191'!$G$5-(('DPI art.191'!$F$5-'DPI art.191'!$G$5)/4)*(P19-O19-2)),('DPI art.191'!$G$5-(('DPI art.191'!$G$5-'DPI art.191'!$H$5)/8)*(P19-O19-2))))</f>
        <v/>
      </c>
      <c r="AY19" s="24">
        <f>O19-AX19</f>
        <v/>
      </c>
      <c r="AZ19" s="24">
        <f>IF(N19&lt;135,N19,N19-'DPI art.191'!$I$5)</f>
        <v/>
      </c>
      <c r="BA19" s="111">
        <f>IF(O19&lt;80,"0",IF((P19-O19)&lt;=2,('DPI art.191'!$G$7-(('DPI art.191'!$F$7-'DPI art.191'!$G$7)/4)*(P19-O19-2)),('DPI art.191'!$G$7-(('DPI art.191'!$G$7-'DPI art.191'!$H$7)/8)*(P19-O19-2))))</f>
        <v/>
      </c>
      <c r="BB19" s="24">
        <f>O19-BA19</f>
        <v/>
      </c>
      <c r="BC19" s="24">
        <f>IF(N19&lt;135,N19,N19-'DPI art.191'!$I$7)</f>
        <v/>
      </c>
      <c r="BD19" s="111">
        <f>IF(O19&lt;80,"0",IF((P19-O19)&lt;=2,('DPI art.191'!$G$9-(('DPI art.191'!$F$9-'DPI art.191'!$G$9)/4)*(O19-P19-2)),('DPI art.191'!$G$9-(('DPI art.191'!$G$9-'DPI art.191'!$H$9)/8)*(P19-O19-2))))</f>
        <v/>
      </c>
      <c r="BE19" s="24">
        <f>O19-BD19</f>
        <v/>
      </c>
      <c r="BF19" s="24">
        <f>IF(N19&lt;135,N19,N19-'DPI art.191'!$I$9)</f>
        <v/>
      </c>
      <c r="BG19" s="111">
        <f>IF(O19&lt;80,"0",IF((P19-O19)&lt;=2,('DPI art.191'!$G$11-(('DPI art.191'!$F$11-'DPI art.191'!$G$11)/4)*(P19-O19-2)),('DPI art.191'!$G$11-(('DPI art.191'!$G$11-'DPI art.191'!$H$11)/8)*(P19-O19-2))))</f>
        <v/>
      </c>
      <c r="BH19" s="24">
        <f>O19-BG19</f>
        <v/>
      </c>
      <c r="BI19" s="24">
        <f>IF(T19&lt;135,T19,T19-'DPI art.191'!$I$11)</f>
        <v/>
      </c>
      <c r="BJ19" s="111">
        <f>IF(O19&lt;80,"0",IF((P19-O19)&lt;=2,('DPI art.191'!$G$13-(('DPI art.191'!$F$13-'DPI art.191'!$G$13)/4)*(P19-O19-2)),('DPI art.191'!$G$13-(('DPI art.191'!$G$13-'DPI art.191'!$H$13)/8)*(P19-O19-2))))</f>
        <v/>
      </c>
      <c r="BK19" s="24">
        <f>O19-BJ19</f>
        <v/>
      </c>
      <c r="BL19" s="24">
        <f>IF(T19&lt;135,T19,T19-'DPI art.191'!$I$13)</f>
        <v/>
      </c>
      <c r="BM19" s="111">
        <f>IF(O19&lt;80,"0",IF((P19-O19)&lt;=2,('DPI art.191'!$G$15-(('DPI art.191'!$F$15-'DPI art.191'!$G$15)/4)*(P19-O19-2)),('DPI art.191'!$G$15-(('DPI art.191'!$G$15-'DPI art.191'!$H$15)/8)*(P19-O19-2))))</f>
        <v/>
      </c>
      <c r="BN19" s="24">
        <f>O19-BM19</f>
        <v/>
      </c>
      <c r="BO19" s="24">
        <f>IF(Z19&lt;135,Z19,Z19-'DPI art.191'!$I$15)</f>
        <v/>
      </c>
      <c r="BP19" s="108">
        <f>10^(0.1*R19)</f>
        <v/>
      </c>
      <c r="BQ19" s="108">
        <f>10^(0.1*X19)</f>
        <v/>
      </c>
      <c r="BR19" s="108">
        <f>10^(0.1*AB19)</f>
        <v/>
      </c>
      <c r="BS19" s="108">
        <f>10^(0.1*AF19)</f>
        <v/>
      </c>
      <c r="BT19" s="108">
        <f>10^(0.1*AJ19)</f>
        <v/>
      </c>
      <c r="BU19" s="108">
        <f>10^(0.1*AN19)</f>
        <v/>
      </c>
      <c r="BV19" s="106">
        <f>IF(R19&gt;0,(O19-R19),"")</f>
        <v/>
      </c>
      <c r="BW19" s="106">
        <f>IF(X19&gt;0,(O19-X19),"")</f>
        <v/>
      </c>
      <c r="BX19" s="106">
        <f>IF(AB19&gt;0,(O19-AB19),"")</f>
        <v/>
      </c>
      <c r="BY19" s="106">
        <f>IF(AF19&gt;0,(O19-AF19),"")</f>
        <v/>
      </c>
      <c r="BZ19" s="106">
        <f>IF(AJ19&gt;0,(O19-AJ19),"")</f>
        <v/>
      </c>
      <c r="CA19" s="106">
        <f>IF(AN19&gt;0,(O19-AN19),"")</f>
        <v/>
      </c>
      <c r="CB19" s="106">
        <f>COUNT(BV19:CA19)</f>
        <v/>
      </c>
      <c r="CC19" s="464">
        <f>IF(CB19=0,0,IF(CB19=1,0,1/(CB19*(CB19-1))))</f>
        <v/>
      </c>
      <c r="CD19" s="136">
        <f>IF(R19&gt;0,(BV19^2),"")</f>
        <v/>
      </c>
      <c r="CE19" s="136">
        <f>IF(X19&gt;0,(BW19^2),"")</f>
        <v/>
      </c>
      <c r="CF19" s="136">
        <f>IF(AB19&gt;0,(BX19^2),"")</f>
        <v/>
      </c>
      <c r="CG19" s="136">
        <f>IF(AF19&gt;0,(BY19^2),"")</f>
        <v/>
      </c>
      <c r="CH19" s="136">
        <f>IF(AJ19&gt;0,(BZ19^2),"")</f>
        <v/>
      </c>
      <c r="CI19" s="136">
        <f>IF(AN19&gt;0,(CA19^2),"")</f>
        <v/>
      </c>
    </row>
    <row r="20" ht="25.5" customHeight="1" s="444">
      <c r="A20" s="340" t="inlineStr">
        <is>
          <t>031/30</t>
        </is>
      </c>
      <c r="B20" s="65" t="inlineStr">
        <is>
          <t>W15</t>
        </is>
      </c>
      <c r="C20" s="78" t="inlineStr">
        <is>
          <t>Movimentazione con autogru in esterno</t>
        </is>
      </c>
      <c r="D20" s="83" t="inlineStr">
        <is>
          <t>/</t>
        </is>
      </c>
      <c r="E20" s="83" t="inlineStr">
        <is>
          <t>/</t>
        </is>
      </c>
      <c r="F20" s="192" t="inlineStr">
        <is>
          <t>Movimentazione con autogru in esterno</t>
        </is>
      </c>
      <c r="G20" s="71" t="n">
        <v>46003</v>
      </c>
      <c r="H20" s="77" t="inlineStr">
        <is>
          <t>Compito</t>
        </is>
      </c>
      <c r="I20" s="77">
        <f>IF((V20-R20)&gt;3,"SI","")</f>
        <v/>
      </c>
      <c r="J20" s="77" t="inlineStr">
        <is>
          <t>SI</t>
        </is>
      </c>
      <c r="K20" s="77" t="n"/>
      <c r="L20" s="77" t="n"/>
      <c r="M20" s="137">
        <f>IF(R20&gt;0,(SQRT(CC20*(SUM(CD20:CI20)))),"")</f>
        <v/>
      </c>
      <c r="N20" s="4">
        <f>IF(T20&gt;0,(MAX(T20,Z20,AD20,AH20,AL20,AP20))+SQRT(1.2^2+1^2),"")</f>
        <v/>
      </c>
      <c r="O20" s="3">
        <f>IF(R20="",0,10*LOG10(SUM(BP20:BU20)/(COUNT(R20,X20,AB20,AF20,AJ20,AN20))))</f>
        <v/>
      </c>
      <c r="P20" s="5">
        <f>IF(AND(Y20="",AC20="",AG20="",AK20="",AO20=""),S20,AVERAGE(S20,Y20,AC20,AG20,AK20,AO20)+STDEV(S20,Y20,AC20,AG20,AK20,AO20))</f>
        <v/>
      </c>
      <c r="Q20" s="14" t="n">
        <v>300</v>
      </c>
      <c r="R20" s="11" t="n">
        <v>77.8</v>
      </c>
      <c r="S20" s="12" t="n">
        <v>83.59999999999999</v>
      </c>
      <c r="T20" s="13" t="n">
        <v>108.8</v>
      </c>
      <c r="U20" s="79" t="n"/>
      <c r="V20" s="79" t="n"/>
      <c r="W20" s="10" t="n">
        <v>300</v>
      </c>
      <c r="X20" s="11" t="n">
        <v>83.2</v>
      </c>
      <c r="Y20" s="12" t="n">
        <v>87.59999999999999</v>
      </c>
      <c r="Z20" s="13" t="n">
        <v>113.7</v>
      </c>
      <c r="AA20" s="10" t="n">
        <v>300</v>
      </c>
      <c r="AB20" s="11" t="n">
        <v>87</v>
      </c>
      <c r="AC20" s="12" t="n">
        <v>90.5</v>
      </c>
      <c r="AD20" s="13" t="n">
        <v>112.6</v>
      </c>
      <c r="AE20" s="14" t="n">
        <v>300</v>
      </c>
      <c r="AF20" s="11" t="n">
        <v>82.5</v>
      </c>
      <c r="AG20" s="12" t="n">
        <v>86.7</v>
      </c>
      <c r="AH20" s="13" t="n">
        <v>112.8</v>
      </c>
      <c r="AI20" s="10" t="n">
        <v>300</v>
      </c>
      <c r="AJ20" s="11" t="n">
        <v>77.90000000000001</v>
      </c>
      <c r="AK20" s="12" t="n">
        <v>84.59999999999999</v>
      </c>
      <c r="AL20" s="13" t="n">
        <v>109.7</v>
      </c>
      <c r="AM20" s="10" t="n">
        <v>300</v>
      </c>
      <c r="AN20" s="11" t="n">
        <v>78.09999999999999</v>
      </c>
      <c r="AO20" s="12" t="n">
        <v>84.90000000000001</v>
      </c>
      <c r="AP20" s="13" t="n">
        <v>110.2</v>
      </c>
      <c r="AQ20" s="6">
        <f>IF(AND((O20)&lt;85,N20&lt;137),"NO","SI")</f>
        <v/>
      </c>
      <c r="AR20" s="7">
        <f>IF((480*(10^(7.95-(O20/10))))&lt;480,480*(10^(7.95-(O20/10))),480)</f>
        <v/>
      </c>
      <c r="AS20" s="8">
        <f>IF((480*(10^(8.45-(O20/10))))&lt;480,480*(10^(8.45-(O20/10))),480)</f>
        <v/>
      </c>
      <c r="AT20" s="9">
        <f>IF((480*(10^(8.65-(O20/10))))&lt;480,480*(10^(8.65-(O20/10))),480)</f>
        <v/>
      </c>
      <c r="AU20" s="151">
        <f>IF(O20&lt;80,"0",IF((P20-O20)&lt;=2,('DPI art.191'!$G$3-(('DPI art.191'!$F$3-'DPI art.191'!$G$3)/4)*(P20-O20-2)),('DPI art.191'!$G$3-(('DPI art.191'!$F$3-'DPI art.191'!$H$3)/8)*(P20-O20-2))))</f>
        <v/>
      </c>
      <c r="AV20" s="24">
        <f>O20-AU20</f>
        <v/>
      </c>
      <c r="AW20" s="24">
        <f>IF(N20&lt;135,N20,N20-'DPI art.191'!$I$3)</f>
        <v/>
      </c>
      <c r="AX20" s="111">
        <f>IF(O20&lt;80,"0",IF((P20-O20)&lt;=2,('DPI art.191'!$G$5-(('DPI art.191'!$F$5-'DPI art.191'!$G$5)/4)*(P20-O20-2)),('DPI art.191'!$G$5-(('DPI art.191'!$G$5-'DPI art.191'!$H$5)/8)*(P20-O20-2))))</f>
        <v/>
      </c>
      <c r="AY20" s="24">
        <f>O20-AX20</f>
        <v/>
      </c>
      <c r="AZ20" s="24">
        <f>IF(N20&lt;135,N20,N20-'DPI art.191'!$I$5)</f>
        <v/>
      </c>
      <c r="BA20" s="111">
        <f>IF(O20&lt;80,"0",IF((P20-O20)&lt;=2,('DPI art.191'!$G$7-(('DPI art.191'!$F$7-'DPI art.191'!$G$7)/4)*(P20-O20-2)),('DPI art.191'!$G$7-(('DPI art.191'!$G$7-'DPI art.191'!$H$7)/8)*(P20-O20-2))))</f>
        <v/>
      </c>
      <c r="BB20" s="24">
        <f>O20-BA20</f>
        <v/>
      </c>
      <c r="BC20" s="24">
        <f>IF(N20&lt;135,N20,N20-'DPI art.191'!$I$7)</f>
        <v/>
      </c>
      <c r="BD20" s="111">
        <f>IF(O20&lt;80,"0",IF((P20-O20)&lt;=2,('DPI art.191'!$G$9-(('DPI art.191'!$F$9-'DPI art.191'!$G$9)/4)*(O20-P20-2)),('DPI art.191'!$G$9-(('DPI art.191'!$G$9-'DPI art.191'!$H$9)/8)*(P20-O20-2))))</f>
        <v/>
      </c>
      <c r="BE20" s="24">
        <f>O20-BD20</f>
        <v/>
      </c>
      <c r="BF20" s="24">
        <f>IF(N20&lt;135,N20,N20-'DPI art.191'!$I$9)</f>
        <v/>
      </c>
      <c r="BG20" s="111">
        <f>IF(O20&lt;80,"0",IF((P20-O20)&lt;=2,('DPI art.191'!$G$11-(('DPI art.191'!$F$11-'DPI art.191'!$G$11)/4)*(P20-O20-2)),('DPI art.191'!$G$11-(('DPI art.191'!$G$11-'DPI art.191'!$H$11)/8)*(P20-O20-2))))</f>
        <v/>
      </c>
      <c r="BH20" s="24">
        <f>O20-BG20</f>
        <v/>
      </c>
      <c r="BI20" s="24">
        <f>IF(T20&lt;135,T20,T20-'DPI art.191'!$I$11)</f>
        <v/>
      </c>
      <c r="BJ20" s="111">
        <f>IF(O20&lt;80,"0",IF((P20-O20)&lt;=2,('DPI art.191'!$G$13-(('DPI art.191'!$F$13-'DPI art.191'!$G$13)/4)*(P20-O20-2)),('DPI art.191'!$G$13-(('DPI art.191'!$G$13-'DPI art.191'!$H$13)/8)*(P20-O20-2))))</f>
        <v/>
      </c>
      <c r="BK20" s="24">
        <f>O20-BJ20</f>
        <v/>
      </c>
      <c r="BL20" s="24">
        <f>IF(T20&lt;135,T20,T20-'DPI art.191'!$I$13)</f>
        <v/>
      </c>
      <c r="BM20" s="111">
        <f>IF(O20&lt;80,"0",IF((P20-O20)&lt;=2,('DPI art.191'!$G$15-(('DPI art.191'!$F$15-'DPI art.191'!$G$15)/4)*(P20-O20-2)),('DPI art.191'!$G$15-(('DPI art.191'!$G$15-'DPI art.191'!$H$15)/8)*(P20-O20-2))))</f>
        <v/>
      </c>
      <c r="BN20" s="24">
        <f>O20-BM20</f>
        <v/>
      </c>
      <c r="BO20" s="24">
        <f>IF(Z20&lt;135,Z20,Z20-'DPI art.191'!$I$15)</f>
        <v/>
      </c>
      <c r="BP20" s="108">
        <f>10^(0.1*R20)</f>
        <v/>
      </c>
      <c r="BQ20" s="108">
        <f>10^(0.1*X20)</f>
        <v/>
      </c>
      <c r="BR20" s="108">
        <f>10^(0.1*AB20)</f>
        <v/>
      </c>
      <c r="BS20" s="108">
        <f>10^(0.1*AF20)</f>
        <v/>
      </c>
      <c r="BT20" s="108">
        <f>10^(0.1*AJ20)</f>
        <v/>
      </c>
      <c r="BU20" s="108">
        <f>10^(0.1*AN20)</f>
        <v/>
      </c>
      <c r="BV20" s="106">
        <f>IF(R20&gt;0,(O20-R20),"")</f>
        <v/>
      </c>
      <c r="BW20" s="106">
        <f>IF(X20&gt;0,(O20-X20),"")</f>
        <v/>
      </c>
      <c r="BX20" s="106">
        <f>IF(AB20&gt;0,(O20-AB20),"")</f>
        <v/>
      </c>
      <c r="BY20" s="106">
        <f>IF(AF20&gt;0,(O20-AF20),"")</f>
        <v/>
      </c>
      <c r="BZ20" s="106">
        <f>IF(AJ20&gt;0,(O20-AJ20),"")</f>
        <v/>
      </c>
      <c r="CA20" s="106">
        <f>IF(AN20&gt;0,(O20-AN20),"")</f>
        <v/>
      </c>
      <c r="CB20" s="106">
        <f>COUNT(BV20:CA20)</f>
        <v/>
      </c>
      <c r="CC20" s="464">
        <f>IF(CB20=0,0,IF(CB20=1,0,1/(CB20*(CB20-1))))</f>
        <v/>
      </c>
      <c r="CD20" s="136">
        <f>IF(R20&gt;0,(BV20^2),"")</f>
        <v/>
      </c>
      <c r="CE20" s="136">
        <f>IF(X20&gt;0,(BW20^2),"")</f>
        <v/>
      </c>
      <c r="CF20" s="136">
        <f>IF(AB20&gt;0,(BX20^2),"")</f>
        <v/>
      </c>
      <c r="CG20" s="136">
        <f>IF(AF20&gt;0,(BY20^2),"")</f>
        <v/>
      </c>
      <c r="CH20" s="136">
        <f>IF(AJ20&gt;0,(BZ20^2),"")</f>
        <v/>
      </c>
      <c r="CI20" s="136">
        <f>IF(AN20&gt;0,(CA20^2),"")</f>
        <v/>
      </c>
    </row>
    <row r="21" ht="25.5" customHeight="1" s="444">
      <c r="A21" s="340" t="inlineStr">
        <is>
          <t>458/29</t>
        </is>
      </c>
      <c r="B21" s="65" t="inlineStr">
        <is>
          <t>W16</t>
        </is>
      </c>
      <c r="C21" s="78" t="inlineStr">
        <is>
          <t>Movimentazione con carrello elevatore</t>
        </is>
      </c>
      <c r="D21" s="83" t="inlineStr">
        <is>
          <t>/</t>
        </is>
      </c>
      <c r="E21" s="83" t="inlineStr">
        <is>
          <t>/</t>
        </is>
      </c>
      <c r="F21" s="192" t="inlineStr">
        <is>
          <t>Movimentazione con carrello elevatore</t>
        </is>
      </c>
      <c r="G21" s="71" t="n">
        <v>46003</v>
      </c>
      <c r="H21" s="77" t="inlineStr">
        <is>
          <t>Compito</t>
        </is>
      </c>
      <c r="I21" s="77">
        <f>IF((V21-R21)&gt;3,"SI","")</f>
        <v/>
      </c>
      <c r="J21" s="77" t="inlineStr">
        <is>
          <t>SI</t>
        </is>
      </c>
      <c r="K21" s="77" t="n"/>
      <c r="L21" s="77" t="n"/>
      <c r="M21" s="137">
        <f>IF(R21&gt;0,(SQRT(CC21*(SUM(CD21:CI21)))),"")</f>
        <v/>
      </c>
      <c r="N21" s="4">
        <f>IF(T21&gt;0,(MAX(T21,Z21,AD21,AH21,AL21,AP21))+SQRT(1.2^2+1^2),"")</f>
        <v/>
      </c>
      <c r="O21" s="3">
        <f>IF(R21="",0,10*LOG10(SUM(BP21:BU21)/(COUNT(R21,X21,AB21,AF21,AJ21,AN21))))</f>
        <v/>
      </c>
      <c r="P21" s="5">
        <f>IF(AND(Y21="",AC21="",AG21="",AK21="",AO21=""),S21,AVERAGE(S21,Y21,AC21,AG21,AK21,AO21)+STDEV(S21,Y21,AC21,AG21,AK21,AO21))</f>
        <v/>
      </c>
      <c r="Q21" s="14" t="n">
        <v>300</v>
      </c>
      <c r="R21" s="11" t="n">
        <v>78.8</v>
      </c>
      <c r="S21" s="12" t="n">
        <v>96.40000000000001</v>
      </c>
      <c r="T21" s="13" t="n">
        <v>133.6</v>
      </c>
      <c r="U21" s="79" t="n"/>
      <c r="V21" s="79" t="n"/>
      <c r="W21" s="10" t="n">
        <v>300</v>
      </c>
      <c r="X21" s="11" t="n">
        <v>79.59999999999999</v>
      </c>
      <c r="Y21" s="12" t="n">
        <v>86.7</v>
      </c>
      <c r="Z21" s="13" t="n">
        <v>111.3</v>
      </c>
      <c r="AA21" s="10" t="n">
        <v>300</v>
      </c>
      <c r="AB21" s="11" t="n">
        <v>71.7</v>
      </c>
      <c r="AC21" s="12" t="n">
        <v>80.7</v>
      </c>
      <c r="AD21" s="13" t="n">
        <v>109.5</v>
      </c>
      <c r="AE21" s="14" t="n">
        <v>300</v>
      </c>
      <c r="AF21" s="11" t="n">
        <v>64.2</v>
      </c>
      <c r="AG21" s="12" t="n">
        <v>80</v>
      </c>
      <c r="AH21" s="13" t="n">
        <v>96.2</v>
      </c>
      <c r="AI21" s="10" t="n">
        <v>300</v>
      </c>
      <c r="AJ21" s="11" t="n">
        <v>65.5</v>
      </c>
      <c r="AK21" s="12" t="n">
        <v>81.90000000000001</v>
      </c>
      <c r="AL21" s="13" t="n">
        <v>103.3</v>
      </c>
      <c r="AM21" s="10" t="n">
        <v>300</v>
      </c>
      <c r="AN21" s="11" t="n">
        <v>72</v>
      </c>
      <c r="AO21" s="12" t="n">
        <v>82.8</v>
      </c>
      <c r="AP21" s="13" t="n">
        <v>111.6</v>
      </c>
      <c r="AQ21" s="6">
        <f>IF(AND((O21)&lt;85,N21&lt;137),"NO","SI")</f>
        <v/>
      </c>
      <c r="AR21" s="7">
        <f>IF((480*(10^(7.95-(O21/10))))&lt;480,480*(10^(7.95-(O21/10))),480)</f>
        <v/>
      </c>
      <c r="AS21" s="8">
        <f>IF((480*(10^(8.45-(O21/10))))&lt;480,480*(10^(8.45-(O21/10))),480)</f>
        <v/>
      </c>
      <c r="AT21" s="9">
        <f>IF((480*(10^(8.65-(O21/10))))&lt;480,480*(10^(8.65-(O21/10))),480)</f>
        <v/>
      </c>
      <c r="AU21" s="151">
        <f>IF(O21&lt;80,"0",IF((P21-O21)&lt;=2,('DPI art.191'!$G$3-(('DPI art.191'!$F$3-'DPI art.191'!$G$3)/4)*(P21-O21-2)),('DPI art.191'!$G$3-(('DPI art.191'!$F$3-'DPI art.191'!$H$3)/8)*(P21-O21-2))))</f>
        <v/>
      </c>
      <c r="AV21" s="24">
        <f>O21-AU21</f>
        <v/>
      </c>
      <c r="AW21" s="24">
        <f>IF(N21&lt;135,N21,N21-'DPI art.191'!$I$3)</f>
        <v/>
      </c>
      <c r="AX21" s="111">
        <f>IF(O21&lt;80,"0",IF((P21-O21)&lt;=2,('DPI art.191'!$G$5-(('DPI art.191'!$F$5-'DPI art.191'!$G$5)/4)*(P21-O21-2)),('DPI art.191'!$G$5-(('DPI art.191'!$G$5-'DPI art.191'!$H$5)/8)*(P21-O21-2))))</f>
        <v/>
      </c>
      <c r="AY21" s="24">
        <f>O21-AX21</f>
        <v/>
      </c>
      <c r="AZ21" s="24">
        <f>IF(N21&lt;135,N21,N21-'DPI art.191'!$I$5)</f>
        <v/>
      </c>
      <c r="BA21" s="111">
        <f>IF(O21&lt;80,"0",IF((P21-O21)&lt;=2,('DPI art.191'!$G$7-(('DPI art.191'!$F$7-'DPI art.191'!$G$7)/4)*(P21-O21-2)),('DPI art.191'!$G$7-(('DPI art.191'!$G$7-'DPI art.191'!$H$7)/8)*(P21-O21-2))))</f>
        <v/>
      </c>
      <c r="BB21" s="24">
        <f>O21-BA21</f>
        <v/>
      </c>
      <c r="BC21" s="24">
        <f>IF(N21&lt;135,N21,N21-'DPI art.191'!$I$7)</f>
        <v/>
      </c>
      <c r="BD21" s="111">
        <f>IF(O21&lt;80,"0",IF((P21-O21)&lt;=2,('DPI art.191'!$G$9-(('DPI art.191'!$F$9-'DPI art.191'!$G$9)/4)*(O21-P21-2)),('DPI art.191'!$G$9-(('DPI art.191'!$G$9-'DPI art.191'!$H$9)/8)*(P21-O21-2))))</f>
        <v/>
      </c>
      <c r="BE21" s="24">
        <f>O21-BD21</f>
        <v/>
      </c>
      <c r="BF21" s="24">
        <f>IF(N21&lt;135,N21,N21-'DPI art.191'!$I$9)</f>
        <v/>
      </c>
      <c r="BG21" s="111">
        <f>IF(O21&lt;80,"0",IF((P21-O21)&lt;=2,('DPI art.191'!$G$11-(('DPI art.191'!$F$11-'DPI art.191'!$G$11)/4)*(P21-O21-2)),('DPI art.191'!$G$11-(('DPI art.191'!$G$11-'DPI art.191'!$H$11)/8)*(P21-O21-2))))</f>
        <v/>
      </c>
      <c r="BH21" s="24">
        <f>O21-BG21</f>
        <v/>
      </c>
      <c r="BI21" s="24">
        <f>IF(T21&lt;135,T21,T21-'DPI art.191'!$I$11)</f>
        <v/>
      </c>
      <c r="BJ21" s="111">
        <f>IF(O21&lt;80,"0",IF((P21-O21)&lt;=2,('DPI art.191'!$G$13-(('DPI art.191'!$F$13-'DPI art.191'!$G$13)/4)*(P21-O21-2)),('DPI art.191'!$G$13-(('DPI art.191'!$G$13-'DPI art.191'!$H$13)/8)*(P21-O21-2))))</f>
        <v/>
      </c>
      <c r="BK21" s="24">
        <f>O21-BJ21</f>
        <v/>
      </c>
      <c r="BL21" s="24">
        <f>IF(T21&lt;135,T21,T21-'DPI art.191'!$I$13)</f>
        <v/>
      </c>
      <c r="BM21" s="111">
        <f>IF(O21&lt;80,"0",IF((P21-O21)&lt;=2,('DPI art.191'!$G$15-(('DPI art.191'!$F$15-'DPI art.191'!$G$15)/4)*(P21-O21-2)),('DPI art.191'!$G$15-(('DPI art.191'!$G$15-'DPI art.191'!$H$15)/8)*(P21-O21-2))))</f>
        <v/>
      </c>
      <c r="BN21" s="24">
        <f>O21-BM21</f>
        <v/>
      </c>
      <c r="BO21" s="24">
        <f>IF(Z21&lt;135,Z21,Z21-'DPI art.191'!$I$15)</f>
        <v/>
      </c>
      <c r="BP21" s="108">
        <f>10^(0.1*R21)</f>
        <v/>
      </c>
      <c r="BQ21" s="108">
        <f>10^(0.1*X21)</f>
        <v/>
      </c>
      <c r="BR21" s="108">
        <f>10^(0.1*AB21)</f>
        <v/>
      </c>
      <c r="BS21" s="108">
        <f>10^(0.1*AF21)</f>
        <v/>
      </c>
      <c r="BT21" s="108">
        <f>10^(0.1*AJ21)</f>
        <v/>
      </c>
      <c r="BU21" s="108">
        <f>10^(0.1*AN21)</f>
        <v/>
      </c>
      <c r="BV21" s="106">
        <f>IF(R21&gt;0,(O21-R21),"")</f>
        <v/>
      </c>
      <c r="BW21" s="106">
        <f>IF(X21&gt;0,(O21-X21),"")</f>
        <v/>
      </c>
      <c r="BX21" s="106">
        <f>IF(AB21&gt;0,(O21-AB21),"")</f>
        <v/>
      </c>
      <c r="BY21" s="106">
        <f>IF(AF21&gt;0,(O21-AF21),"")</f>
        <v/>
      </c>
      <c r="BZ21" s="106">
        <f>IF(AJ21&gt;0,(O21-AJ21),"")</f>
        <v/>
      </c>
      <c r="CA21" s="106">
        <f>IF(AN21&gt;0,(O21-AN21),"")</f>
        <v/>
      </c>
      <c r="CB21" s="106">
        <f>COUNT(BV21:CA21)</f>
        <v/>
      </c>
      <c r="CC21" s="464">
        <f>IF(CB21=0,0,IF(CB21=1,0,1/(CB21*(CB21-1))))</f>
        <v/>
      </c>
      <c r="CD21" s="136">
        <f>IF(R21&gt;0,(BV21^2),"")</f>
        <v/>
      </c>
      <c r="CE21" s="136">
        <f>IF(X21&gt;0,(BW21^2),"")</f>
        <v/>
      </c>
      <c r="CF21" s="136">
        <f>IF(AB21&gt;0,(BX21^2),"")</f>
        <v/>
      </c>
      <c r="CG21" s="136">
        <f>IF(AF21&gt;0,(BY21^2),"")</f>
        <v/>
      </c>
      <c r="CH21" s="136">
        <f>IF(AJ21&gt;0,(BZ21^2),"")</f>
        <v/>
      </c>
      <c r="CI21" s="136">
        <f>IF(AN21&gt;0,(CA21^2),"")</f>
        <v/>
      </c>
    </row>
    <row r="22" ht="18.75" customHeight="1" s="444">
      <c r="A22" s="340" t="inlineStr">
        <is>
          <t>024/B/PRS738</t>
        </is>
      </c>
      <c r="B22" s="65" t="inlineStr">
        <is>
          <t>W17</t>
        </is>
      </c>
      <c r="C22" s="78" t="inlineStr">
        <is>
          <t>Montaggio con saldatura</t>
        </is>
      </c>
      <c r="D22" s="83" t="inlineStr">
        <is>
          <t>/</t>
        </is>
      </c>
      <c r="E22" s="83" t="inlineStr">
        <is>
          <t>/</t>
        </is>
      </c>
      <c r="F22" s="192" t="inlineStr">
        <is>
          <t>Saldatura</t>
        </is>
      </c>
      <c r="G22" s="71" t="n">
        <v>46003</v>
      </c>
      <c r="H22" s="77" t="inlineStr">
        <is>
          <t>Compito</t>
        </is>
      </c>
      <c r="I22" s="77">
        <f>IF((V22-R22)&gt;3,"SI","")</f>
        <v/>
      </c>
      <c r="J22" s="77" t="inlineStr">
        <is>
          <t>SI</t>
        </is>
      </c>
      <c r="K22" s="77" t="n"/>
      <c r="L22" s="77" t="n"/>
      <c r="M22" s="137">
        <f>IF(R22&gt;0,(SQRT(CC22*(SUM(CD22:CI22)))),"")</f>
        <v/>
      </c>
      <c r="N22" s="4">
        <f>IF(T22&gt;0,(MAX(T22,Z22,AD22,AH22,AL22,AP22))+SQRT(1.2^2+1^2),"")</f>
        <v/>
      </c>
      <c r="O22" s="3">
        <f>IF(R22="",0,10*LOG10(SUM(BP22:BU22)/(COUNT(R22,X22,AB22,AF22,AJ22,AN22))))</f>
        <v/>
      </c>
      <c r="P22" s="5">
        <f>IF(AND(Y22="",AC22="",AG22="",AK22="",AO22=""),S22,AVERAGE(S22,Y22,AC22,AG22,AK22,AO22)+STDEV(S22,Y22,AC22,AG22,AK22,AO22))</f>
        <v/>
      </c>
      <c r="Q22" s="14" t="n">
        <v>300</v>
      </c>
      <c r="R22" s="11" t="n">
        <v>84.90000000000001</v>
      </c>
      <c r="S22" s="12" t="n">
        <v>84.59999999999999</v>
      </c>
      <c r="T22" s="13" t="n">
        <v>124.3</v>
      </c>
      <c r="U22" s="79" t="n"/>
      <c r="V22" s="79" t="n"/>
      <c r="W22" s="10" t="n">
        <v>300</v>
      </c>
      <c r="X22" s="11" t="n">
        <v>81.8</v>
      </c>
      <c r="Y22" s="12" t="n">
        <v>82.40000000000001</v>
      </c>
      <c r="Z22" s="13" t="n">
        <v>123.2</v>
      </c>
      <c r="AA22" s="10" t="n">
        <v>300</v>
      </c>
      <c r="AB22" s="11" t="n">
        <v>86</v>
      </c>
      <c r="AC22" s="12" t="n">
        <v>87.09999999999999</v>
      </c>
      <c r="AD22" s="13" t="n">
        <v>120.9</v>
      </c>
      <c r="AE22" s="14" t="n">
        <v>300</v>
      </c>
      <c r="AF22" s="11" t="n">
        <v>84.59999999999999</v>
      </c>
      <c r="AG22" s="12" t="n">
        <v>85.09999999999999</v>
      </c>
      <c r="AH22" s="13" t="n">
        <v>118.3</v>
      </c>
      <c r="AI22" s="10" t="n">
        <v>300</v>
      </c>
      <c r="AJ22" s="11" t="n">
        <v>85.7</v>
      </c>
      <c r="AK22" s="12" t="n">
        <v>86.2</v>
      </c>
      <c r="AL22" s="13" t="n">
        <v>114.5</v>
      </c>
      <c r="AM22" s="10" t="n">
        <v>300</v>
      </c>
      <c r="AN22" s="11" t="n">
        <v>83.5</v>
      </c>
      <c r="AO22" s="12" t="n">
        <v>83.40000000000001</v>
      </c>
      <c r="AP22" s="13" t="n">
        <v>122.5</v>
      </c>
      <c r="AQ22" s="6">
        <f>IF(AND((O22)&lt;85,N22&lt;137),"NO","SI")</f>
        <v/>
      </c>
      <c r="AR22" s="7">
        <f>IF((480*(10^(7.95-(O22/10))))&lt;480,480*(10^(7.95-(O22/10))),480)</f>
        <v/>
      </c>
      <c r="AS22" s="8">
        <f>IF((480*(10^(8.45-(O22/10))))&lt;480,480*(10^(8.45-(O22/10))),480)</f>
        <v/>
      </c>
      <c r="AT22" s="9">
        <f>IF((480*(10^(8.65-(O22/10))))&lt;480,480*(10^(8.65-(O22/10))),480)</f>
        <v/>
      </c>
      <c r="AU22" s="151">
        <f>IF(O22&lt;80,"0",IF((P22-O22)&lt;=2,('DPI art.191'!$G$3-(('DPI art.191'!$F$3-'DPI art.191'!$G$3)/4)*(P22-O22-2)),('DPI art.191'!$G$3-(('DPI art.191'!$F$3-'DPI art.191'!$H$3)/8)*(P22-O22-2))))</f>
        <v/>
      </c>
      <c r="AV22" s="24">
        <f>O22-AU22</f>
        <v/>
      </c>
      <c r="AW22" s="24">
        <f>IF(N22&lt;135,N22,N22-'DPI art.191'!$I$3)</f>
        <v/>
      </c>
      <c r="AX22" s="111">
        <f>IF(O22&lt;80,"0",IF((P22-O22)&lt;=2,('DPI art.191'!$G$5-(('DPI art.191'!$F$5-'DPI art.191'!$G$5)/4)*(P22-O22-2)),('DPI art.191'!$G$5-(('DPI art.191'!$G$5-'DPI art.191'!$H$5)/8)*(P22-O22-2))))</f>
        <v/>
      </c>
      <c r="AY22" s="24">
        <f>O22-AX22</f>
        <v/>
      </c>
      <c r="AZ22" s="24">
        <f>IF(N22&lt;135,N22,N22-'DPI art.191'!$I$5)</f>
        <v/>
      </c>
      <c r="BA22" s="111">
        <f>IF(O22&lt;80,"0",IF((P22-O22)&lt;=2,('DPI art.191'!$G$7-(('DPI art.191'!$F$7-'DPI art.191'!$G$7)/4)*(P22-O22-2)),('DPI art.191'!$G$7-(('DPI art.191'!$G$7-'DPI art.191'!$H$7)/8)*(P22-O22-2))))</f>
        <v/>
      </c>
      <c r="BB22" s="24">
        <f>O22-BA22</f>
        <v/>
      </c>
      <c r="BC22" s="24">
        <f>IF(N22&lt;135,N22,N22-'DPI art.191'!$I$7)</f>
        <v/>
      </c>
      <c r="BD22" s="111">
        <f>IF(O22&lt;80,"0",IF((P22-O22)&lt;=2,('DPI art.191'!$G$9-(('DPI art.191'!$F$9-'DPI art.191'!$G$9)/4)*(O22-P22-2)),('DPI art.191'!$G$9-(('DPI art.191'!$G$9-'DPI art.191'!$H$9)/8)*(P22-O22-2))))</f>
        <v/>
      </c>
      <c r="BE22" s="24">
        <f>O22-BD22</f>
        <v/>
      </c>
      <c r="BF22" s="24">
        <f>IF(N22&lt;135,N22,N22-'DPI art.191'!$I$9)</f>
        <v/>
      </c>
      <c r="BG22" s="111">
        <f>IF(O22&lt;80,"0",IF((P22-O22)&lt;=2,('DPI art.191'!$G$11-(('DPI art.191'!$F$11-'DPI art.191'!$G$11)/4)*(P22-O22-2)),('DPI art.191'!$G$11-(('DPI art.191'!$G$11-'DPI art.191'!$H$11)/8)*(P22-O22-2))))</f>
        <v/>
      </c>
      <c r="BH22" s="24">
        <f>O22-BG22</f>
        <v/>
      </c>
      <c r="BI22" s="24">
        <f>IF(T22&lt;135,T22,T22-'DPI art.191'!$I$11)</f>
        <v/>
      </c>
      <c r="BJ22" s="111">
        <f>IF(O22&lt;80,"0",IF((P22-O22)&lt;=2,('DPI art.191'!$G$13-(('DPI art.191'!$F$13-'DPI art.191'!$G$13)/4)*(P22-O22-2)),('DPI art.191'!$G$13-(('DPI art.191'!$G$13-'DPI art.191'!$H$13)/8)*(P22-O22-2))))</f>
        <v/>
      </c>
      <c r="BK22" s="24">
        <f>O22-BJ22</f>
        <v/>
      </c>
      <c r="BL22" s="24">
        <f>IF(T22&lt;135,T22,T22-'DPI art.191'!$I$13)</f>
        <v/>
      </c>
      <c r="BM22" s="111">
        <f>IF(O22&lt;80,"0",IF((P22-O22)&lt;=2,('DPI art.191'!$G$15-(('DPI art.191'!$F$15-'DPI art.191'!$G$15)/4)*(P22-O22-2)),('DPI art.191'!$G$15-(('DPI art.191'!$G$15-'DPI art.191'!$H$15)/8)*(P22-O22-2))))</f>
        <v/>
      </c>
      <c r="BN22" s="24">
        <f>O22-BM22</f>
        <v/>
      </c>
      <c r="BO22" s="24">
        <f>IF(Z22&lt;135,Z22,Z22-'DPI art.191'!$I$15)</f>
        <v/>
      </c>
      <c r="BP22" s="108">
        <f>10^(0.1*R22)</f>
        <v/>
      </c>
      <c r="BQ22" s="108">
        <f>10^(0.1*X22)</f>
        <v/>
      </c>
      <c r="BR22" s="108">
        <f>10^(0.1*AB22)</f>
        <v/>
      </c>
      <c r="BS22" s="108">
        <f>10^(0.1*AF22)</f>
        <v/>
      </c>
      <c r="BT22" s="108">
        <f>10^(0.1*AJ22)</f>
        <v/>
      </c>
      <c r="BU22" s="108">
        <f>10^(0.1*AN22)</f>
        <v/>
      </c>
      <c r="BV22" s="106">
        <f>IF(R22&gt;0,(O22-R22),"")</f>
        <v/>
      </c>
      <c r="BW22" s="106">
        <f>IF(X22&gt;0,(O22-X22),"")</f>
        <v/>
      </c>
      <c r="BX22" s="106">
        <f>IF(AB22&gt;0,(O22-AB22),"")</f>
        <v/>
      </c>
      <c r="BY22" s="106">
        <f>IF(AF22&gt;0,(O22-AF22),"")</f>
        <v/>
      </c>
      <c r="BZ22" s="106">
        <f>IF(AJ22&gt;0,(O22-AJ22),"")</f>
        <v/>
      </c>
      <c r="CA22" s="106">
        <f>IF(AN22&gt;0,(O22-AN22),"")</f>
        <v/>
      </c>
      <c r="CB22" s="106">
        <f>COUNT(BV22:CA22)</f>
        <v/>
      </c>
      <c r="CC22" s="464">
        <f>IF(CB22=0,0,IF(CB22=1,0,1/(CB22*(CB22-1))))</f>
        <v/>
      </c>
      <c r="CD22" s="136">
        <f>IF(R22&gt;0,(BV22^2),"")</f>
        <v/>
      </c>
      <c r="CE22" s="136">
        <f>IF(X22&gt;0,(BW22^2),"")</f>
        <v/>
      </c>
      <c r="CF22" s="136">
        <f>IF(AB22&gt;0,(BX22^2),"")</f>
        <v/>
      </c>
      <c r="CG22" s="136">
        <f>IF(AF22&gt;0,(BY22^2),"")</f>
        <v/>
      </c>
      <c r="CH22" s="136">
        <f>IF(AJ22&gt;0,(BZ22^2),"")</f>
        <v/>
      </c>
      <c r="CI22" s="136">
        <f>IF(AN22&gt;0,(CA22^2),"")</f>
        <v/>
      </c>
    </row>
    <row r="23" ht="18.75" customHeight="1" s="444">
      <c r="A23" s="340" t="inlineStr">
        <is>
          <t>024/B/PRS701</t>
        </is>
      </c>
      <c r="B23" s="65" t="inlineStr">
        <is>
          <t>W18</t>
        </is>
      </c>
      <c r="C23" s="78" t="inlineStr">
        <is>
          <t>Saldatura</t>
        </is>
      </c>
      <c r="D23" s="83" t="inlineStr">
        <is>
          <t>/</t>
        </is>
      </c>
      <c r="E23" s="83" t="inlineStr">
        <is>
          <t>/</t>
        </is>
      </c>
      <c r="F23" s="192" t="inlineStr">
        <is>
          <t>Saldatura</t>
        </is>
      </c>
      <c r="G23" s="71" t="n">
        <v>46003</v>
      </c>
      <c r="H23" s="77" t="inlineStr">
        <is>
          <t>Compito</t>
        </is>
      </c>
      <c r="I23" s="77">
        <f>IF((V23-R23)&gt;3,"SI","")</f>
        <v/>
      </c>
      <c r="J23" s="77" t="inlineStr">
        <is>
          <t>SI</t>
        </is>
      </c>
      <c r="K23" s="77" t="n"/>
      <c r="L23" s="77" t="n"/>
      <c r="M23" s="137">
        <f>IF(R23&gt;0,(SQRT(CC23*(SUM(CD23:CI23)))),"")</f>
        <v/>
      </c>
      <c r="N23" s="4">
        <f>IF(T23&gt;0,(MAX(T23,Z23,AD23,AH23,AL23,AP23))+SQRT(1.2^2+1^2),"")</f>
        <v/>
      </c>
      <c r="O23" s="3">
        <f>IF(R23="",0,10*LOG10(SUM(BP23:BU23)/(COUNT(R23,X23,AB23,AF23,AJ23,AN23))))</f>
        <v/>
      </c>
      <c r="P23" s="5">
        <f>IF(AND(Y23="",AC23="",AG23="",AK23="",AO23=""),S23,AVERAGE(S23,Y23,AC23,AG23,AK23,AO23)+STDEV(S23,Y23,AC23,AG23,AK23,AO23))</f>
        <v/>
      </c>
      <c r="Q23" s="14" t="n">
        <v>300</v>
      </c>
      <c r="R23" s="11" t="n">
        <v>83</v>
      </c>
      <c r="S23" s="12" t="n">
        <v>82.8</v>
      </c>
      <c r="T23" s="13" t="n">
        <v>123.4</v>
      </c>
      <c r="U23" s="79" t="n"/>
      <c r="V23" s="79" t="n"/>
      <c r="W23" s="10" t="n">
        <v>300</v>
      </c>
      <c r="X23" s="11" t="n">
        <v>85.8</v>
      </c>
      <c r="Y23" s="12" t="n">
        <v>87.90000000000001</v>
      </c>
      <c r="Z23" s="13" t="n">
        <v>119</v>
      </c>
      <c r="AA23" s="10" t="n">
        <v>300</v>
      </c>
      <c r="AB23" s="11" t="n">
        <v>80.7</v>
      </c>
      <c r="AC23" s="12" t="n">
        <v>82.90000000000001</v>
      </c>
      <c r="AD23" s="13" t="n">
        <v>117.1</v>
      </c>
      <c r="AE23" s="14" t="n">
        <v>300</v>
      </c>
      <c r="AF23" s="11" t="n">
        <v>83.8</v>
      </c>
      <c r="AG23" s="12" t="n">
        <v>86</v>
      </c>
      <c r="AH23" s="13" t="n">
        <v>129.4</v>
      </c>
      <c r="AI23" s="10" t="n">
        <v>300</v>
      </c>
      <c r="AJ23" s="11" t="n">
        <v>96.5</v>
      </c>
      <c r="AK23" s="12" t="n">
        <v>95.8</v>
      </c>
      <c r="AL23" s="13" t="n">
        <v>133.8</v>
      </c>
      <c r="AM23" s="10" t="n">
        <v>300</v>
      </c>
      <c r="AN23" s="11" t="n">
        <v>82.59999999999999</v>
      </c>
      <c r="AO23" s="12" t="n">
        <v>84.3</v>
      </c>
      <c r="AP23" s="13" t="n">
        <v>114.9</v>
      </c>
      <c r="AQ23" s="6">
        <f>IF(AND((O23)&lt;85,N23&lt;137),"NO","SI")</f>
        <v/>
      </c>
      <c r="AR23" s="7">
        <f>IF((480*(10^(7.95-(O23/10))))&lt;480,480*(10^(7.95-(O23/10))),480)</f>
        <v/>
      </c>
      <c r="AS23" s="8">
        <f>IF((480*(10^(8.45-(O23/10))))&lt;480,480*(10^(8.45-(O23/10))),480)</f>
        <v/>
      </c>
      <c r="AT23" s="9">
        <f>IF((480*(10^(8.65-(O23/10))))&lt;480,480*(10^(8.65-(O23/10))),480)</f>
        <v/>
      </c>
      <c r="AU23" s="151">
        <f>IF(O23&lt;80,"0",IF((P23-O23)&lt;=2,('DPI art.191'!$G$3-(('DPI art.191'!$F$3-'DPI art.191'!$G$3)/4)*(P23-O23-2)),('DPI art.191'!$G$3-(('DPI art.191'!$F$3-'DPI art.191'!$H$3)/8)*(P23-O23-2))))</f>
        <v/>
      </c>
      <c r="AV23" s="24">
        <f>O23-AU23</f>
        <v/>
      </c>
      <c r="AW23" s="24">
        <f>IF(N23&lt;135,N23,N23-'DPI art.191'!$I$3)</f>
        <v/>
      </c>
      <c r="AX23" s="111">
        <f>IF(O23&lt;80,"0",IF((P23-O23)&lt;=2,('DPI art.191'!$G$5-(('DPI art.191'!$F$5-'DPI art.191'!$G$5)/4)*(P23-O23-2)),('DPI art.191'!$G$5-(('DPI art.191'!$G$5-'DPI art.191'!$H$5)/8)*(P23-O23-2))))</f>
        <v/>
      </c>
      <c r="AY23" s="24">
        <f>O23-AX23</f>
        <v/>
      </c>
      <c r="AZ23" s="24">
        <f>IF(N23&lt;135,N23,N23-'DPI art.191'!$I$5)</f>
        <v/>
      </c>
      <c r="BA23" s="111">
        <f>IF(O23&lt;80,"0",IF((P23-O23)&lt;=2,('DPI art.191'!$G$7-(('DPI art.191'!$F$7-'DPI art.191'!$G$7)/4)*(P23-O23-2)),('DPI art.191'!$G$7-(('DPI art.191'!$G$7-'DPI art.191'!$H$7)/8)*(P23-O23-2))))</f>
        <v/>
      </c>
      <c r="BB23" s="24">
        <f>O23-BA23</f>
        <v/>
      </c>
      <c r="BC23" s="24">
        <f>IF(N23&lt;135,N23,N23-'DPI art.191'!$I$7)</f>
        <v/>
      </c>
      <c r="BD23" s="111">
        <f>IF(O23&lt;80,"0",IF((P23-O23)&lt;=2,('DPI art.191'!$G$9-(('DPI art.191'!$F$9-'DPI art.191'!$G$9)/4)*(O23-P23-2)),('DPI art.191'!$G$9-(('DPI art.191'!$G$9-'DPI art.191'!$H$9)/8)*(P23-O23-2))))</f>
        <v/>
      </c>
      <c r="BE23" s="24">
        <f>O23-BD23</f>
        <v/>
      </c>
      <c r="BF23" s="24">
        <f>IF(N23&lt;135,N23,N23-'DPI art.191'!$I$9)</f>
        <v/>
      </c>
      <c r="BG23" s="111">
        <f>IF(O23&lt;80,"0",IF((P23-O23)&lt;=2,('DPI art.191'!$G$11-(('DPI art.191'!$F$11-'DPI art.191'!$G$11)/4)*(P23-O23-2)),('DPI art.191'!$G$11-(('DPI art.191'!$G$11-'DPI art.191'!$H$11)/8)*(P23-O23-2))))</f>
        <v/>
      </c>
      <c r="BH23" s="24">
        <f>O23-BG23</f>
        <v/>
      </c>
      <c r="BI23" s="24">
        <f>IF(T23&lt;135,T23,T23-'DPI art.191'!$I$11)</f>
        <v/>
      </c>
      <c r="BJ23" s="111">
        <f>IF(O23&lt;80,"0",IF((P23-O23)&lt;=2,('DPI art.191'!$G$13-(('DPI art.191'!$F$13-'DPI art.191'!$G$13)/4)*(P23-O23-2)),('DPI art.191'!$G$13-(('DPI art.191'!$G$13-'DPI art.191'!$H$13)/8)*(P23-O23-2))))</f>
        <v/>
      </c>
      <c r="BK23" s="24">
        <f>O23-BJ23</f>
        <v/>
      </c>
      <c r="BL23" s="24">
        <f>IF(T23&lt;135,T23,T23-'DPI art.191'!$I$13)</f>
        <v/>
      </c>
      <c r="BM23" s="111">
        <f>IF(O23&lt;80,"0",IF((P23-O23)&lt;=2,('DPI art.191'!$G$15-(('DPI art.191'!$F$15-'DPI art.191'!$G$15)/4)*(P23-O23-2)),('DPI art.191'!$G$15-(('DPI art.191'!$G$15-'DPI art.191'!$H$15)/8)*(P23-O23-2))))</f>
        <v/>
      </c>
      <c r="BN23" s="24">
        <f>O23-BM23</f>
        <v/>
      </c>
      <c r="BO23" s="24">
        <f>IF(Z23&lt;135,Z23,Z23-'DPI art.191'!$I$15)</f>
        <v/>
      </c>
      <c r="BP23" s="108">
        <f>10^(0.1*R23)</f>
        <v/>
      </c>
      <c r="BQ23" s="108">
        <f>10^(0.1*X23)</f>
        <v/>
      </c>
      <c r="BR23" s="108">
        <f>10^(0.1*AB23)</f>
        <v/>
      </c>
      <c r="BS23" s="108">
        <f>10^(0.1*AF23)</f>
        <v/>
      </c>
      <c r="BT23" s="108">
        <f>10^(0.1*AJ23)</f>
        <v/>
      </c>
      <c r="BU23" s="108">
        <f>10^(0.1*AN23)</f>
        <v/>
      </c>
      <c r="BV23" s="106">
        <f>IF(R23&gt;0,(O23-R23),"")</f>
        <v/>
      </c>
      <c r="BW23" s="106">
        <f>IF(X23&gt;0,(O23-X23),"")</f>
        <v/>
      </c>
      <c r="BX23" s="106">
        <f>IF(AB23&gt;0,(O23-AB23),"")</f>
        <v/>
      </c>
      <c r="BY23" s="106">
        <f>IF(AF23&gt;0,(O23-AF23),"")</f>
        <v/>
      </c>
      <c r="BZ23" s="106">
        <f>IF(AJ23&gt;0,(O23-AJ23),"")</f>
        <v/>
      </c>
      <c r="CA23" s="106">
        <f>IF(AN23&gt;0,(O23-AN23),"")</f>
        <v/>
      </c>
      <c r="CB23" s="106">
        <f>COUNT(BV23:CA23)</f>
        <v/>
      </c>
      <c r="CC23" s="464">
        <f>IF(CB23=0,0,IF(CB23=1,0,1/(CB23*(CB23-1))))</f>
        <v/>
      </c>
      <c r="CD23" s="136">
        <f>IF(R23&gt;0,(BV23^2),"")</f>
        <v/>
      </c>
      <c r="CE23" s="136">
        <f>IF(X23&gt;0,(BW23^2),"")</f>
        <v/>
      </c>
      <c r="CF23" s="136">
        <f>IF(AB23&gt;0,(BX23^2),"")</f>
        <v/>
      </c>
      <c r="CG23" s="136">
        <f>IF(AF23&gt;0,(BY23^2),"")</f>
        <v/>
      </c>
      <c r="CH23" s="136">
        <f>IF(AJ23&gt;0,(BZ23^2),"")</f>
        <v/>
      </c>
      <c r="CI23" s="136">
        <f>IF(AN23&gt;0,(CA23^2),"")</f>
        <v/>
      </c>
    </row>
    <row r="24" ht="18.75" customHeight="1" s="444">
      <c r="A24" s="340" t="inlineStr">
        <is>
          <t>Sabbiatura</t>
        </is>
      </c>
      <c r="B24" s="65" t="inlineStr">
        <is>
          <t>W19</t>
        </is>
      </c>
      <c r="C24" s="78" t="inlineStr">
        <is>
          <t>Sabbiatura</t>
        </is>
      </c>
      <c r="D24" s="83" t="inlineStr">
        <is>
          <t>/</t>
        </is>
      </c>
      <c r="E24" s="83" t="inlineStr">
        <is>
          <t>/</t>
        </is>
      </c>
      <c r="F24" s="192" t="inlineStr">
        <is>
          <t>Sabbiatura</t>
        </is>
      </c>
      <c r="G24" s="71" t="n">
        <v>46003</v>
      </c>
      <c r="H24" s="77" t="inlineStr">
        <is>
          <t>Compito</t>
        </is>
      </c>
      <c r="I24" s="77">
        <f>IF((V24-R24)&gt;3,"SI","")</f>
        <v/>
      </c>
      <c r="J24" s="77" t="inlineStr">
        <is>
          <t>SI</t>
        </is>
      </c>
      <c r="K24" s="77" t="n"/>
      <c r="L24" s="77" t="n"/>
      <c r="M24" s="137">
        <f>IF(R24&gt;0,(SQRT(CC24*(SUM(CD24:CI24)))),"")</f>
        <v/>
      </c>
      <c r="N24" s="4">
        <f>IF(T24&gt;0,(MAX(T24,Z24,AD24,AH24,AL24,AP24))+SQRT(1.2^2+1^2),"")</f>
        <v/>
      </c>
      <c r="O24" s="3">
        <f>IF(R24="",0,10*LOG10(SUM(BP24:BU24)/(COUNT(R24,X24,AB24,AF24,AJ24,AN24))))</f>
        <v/>
      </c>
      <c r="P24" s="5">
        <f>IF(AND(Y24="",AC24="",AG24="",AK24="",AO24=""),S24,AVERAGE(S24,Y24,AC24,AG24,AK24,AO24)+STDEV(S24,Y24,AC24,AG24,AK24,AO24))</f>
        <v/>
      </c>
      <c r="Q24" s="14" t="n">
        <v>300</v>
      </c>
      <c r="R24" s="11" t="n">
        <v>88.3</v>
      </c>
      <c r="S24" s="12" t="n">
        <v>93.7</v>
      </c>
      <c r="T24" s="13" t="n">
        <v>127.5</v>
      </c>
      <c r="U24" s="79" t="n"/>
      <c r="V24" s="79" t="n"/>
      <c r="W24" s="10" t="n">
        <v>300</v>
      </c>
      <c r="X24" s="11" t="n">
        <v>92.7</v>
      </c>
      <c r="Y24" s="12" t="n">
        <v>94.2</v>
      </c>
      <c r="Z24" s="13" t="n">
        <v>121.7</v>
      </c>
      <c r="AA24" s="10" t="n">
        <v>300</v>
      </c>
      <c r="AB24" s="11" t="n">
        <v>92.8</v>
      </c>
      <c r="AC24" s="12" t="n">
        <v>94.5</v>
      </c>
      <c r="AD24" s="13" t="n">
        <v>121.3</v>
      </c>
      <c r="AE24" s="14" t="n">
        <v>300</v>
      </c>
      <c r="AF24" s="11" t="n">
        <v>91.40000000000001</v>
      </c>
      <c r="AG24" s="12" t="n">
        <v>93.3</v>
      </c>
      <c r="AH24" s="13" t="n">
        <v>122.8</v>
      </c>
      <c r="AI24" s="10" t="n">
        <v>300</v>
      </c>
      <c r="AJ24" s="11" t="n">
        <v>91.90000000000001</v>
      </c>
      <c r="AK24" s="12" t="n">
        <v>93.8</v>
      </c>
      <c r="AL24" s="13" t="n">
        <v>123</v>
      </c>
      <c r="AM24" s="10" t="n">
        <v>300</v>
      </c>
      <c r="AN24" s="11" t="n">
        <v>96.3</v>
      </c>
      <c r="AO24" s="12" t="n">
        <v>96.3</v>
      </c>
      <c r="AP24" s="13" t="n">
        <v>126.7</v>
      </c>
      <c r="AQ24" s="6">
        <f>IF(AND((O24)&lt;85,N24&lt;137),"NO","SI")</f>
        <v/>
      </c>
      <c r="AR24" s="7">
        <f>IF((480*(10^(7.95-(O24/10))))&lt;480,480*(10^(7.95-(O24/10))),480)</f>
        <v/>
      </c>
      <c r="AS24" s="8">
        <f>IF((480*(10^(8.45-(O24/10))))&lt;480,480*(10^(8.45-(O24/10))),480)</f>
        <v/>
      </c>
      <c r="AT24" s="9">
        <f>IF((480*(10^(8.65-(O24/10))))&lt;480,480*(10^(8.65-(O24/10))),480)</f>
        <v/>
      </c>
      <c r="AU24" s="151">
        <f>IF(O24&lt;80,"0",IF((P24-O24)&lt;=2,('DPI art.191'!$G$3-(('DPI art.191'!$F$3-'DPI art.191'!$G$3)/4)*(P24-O24-2)),('DPI art.191'!$G$3-(('DPI art.191'!$F$3-'DPI art.191'!$H$3)/8)*(P24-O24-2))))</f>
        <v/>
      </c>
      <c r="AV24" s="24">
        <f>O24-AU24</f>
        <v/>
      </c>
      <c r="AW24" s="24">
        <f>IF(N24&lt;135,N24,N24-'DPI art.191'!$I$3)</f>
        <v/>
      </c>
      <c r="AX24" s="111">
        <f>IF(O24&lt;80,"0",IF((P24-O24)&lt;=2,('DPI art.191'!$G$5-(('DPI art.191'!$F$5-'DPI art.191'!$G$5)/4)*(P24-O24-2)),('DPI art.191'!$G$5-(('DPI art.191'!$G$5-'DPI art.191'!$H$5)/8)*(P24-O24-2))))</f>
        <v/>
      </c>
      <c r="AY24" s="24">
        <f>O24-AX24</f>
        <v/>
      </c>
      <c r="AZ24" s="24">
        <f>IF(N24&lt;135,N24,N24-'DPI art.191'!$I$5)</f>
        <v/>
      </c>
      <c r="BA24" s="111">
        <f>IF(O24&lt;80,"0",IF((P24-O24)&lt;=2,('DPI art.191'!$G$7-(('DPI art.191'!$F$7-'DPI art.191'!$G$7)/4)*(P24-O24-2)),('DPI art.191'!$G$7-(('DPI art.191'!$G$7-'DPI art.191'!$H$7)/8)*(P24-O24-2))))</f>
        <v/>
      </c>
      <c r="BB24" s="24">
        <f>O24-BA24</f>
        <v/>
      </c>
      <c r="BC24" s="24">
        <f>IF(N24&lt;135,N24,N24-'DPI art.191'!$I$7)</f>
        <v/>
      </c>
      <c r="BD24" s="111">
        <f>IF(O24&lt;80,"0",IF((P24-O24)&lt;=2,('DPI art.191'!$G$9-(('DPI art.191'!$F$9-'DPI art.191'!$G$9)/4)*(O24-P24-2)),('DPI art.191'!$G$9-(('DPI art.191'!$G$9-'DPI art.191'!$H$9)/8)*(P24-O24-2))))</f>
        <v/>
      </c>
      <c r="BE24" s="24">
        <f>O24-BD24</f>
        <v/>
      </c>
      <c r="BF24" s="24">
        <f>IF(N24&lt;135,N24,N24-'DPI art.191'!$I$9)</f>
        <v/>
      </c>
      <c r="BG24" s="111">
        <f>IF(O24&lt;80,"0",IF((P24-O24)&lt;=2,('DPI art.191'!$G$11-(('DPI art.191'!$F$11-'DPI art.191'!$G$11)/4)*(P24-O24-2)),('DPI art.191'!$G$11-(('DPI art.191'!$G$11-'DPI art.191'!$H$11)/8)*(P24-O24-2))))</f>
        <v/>
      </c>
      <c r="BH24" s="24">
        <f>O24-BG24</f>
        <v/>
      </c>
      <c r="BI24" s="24">
        <f>IF(T24&lt;135,T24,T24-'DPI art.191'!$I$11)</f>
        <v/>
      </c>
      <c r="BJ24" s="111">
        <f>IF(O24&lt;80,"0",IF((P24-O24)&lt;=2,('DPI art.191'!$G$13-(('DPI art.191'!$F$13-'DPI art.191'!$G$13)/4)*(P24-O24-2)),('DPI art.191'!$G$13-(('DPI art.191'!$G$13-'DPI art.191'!$H$13)/8)*(P24-O24-2))))</f>
        <v/>
      </c>
      <c r="BK24" s="24">
        <f>O24-BJ24</f>
        <v/>
      </c>
      <c r="BL24" s="24">
        <f>IF(T24&lt;135,T24,T24-'DPI art.191'!$I$13)</f>
        <v/>
      </c>
      <c r="BM24" s="111">
        <f>IF(O24&lt;80,"0",IF((P24-O24)&lt;=2,('DPI art.191'!$G$15-(('DPI art.191'!$F$15-'DPI art.191'!$G$15)/4)*(P24-O24-2)),('DPI art.191'!$G$15-(('DPI art.191'!$G$15-'DPI art.191'!$H$15)/8)*(P24-O24-2))))</f>
        <v/>
      </c>
      <c r="BN24" s="24">
        <f>O24-BM24</f>
        <v/>
      </c>
      <c r="BO24" s="24">
        <f>IF(Z24&lt;135,Z24,Z24-'DPI art.191'!$I$15)</f>
        <v/>
      </c>
      <c r="BP24" s="108">
        <f>10^(0.1*R24)</f>
        <v/>
      </c>
      <c r="BQ24" s="108">
        <f>10^(0.1*X24)</f>
        <v/>
      </c>
      <c r="BR24" s="108">
        <f>10^(0.1*AB24)</f>
        <v/>
      </c>
      <c r="BS24" s="108">
        <f>10^(0.1*AF24)</f>
        <v/>
      </c>
      <c r="BT24" s="108">
        <f>10^(0.1*AJ24)</f>
        <v/>
      </c>
      <c r="BU24" s="108">
        <f>10^(0.1*AN24)</f>
        <v/>
      </c>
      <c r="BV24" s="106">
        <f>IF(R24&gt;0,(O24-R24),"")</f>
        <v/>
      </c>
      <c r="BW24" s="106">
        <f>IF(X24&gt;0,(O24-X24),"")</f>
        <v/>
      </c>
      <c r="BX24" s="106">
        <f>IF(AB24&gt;0,(O24-AB24),"")</f>
        <v/>
      </c>
      <c r="BY24" s="106">
        <f>IF(AF24&gt;0,(O24-AF24),"")</f>
        <v/>
      </c>
      <c r="BZ24" s="106">
        <f>IF(AJ24&gt;0,(O24-AJ24),"")</f>
        <v/>
      </c>
      <c r="CA24" s="106">
        <f>IF(AN24&gt;0,(O24-AN24),"")</f>
        <v/>
      </c>
      <c r="CB24" s="106">
        <f>COUNT(BV24:CA24)</f>
        <v/>
      </c>
      <c r="CC24" s="464">
        <f>IF(CB24=0,0,IF(CB24=1,0,1/(CB24*(CB24-1))))</f>
        <v/>
      </c>
      <c r="CD24" s="136">
        <f>IF(R24&gt;0,(BV24^2),"")</f>
        <v/>
      </c>
      <c r="CE24" s="136">
        <f>IF(X24&gt;0,(BW24^2),"")</f>
        <v/>
      </c>
      <c r="CF24" s="136">
        <f>IF(AB24&gt;0,(BX24^2),"")</f>
        <v/>
      </c>
      <c r="CG24" s="136">
        <f>IF(AF24&gt;0,(BY24^2),"")</f>
        <v/>
      </c>
      <c r="CH24" s="136">
        <f>IF(AJ24&gt;0,(BZ24^2),"")</f>
        <v/>
      </c>
      <c r="CI24" s="136">
        <f>IF(AN24&gt;0,(CA24^2),"")</f>
        <v/>
      </c>
    </row>
    <row r="25" ht="18.75" customHeight="1" s="444">
      <c r="A25" s="340" t="inlineStr">
        <is>
          <t>Verniciatura</t>
        </is>
      </c>
      <c r="B25" s="65" t="inlineStr">
        <is>
          <t>W20</t>
        </is>
      </c>
      <c r="C25" s="78" t="inlineStr">
        <is>
          <t>Vernciciatura</t>
        </is>
      </c>
      <c r="D25" s="83" t="inlineStr">
        <is>
          <t>/</t>
        </is>
      </c>
      <c r="E25" s="83" t="inlineStr">
        <is>
          <t>/</t>
        </is>
      </c>
      <c r="F25" s="192" t="inlineStr">
        <is>
          <t>Vernciciatura</t>
        </is>
      </c>
      <c r="G25" s="71" t="n">
        <v>46003</v>
      </c>
      <c r="H25" s="77" t="inlineStr">
        <is>
          <t>Compito</t>
        </is>
      </c>
      <c r="I25" s="77">
        <f>IF((V25-R25)&gt;3,"SI","")</f>
        <v/>
      </c>
      <c r="J25" s="77" t="inlineStr">
        <is>
          <t>SI</t>
        </is>
      </c>
      <c r="K25" s="77" t="n"/>
      <c r="L25" s="77" t="n"/>
      <c r="M25" s="137">
        <f>IF(R25&gt;0,(SQRT(CC25*(SUM(CD25:CI25)))),"")</f>
        <v/>
      </c>
      <c r="N25" s="4">
        <f>IF(T25&gt;0,(MAX(T25,Z25,AD25,AH25,AL25,AP25))+SQRT(1.2^2+1^2),"")</f>
        <v/>
      </c>
      <c r="O25" s="3">
        <f>IF(R25="",0,10*LOG10(SUM(BP25:BU25)/(COUNT(R25,X25,AB25,AF25,AJ25,AN25))))</f>
        <v/>
      </c>
      <c r="P25" s="5">
        <f>IF(AND(Y25="",AC25="",AG25="",AK25="",AO25=""),S25,AVERAGE(S25,Y25,AC25,AG25,AK25,AO25)+STDEV(S25,Y25,AC25,AG25,AK25,AO25))</f>
        <v/>
      </c>
      <c r="Q25" s="14" t="n">
        <v>300</v>
      </c>
      <c r="R25" s="11" t="n">
        <v>81.40000000000001</v>
      </c>
      <c r="S25" s="12" t="n">
        <v>84</v>
      </c>
      <c r="T25" s="13" t="n">
        <v>116.1</v>
      </c>
      <c r="U25" s="79" t="n"/>
      <c r="V25" s="79" t="n"/>
      <c r="W25" s="10" t="n">
        <v>300</v>
      </c>
      <c r="X25" s="11" t="n">
        <v>81.90000000000001</v>
      </c>
      <c r="Y25" s="12" t="n">
        <v>83.7</v>
      </c>
      <c r="Z25" s="13" t="n">
        <v>119.5</v>
      </c>
      <c r="AA25" s="10" t="n">
        <v>300</v>
      </c>
      <c r="AB25" s="11" t="n">
        <v>80.5</v>
      </c>
      <c r="AC25" s="12" t="n">
        <v>83.09999999999999</v>
      </c>
      <c r="AD25" s="13" t="n">
        <v>121.1</v>
      </c>
      <c r="AE25" s="14" t="n">
        <v>300</v>
      </c>
      <c r="AF25" s="11" t="n">
        <v>74</v>
      </c>
      <c r="AG25" s="12" t="n">
        <v>75.2</v>
      </c>
      <c r="AH25" s="13" t="n">
        <v>111.6</v>
      </c>
      <c r="AI25" s="10" t="n">
        <v>300</v>
      </c>
      <c r="AJ25" s="11" t="n">
        <v>78</v>
      </c>
      <c r="AK25" s="12" t="n">
        <v>78.7</v>
      </c>
      <c r="AL25" s="13" t="n">
        <v>114.8</v>
      </c>
      <c r="AM25" s="10" t="n">
        <v>300</v>
      </c>
      <c r="AN25" s="11" t="n">
        <v>79.40000000000001</v>
      </c>
      <c r="AO25" s="12" t="n">
        <v>81.40000000000001</v>
      </c>
      <c r="AP25" s="13" t="n">
        <v>116.8</v>
      </c>
      <c r="AQ25" s="6">
        <f>IF(AND((O25)&lt;85,N25&lt;137),"NO","SI")</f>
        <v/>
      </c>
      <c r="AR25" s="7">
        <f>IF((480*(10^(7.95-(O25/10))))&lt;480,480*(10^(7.95-(O25/10))),480)</f>
        <v/>
      </c>
      <c r="AS25" s="8">
        <f>IF((480*(10^(8.45-(O25/10))))&lt;480,480*(10^(8.45-(O25/10))),480)</f>
        <v/>
      </c>
      <c r="AT25" s="9">
        <f>IF((480*(10^(8.65-(O25/10))))&lt;480,480*(10^(8.65-(O25/10))),480)</f>
        <v/>
      </c>
      <c r="AU25" s="151">
        <f>IF(O25&lt;80,"0",IF((P25-O25)&lt;=2,('DPI art.191'!$G$3-(('DPI art.191'!$F$3-'DPI art.191'!$G$3)/4)*(P25-O25-2)),('DPI art.191'!$G$3-(('DPI art.191'!$F$3-'DPI art.191'!$H$3)/8)*(P25-O25-2))))</f>
        <v/>
      </c>
      <c r="AV25" s="24">
        <f>O25-AU25</f>
        <v/>
      </c>
      <c r="AW25" s="24">
        <f>IF(N25&lt;135,N25,N25-'DPI art.191'!$I$3)</f>
        <v/>
      </c>
      <c r="AX25" s="111">
        <f>IF(O25&lt;80,"0",IF((P25-O25)&lt;=2,('DPI art.191'!$G$5-(('DPI art.191'!$F$5-'DPI art.191'!$G$5)/4)*(P25-O25-2)),('DPI art.191'!$G$5-(('DPI art.191'!$G$5-'DPI art.191'!$H$5)/8)*(P25-O25-2))))</f>
        <v/>
      </c>
      <c r="AY25" s="24">
        <f>O25-AX25</f>
        <v/>
      </c>
      <c r="AZ25" s="24">
        <f>IF(N25&lt;135,N25,N25-'DPI art.191'!$I$5)</f>
        <v/>
      </c>
      <c r="BA25" s="111">
        <f>IF(O25&lt;80,"0",IF((P25-O25)&lt;=2,('DPI art.191'!$G$7-(('DPI art.191'!$F$7-'DPI art.191'!$G$7)/4)*(P25-O25-2)),('DPI art.191'!$G$7-(('DPI art.191'!$G$7-'DPI art.191'!$H$7)/8)*(P25-O25-2))))</f>
        <v/>
      </c>
      <c r="BB25" s="24">
        <f>O25-BA25</f>
        <v/>
      </c>
      <c r="BC25" s="24">
        <f>IF(N25&lt;135,N25,N25-'DPI art.191'!$I$7)</f>
        <v/>
      </c>
      <c r="BD25" s="111">
        <f>IF(O25&lt;80,"0",IF((P25-O25)&lt;=2,('DPI art.191'!$G$9-(('DPI art.191'!$F$9-'DPI art.191'!$G$9)/4)*(O25-P25-2)),('DPI art.191'!$G$9-(('DPI art.191'!$G$9-'DPI art.191'!$H$9)/8)*(P25-O25-2))))</f>
        <v/>
      </c>
      <c r="BE25" s="24">
        <f>O25-BD25</f>
        <v/>
      </c>
      <c r="BF25" s="24">
        <f>IF(N25&lt;135,N25,N25-'DPI art.191'!$I$9)</f>
        <v/>
      </c>
      <c r="BG25" s="111">
        <f>IF(O25&lt;80,"0",IF((P25-O25)&lt;=2,('DPI art.191'!$G$11-(('DPI art.191'!$F$11-'DPI art.191'!$G$11)/4)*(P25-O25-2)),('DPI art.191'!$G$11-(('DPI art.191'!$G$11-'DPI art.191'!$H$11)/8)*(P25-O25-2))))</f>
        <v/>
      </c>
      <c r="BH25" s="24">
        <f>O25-BG25</f>
        <v/>
      </c>
      <c r="BI25" s="24">
        <f>IF(T25&lt;135,T25,T25-'DPI art.191'!$I$11)</f>
        <v/>
      </c>
      <c r="BJ25" s="111">
        <f>IF(O25&lt;80,"0",IF((P25-O25)&lt;=2,('DPI art.191'!$G$13-(('DPI art.191'!$F$13-'DPI art.191'!$G$13)/4)*(P25-O25-2)),('DPI art.191'!$G$13-(('DPI art.191'!$G$13-'DPI art.191'!$H$13)/8)*(P25-O25-2))))</f>
        <v/>
      </c>
      <c r="BK25" s="24">
        <f>O25-BJ25</f>
        <v/>
      </c>
      <c r="BL25" s="24">
        <f>IF(T25&lt;135,T25,T25-'DPI art.191'!$I$13)</f>
        <v/>
      </c>
      <c r="BM25" s="111">
        <f>IF(O25&lt;80,"0",IF((P25-O25)&lt;=2,('DPI art.191'!$G$15-(('DPI art.191'!$F$15-'DPI art.191'!$G$15)/4)*(P25-O25-2)),('DPI art.191'!$G$15-(('DPI art.191'!$G$15-'DPI art.191'!$H$15)/8)*(P25-O25-2))))</f>
        <v/>
      </c>
      <c r="BN25" s="24">
        <f>O25-BM25</f>
        <v/>
      </c>
      <c r="BO25" s="24">
        <f>IF(Z25&lt;135,Z25,Z25-'DPI art.191'!$I$15)</f>
        <v/>
      </c>
      <c r="BP25" s="108">
        <f>10^(0.1*R25)</f>
        <v/>
      </c>
      <c r="BQ25" s="108">
        <f>10^(0.1*X25)</f>
        <v/>
      </c>
      <c r="BR25" s="108">
        <f>10^(0.1*AB25)</f>
        <v/>
      </c>
      <c r="BS25" s="108">
        <f>10^(0.1*AF25)</f>
        <v/>
      </c>
      <c r="BT25" s="108">
        <f>10^(0.1*AJ25)</f>
        <v/>
      </c>
      <c r="BU25" s="108">
        <f>10^(0.1*AN25)</f>
        <v/>
      </c>
      <c r="BV25" s="106">
        <f>IF(R25&gt;0,(O25-R25),"")</f>
        <v/>
      </c>
      <c r="BW25" s="106">
        <f>IF(X25&gt;0,(O25-X25),"")</f>
        <v/>
      </c>
      <c r="BX25" s="106">
        <f>IF(AB25&gt;0,(O25-AB25),"")</f>
        <v/>
      </c>
      <c r="BY25" s="106">
        <f>IF(AF25&gt;0,(O25-AF25),"")</f>
        <v/>
      </c>
      <c r="BZ25" s="106">
        <f>IF(AJ25&gt;0,(O25-AJ25),"")</f>
        <v/>
      </c>
      <c r="CA25" s="106">
        <f>IF(AN25&gt;0,(O25-AN25),"")</f>
        <v/>
      </c>
      <c r="CB25" s="106">
        <f>COUNT(BV25:CA25)</f>
        <v/>
      </c>
      <c r="CC25" s="464">
        <f>IF(CB25=0,0,IF(CB25=1,0,1/(CB25*(CB25-1))))</f>
        <v/>
      </c>
      <c r="CD25" s="136">
        <f>IF(R25&gt;0,(BV25^2),"")</f>
        <v/>
      </c>
      <c r="CE25" s="136">
        <f>IF(X25&gt;0,(BW25^2),"")</f>
        <v/>
      </c>
      <c r="CF25" s="136">
        <f>IF(AB25&gt;0,(BX25^2),"")</f>
        <v/>
      </c>
      <c r="CG25" s="136">
        <f>IF(AF25&gt;0,(BY25^2),"")</f>
        <v/>
      </c>
      <c r="CH25" s="136">
        <f>IF(AJ25&gt;0,(BZ25^2),"")</f>
        <v/>
      </c>
      <c r="CI25" s="136">
        <f>IF(AN25&gt;0,(CA25^2),"")</f>
        <v/>
      </c>
    </row>
    <row r="26" ht="18.75" customHeight="1" s="444">
      <c r="A26" s="340" t="inlineStr">
        <is>
          <t>273/11</t>
        </is>
      </c>
      <c r="B26" s="65" t="inlineStr">
        <is>
          <t>D1</t>
        </is>
      </c>
      <c r="C26" s="78" t="inlineStr">
        <is>
          <t>Taglio con sega a nastro</t>
        </is>
      </c>
      <c r="D26" s="83" t="inlineStr">
        <is>
          <t>/</t>
        </is>
      </c>
      <c r="E26" s="83" t="inlineStr">
        <is>
          <t>/</t>
        </is>
      </c>
      <c r="F26" s="192" t="inlineStr">
        <is>
          <t>Taglio con sega a nastro</t>
        </is>
      </c>
      <c r="G26" s="71" t="n">
        <v>45996</v>
      </c>
      <c r="H26" s="77" t="inlineStr">
        <is>
          <t>Compito</t>
        </is>
      </c>
      <c r="I26" s="77">
        <f>IF((V26-R26)&gt;3,"SI","")</f>
        <v/>
      </c>
      <c r="J26" s="77">
        <f>IF((U26-R26)&gt;3,"SI","")</f>
        <v/>
      </c>
      <c r="K26" s="77" t="n"/>
      <c r="L26" s="77" t="n"/>
      <c r="M26" s="137">
        <f>IF(R26&gt;0,(SQRT(CC26*(SUM(CD26:CI26)))),"")</f>
        <v/>
      </c>
      <c r="N26" s="4">
        <f>IF(T26&gt;0,(MAX(T26,Z26,AD26,AH26,AL26,AP26))+SQRT(1.2^2+1^2),"")</f>
        <v/>
      </c>
      <c r="O26" s="3">
        <f>IF(R26="",0,10*LOG10(SUM(BP26:BU26)/(COUNT(R26,X26,AB26,AF26,AJ26,AN26))))</f>
        <v/>
      </c>
      <c r="P26" s="5">
        <f>IF(AND(Y26="",AC26="",AG26="",AK26="",AO26=""),S26,AVERAGE(S26,Y26,AC26,AG26,AK26,AO26)+STDEV(S26,Y26,AC26,AG26,AK26,AO26))</f>
        <v/>
      </c>
      <c r="Q26" s="14" t="n">
        <v>300</v>
      </c>
      <c r="R26" s="11" t="n">
        <v>91.90000000000001</v>
      </c>
      <c r="S26" s="12" t="n">
        <v>91.2</v>
      </c>
      <c r="T26" s="13" t="n">
        <v>107.6</v>
      </c>
      <c r="U26" s="79" t="n">
        <v>92</v>
      </c>
      <c r="V26" s="79" t="n">
        <v>95.09999999999999</v>
      </c>
      <c r="W26" s="10" t="n">
        <v>300</v>
      </c>
      <c r="X26" s="11" t="n">
        <v>81.8</v>
      </c>
      <c r="Y26" s="12" t="n">
        <v>81.90000000000001</v>
      </c>
      <c r="Z26" s="13" t="n">
        <v>99.5</v>
      </c>
      <c r="AA26" s="10" t="n">
        <v>300</v>
      </c>
      <c r="AB26" s="11" t="n">
        <v>85.3</v>
      </c>
      <c r="AC26" s="12" t="n">
        <v>85</v>
      </c>
      <c r="AD26" s="13" t="n">
        <v>102.5</v>
      </c>
      <c r="AE26" s="14" t="n">
        <v>300</v>
      </c>
      <c r="AF26" s="11" t="n">
        <v>86.40000000000001</v>
      </c>
      <c r="AG26" s="12" t="n">
        <v>86</v>
      </c>
      <c r="AH26" s="13" t="n">
        <v>102.4</v>
      </c>
      <c r="AI26" s="10" t="n">
        <v>300</v>
      </c>
      <c r="AJ26" s="11" t="n">
        <v>85.7</v>
      </c>
      <c r="AK26" s="12" t="n">
        <v>85.40000000000001</v>
      </c>
      <c r="AL26" s="13" t="n">
        <v>103.1</v>
      </c>
      <c r="AM26" s="10" t="n">
        <v>300</v>
      </c>
      <c r="AN26" s="11" t="n">
        <v>83.59999999999999</v>
      </c>
      <c r="AO26" s="12" t="n">
        <v>83.3</v>
      </c>
      <c r="AP26" s="13" t="n">
        <v>104.6</v>
      </c>
      <c r="AQ26" s="6">
        <f>IF(AND((O26)&lt;85,N26&lt;137),"NO","SI")</f>
        <v/>
      </c>
      <c r="AR26" s="7">
        <f>IF((480*(10^(7.95-(O26/10))))&lt;480,480*(10^(7.95-(O26/10))),480)</f>
        <v/>
      </c>
      <c r="AS26" s="8">
        <f>IF((480*(10^(8.45-(O26/10))))&lt;480,480*(10^(8.45-(O26/10))),480)</f>
        <v/>
      </c>
      <c r="AT26" s="9">
        <f>IF((480*(10^(8.65-(O26/10))))&lt;480,480*(10^(8.65-(O26/10))),480)</f>
        <v/>
      </c>
      <c r="AU26" s="151">
        <f>IF(O26&lt;80,"0",IF((P26-O26)&lt;=2,('DPI art.191'!$G$3-(('DPI art.191'!$F$3-'DPI art.191'!$G$3)/4)*(P26-O26-2)),('DPI art.191'!$G$3-(('DPI art.191'!$F$3-'DPI art.191'!$H$3)/8)*(P26-O26-2))))</f>
        <v/>
      </c>
      <c r="AV26" s="24">
        <f>O26-AU26</f>
        <v/>
      </c>
      <c r="AW26" s="24">
        <f>IF(N26&lt;135,N26,N26-'DPI art.191'!$I$3)</f>
        <v/>
      </c>
      <c r="AX26" s="111">
        <f>IF(O26&lt;80,"0",IF((P26-O26)&lt;=2,('DPI art.191'!$G$5-(('DPI art.191'!$F$5-'DPI art.191'!$G$5)/4)*(P26-O26-2)),('DPI art.191'!$G$5-(('DPI art.191'!$G$5-'DPI art.191'!$H$5)/8)*(P26-O26-2))))</f>
        <v/>
      </c>
      <c r="AY26" s="24">
        <f>O26-AX26</f>
        <v/>
      </c>
      <c r="AZ26" s="24">
        <f>IF(N26&lt;135,N26,N26-'DPI art.191'!$I$5)</f>
        <v/>
      </c>
      <c r="BA26" s="111">
        <f>IF(O26&lt;80,"0",IF((P26-O26)&lt;=2,('DPI art.191'!$G$7-(('DPI art.191'!$F$7-'DPI art.191'!$G$7)/4)*(P26-O26-2)),('DPI art.191'!$G$7-(('DPI art.191'!$G$7-'DPI art.191'!$H$7)/8)*(P26-O26-2))))</f>
        <v/>
      </c>
      <c r="BB26" s="24">
        <f>O26-BA26</f>
        <v/>
      </c>
      <c r="BC26" s="24">
        <f>IF(N26&lt;135,N26,N26-'DPI art.191'!$I$7)</f>
        <v/>
      </c>
      <c r="BD26" s="111">
        <f>IF(O26&lt;80,"0",IF((P26-O26)&lt;=2,('DPI art.191'!$G$9-(('DPI art.191'!$F$9-'DPI art.191'!$G$9)/4)*(O26-P26-2)),('DPI art.191'!$G$9-(('DPI art.191'!$G$9-'DPI art.191'!$H$9)/8)*(P26-O26-2))))</f>
        <v/>
      </c>
      <c r="BE26" s="24">
        <f>O26-BD26</f>
        <v/>
      </c>
      <c r="BF26" s="24">
        <f>IF(N26&lt;135,N26,N26-'DPI art.191'!$I$9)</f>
        <v/>
      </c>
      <c r="BG26" s="111">
        <f>IF(O26&lt;80,"0",IF((P26-O26)&lt;=2,('DPI art.191'!$G$11-(('DPI art.191'!$F$11-'DPI art.191'!$G$11)/4)*(P26-O26-2)),('DPI art.191'!$G$11-(('DPI art.191'!$G$11-'DPI art.191'!$H$11)/8)*(P26-O26-2))))</f>
        <v/>
      </c>
      <c r="BH26" s="24">
        <f>O26-BG26</f>
        <v/>
      </c>
      <c r="BI26" s="24">
        <f>IF(T26&lt;135,T26,T26-'DPI art.191'!$I$11)</f>
        <v/>
      </c>
      <c r="BJ26" s="111">
        <f>IF(O26&lt;80,"0",IF((P26-O26)&lt;=2,('DPI art.191'!$G$13-(('DPI art.191'!$F$13-'DPI art.191'!$G$13)/4)*(P26-O26-2)),('DPI art.191'!$G$13-(('DPI art.191'!$G$13-'DPI art.191'!$H$13)/8)*(P26-O26-2))))</f>
        <v/>
      </c>
      <c r="BK26" s="24">
        <f>O26-BJ26</f>
        <v/>
      </c>
      <c r="BL26" s="24">
        <f>IF(T26&lt;135,T26,T26-'DPI art.191'!$I$13)</f>
        <v/>
      </c>
      <c r="BM26" s="111">
        <f>IF(O26&lt;80,"0",IF((P26-O26)&lt;=2,('DPI art.191'!$G$15-(('DPI art.191'!$F$15-'DPI art.191'!$G$15)/4)*(P26-O26-2)),('DPI art.191'!$G$15-(('DPI art.191'!$G$15-'DPI art.191'!$H$15)/8)*(P26-O26-2))))</f>
        <v/>
      </c>
      <c r="BN26" s="24">
        <f>O26-BM26</f>
        <v/>
      </c>
      <c r="BO26" s="24">
        <f>IF(Z26&lt;135,Z26,Z26-'DPI art.191'!$I$15)</f>
        <v/>
      </c>
      <c r="BP26" s="108">
        <f>10^(0.1*R26)</f>
        <v/>
      </c>
      <c r="BQ26" s="108">
        <f>10^(0.1*X26)</f>
        <v/>
      </c>
      <c r="BR26" s="108">
        <f>10^(0.1*AB26)</f>
        <v/>
      </c>
      <c r="BS26" s="108">
        <f>10^(0.1*AF26)</f>
        <v/>
      </c>
      <c r="BT26" s="108">
        <f>10^(0.1*AJ26)</f>
        <v/>
      </c>
      <c r="BU26" s="108">
        <f>10^(0.1*AN26)</f>
        <v/>
      </c>
      <c r="BV26" s="106">
        <f>IF(R26&gt;0,(O26-R26),"")</f>
        <v/>
      </c>
      <c r="BW26" s="106">
        <f>IF(X26&gt;0,(O26-X26),"")</f>
        <v/>
      </c>
      <c r="BX26" s="106">
        <f>IF(AB26&gt;0,(O26-AB26),"")</f>
        <v/>
      </c>
      <c r="BY26" s="106">
        <f>IF(AF26&gt;0,(O26-AF26),"")</f>
        <v/>
      </c>
      <c r="BZ26" s="106">
        <f>IF(AJ26&gt;0,(O26-AJ26),"")</f>
        <v/>
      </c>
      <c r="CA26" s="106">
        <f>IF(AN26&gt;0,(O26-AN26),"")</f>
        <v/>
      </c>
      <c r="CB26" s="106">
        <f>COUNT(BV26:CA26)</f>
        <v/>
      </c>
      <c r="CC26" s="464">
        <f>IF(CB26=0,0,IF(CB26=1,0,1/(CB26*(CB26-1))))</f>
        <v/>
      </c>
      <c r="CD26" s="136">
        <f>IF(R26&gt;0,(BV26^2),"")</f>
        <v/>
      </c>
      <c r="CE26" s="136">
        <f>IF(X26&gt;0,(BW26^2),"")</f>
        <v/>
      </c>
      <c r="CF26" s="136">
        <f>IF(AB26&gt;0,(BX26^2),"")</f>
        <v/>
      </c>
      <c r="CG26" s="136">
        <f>IF(AF26&gt;0,(BY26^2),"")</f>
        <v/>
      </c>
      <c r="CH26" s="136">
        <f>IF(AJ26&gt;0,(BZ26^2),"")</f>
        <v/>
      </c>
      <c r="CI26" s="136">
        <f>IF(AN26&gt;0,(CA26^2),"")</f>
        <v/>
      </c>
    </row>
    <row r="27" ht="18.75" customHeight="1" s="444">
      <c r="A27" s="340" t="inlineStr">
        <is>
          <t>273/12</t>
        </is>
      </c>
      <c r="B27" s="65" t="inlineStr">
        <is>
          <t>D2</t>
        </is>
      </c>
      <c r="C27" s="78" t="inlineStr">
        <is>
          <t>Taglio con sega a nastro</t>
        </is>
      </c>
      <c r="D27" s="83" t="inlineStr">
        <is>
          <t>/</t>
        </is>
      </c>
      <c r="E27" s="83" t="inlineStr">
        <is>
          <t>/</t>
        </is>
      </c>
      <c r="F27" s="192" t="inlineStr">
        <is>
          <t>Taglio con sega a nastro</t>
        </is>
      </c>
      <c r="G27" s="71" t="n">
        <v>45996</v>
      </c>
      <c r="H27" s="77" t="inlineStr">
        <is>
          <t>Compito</t>
        </is>
      </c>
      <c r="I27" s="77">
        <f>IF((V27-R27)&gt;3,"SI","")</f>
        <v/>
      </c>
      <c r="J27" s="77">
        <f>IF((U27-R27)&gt;3,"SI","")</f>
        <v/>
      </c>
      <c r="K27" s="77" t="n"/>
      <c r="L27" s="77" t="n"/>
      <c r="M27" s="137">
        <f>IF(R27&gt;0,(SQRT(CC27*(SUM(CD27:CI27)))),"")</f>
        <v/>
      </c>
      <c r="N27" s="4">
        <f>IF(T27&gt;0,(MAX(T27,Z27,AD27,AH27,AL27,AP27))+SQRT(1.2^2+1^2),"")</f>
        <v/>
      </c>
      <c r="O27" s="3">
        <f>IF(R27="",0,10*LOG10(SUM(BP27:BU27)/(COUNT(R27,X27,AB27,AF27,AJ27,AN27))))</f>
        <v/>
      </c>
      <c r="P27" s="5">
        <f>IF(AND(Y27="",AC27="",AG27="",AK27="",AO27=""),S27,AVERAGE(S27,Y27,AC27,AG27,AK27,AO27)+STDEV(S27,Y27,AC27,AG27,AK27,AO27))</f>
        <v/>
      </c>
      <c r="Q27" s="14" t="n">
        <v>300</v>
      </c>
      <c r="R27" s="11" t="n">
        <v>76.5</v>
      </c>
      <c r="S27" s="12" t="n">
        <v>78.59999999999999</v>
      </c>
      <c r="T27" s="13" t="n">
        <v>105.9</v>
      </c>
      <c r="U27" s="79" t="n">
        <v>76.5</v>
      </c>
      <c r="V27" s="79" t="n">
        <v>79.90000000000001</v>
      </c>
      <c r="W27" s="10" t="n">
        <v>300</v>
      </c>
      <c r="X27" s="11" t="n">
        <v>74.8</v>
      </c>
      <c r="Y27" s="12" t="n">
        <v>77.90000000000001</v>
      </c>
      <c r="Z27" s="13" t="n">
        <v>106.8</v>
      </c>
      <c r="AA27" s="10" t="n">
        <v>300</v>
      </c>
      <c r="AB27" s="11" t="n">
        <v>78.2</v>
      </c>
      <c r="AC27" s="12" t="n">
        <v>79.2</v>
      </c>
      <c r="AD27" s="13" t="n">
        <v>102.2</v>
      </c>
      <c r="AE27" s="14" t="n">
        <v>300</v>
      </c>
      <c r="AF27" s="11" t="n">
        <v>77.8</v>
      </c>
      <c r="AG27" s="12" t="n">
        <v>79</v>
      </c>
      <c r="AH27" s="13" t="n">
        <v>102.7</v>
      </c>
      <c r="AI27" s="10" t="n">
        <v>300</v>
      </c>
      <c r="AJ27" s="11" t="n">
        <v>79.8</v>
      </c>
      <c r="AK27" s="12" t="n">
        <v>81</v>
      </c>
      <c r="AL27" s="13" t="n">
        <v>102</v>
      </c>
      <c r="AM27" s="10" t="n">
        <v>300</v>
      </c>
      <c r="AN27" s="11" t="n">
        <v>76.90000000000001</v>
      </c>
      <c r="AO27" s="12" t="n">
        <v>78.7</v>
      </c>
      <c r="AP27" s="13" t="n">
        <v>99.90000000000001</v>
      </c>
      <c r="AQ27" s="6">
        <f>IF(AND((O27)&lt;85,N27&lt;137),"NO","SI")</f>
        <v/>
      </c>
      <c r="AR27" s="7">
        <f>IF((480*(10^(7.95-(O27/10))))&lt;480,480*(10^(7.95-(O27/10))),480)</f>
        <v/>
      </c>
      <c r="AS27" s="8">
        <f>IF((480*(10^(8.45-(O27/10))))&lt;480,480*(10^(8.45-(O27/10))),480)</f>
        <v/>
      </c>
      <c r="AT27" s="9">
        <f>IF((480*(10^(8.65-(O27/10))))&lt;480,480*(10^(8.65-(O27/10))),480)</f>
        <v/>
      </c>
      <c r="AU27" s="151">
        <f>IF(O27&lt;80,"0",IF((P27-O27)&lt;=2,('DPI art.191'!$G$3-(('DPI art.191'!$F$3-'DPI art.191'!$G$3)/4)*(P27-O27-2)),('DPI art.191'!$G$3-(('DPI art.191'!$F$3-'DPI art.191'!$H$3)/8)*(P27-O27-2))))</f>
        <v/>
      </c>
      <c r="AV27" s="24">
        <f>O27-AU27</f>
        <v/>
      </c>
      <c r="AW27" s="24">
        <f>IF(N27&lt;135,N27,N27-'DPI art.191'!$I$3)</f>
        <v/>
      </c>
      <c r="AX27" s="111">
        <f>IF(O27&lt;80,"0",IF((P27-O27)&lt;=2,('DPI art.191'!$G$5-(('DPI art.191'!$F$5-'DPI art.191'!$G$5)/4)*(P27-O27-2)),('DPI art.191'!$G$5-(('DPI art.191'!$G$5-'DPI art.191'!$H$5)/8)*(P27-O27-2))))</f>
        <v/>
      </c>
      <c r="AY27" s="24">
        <f>O27-AX27</f>
        <v/>
      </c>
      <c r="AZ27" s="24">
        <f>IF(N27&lt;135,N27,N27-'DPI art.191'!$I$5)</f>
        <v/>
      </c>
      <c r="BA27" s="111">
        <f>IF(O27&lt;80,"0",IF((P27-O27)&lt;=2,('DPI art.191'!$G$7-(('DPI art.191'!$F$7-'DPI art.191'!$G$7)/4)*(P27-O27-2)),('DPI art.191'!$G$7-(('DPI art.191'!$G$7-'DPI art.191'!$H$7)/8)*(P27-O27-2))))</f>
        <v/>
      </c>
      <c r="BB27" s="24">
        <f>O27-BA27</f>
        <v/>
      </c>
      <c r="BC27" s="24">
        <f>IF(N27&lt;135,N27,N27-'DPI art.191'!$I$7)</f>
        <v/>
      </c>
      <c r="BD27" s="111">
        <f>IF(O27&lt;80,"0",IF((P27-O27)&lt;=2,('DPI art.191'!$G$9-(('DPI art.191'!$F$9-'DPI art.191'!$G$9)/4)*(O27-P27-2)),('DPI art.191'!$G$9-(('DPI art.191'!$G$9-'DPI art.191'!$H$9)/8)*(P27-O27-2))))</f>
        <v/>
      </c>
      <c r="BE27" s="24">
        <f>O27-BD27</f>
        <v/>
      </c>
      <c r="BF27" s="24">
        <f>IF(N27&lt;135,N27,N27-'DPI art.191'!$I$9)</f>
        <v/>
      </c>
      <c r="BG27" s="111">
        <f>IF(O27&lt;80,"0",IF((P27-O27)&lt;=2,('DPI art.191'!$G$11-(('DPI art.191'!$F$11-'DPI art.191'!$G$11)/4)*(P27-O27-2)),('DPI art.191'!$G$11-(('DPI art.191'!$G$11-'DPI art.191'!$H$11)/8)*(P27-O27-2))))</f>
        <v/>
      </c>
      <c r="BH27" s="24">
        <f>O27-BG27</f>
        <v/>
      </c>
      <c r="BI27" s="24">
        <f>IF(T27&lt;135,T27,T27-'DPI art.191'!$I$11)</f>
        <v/>
      </c>
      <c r="BJ27" s="111">
        <f>IF(O27&lt;80,"0",IF((P27-O27)&lt;=2,('DPI art.191'!$G$13-(('DPI art.191'!$F$13-'DPI art.191'!$G$13)/4)*(P27-O27-2)),('DPI art.191'!$G$13-(('DPI art.191'!$G$13-'DPI art.191'!$H$13)/8)*(P27-O27-2))))</f>
        <v/>
      </c>
      <c r="BK27" s="24">
        <f>O27-BJ27</f>
        <v/>
      </c>
      <c r="BL27" s="24">
        <f>IF(T27&lt;135,T27,T27-'DPI art.191'!$I$13)</f>
        <v/>
      </c>
      <c r="BM27" s="111">
        <f>IF(O27&lt;80,"0",IF((P27-O27)&lt;=2,('DPI art.191'!$G$15-(('DPI art.191'!$F$15-'DPI art.191'!$G$15)/4)*(P27-O27-2)),('DPI art.191'!$G$15-(('DPI art.191'!$G$15-'DPI art.191'!$H$15)/8)*(P27-O27-2))))</f>
        <v/>
      </c>
      <c r="BN27" s="24">
        <f>O27-BM27</f>
        <v/>
      </c>
      <c r="BO27" s="24">
        <f>IF(Z27&lt;135,Z27,Z27-'DPI art.191'!$I$15)</f>
        <v/>
      </c>
      <c r="BP27" s="108">
        <f>10^(0.1*R27)</f>
        <v/>
      </c>
      <c r="BQ27" s="108">
        <f>10^(0.1*X27)</f>
        <v/>
      </c>
      <c r="BR27" s="108">
        <f>10^(0.1*AB27)</f>
        <v/>
      </c>
      <c r="BS27" s="108">
        <f>10^(0.1*AF27)</f>
        <v/>
      </c>
      <c r="BT27" s="108">
        <f>10^(0.1*AJ27)</f>
        <v/>
      </c>
      <c r="BU27" s="108">
        <f>10^(0.1*AN27)</f>
        <v/>
      </c>
      <c r="BV27" s="106">
        <f>IF(R27&gt;0,(O27-R27),"")</f>
        <v/>
      </c>
      <c r="BW27" s="106">
        <f>IF(X27&gt;0,(O27-X27),"")</f>
        <v/>
      </c>
      <c r="BX27" s="106">
        <f>IF(AB27&gt;0,(O27-AB27),"")</f>
        <v/>
      </c>
      <c r="BY27" s="106">
        <f>IF(AF27&gt;0,(O27-AF27),"")</f>
        <v/>
      </c>
      <c r="BZ27" s="106">
        <f>IF(AJ27&gt;0,(O27-AJ27),"")</f>
        <v/>
      </c>
      <c r="CA27" s="106">
        <f>IF(AN27&gt;0,(O27-AN27),"")</f>
        <v/>
      </c>
      <c r="CB27" s="106">
        <f>COUNT(BV27:CA27)</f>
        <v/>
      </c>
      <c r="CC27" s="464">
        <f>IF(CB27=0,0,IF(CB27=1,0,1/(CB27*(CB27-1))))</f>
        <v/>
      </c>
      <c r="CD27" s="136">
        <f>IF(R27&gt;0,(BV27^2),"")</f>
        <v/>
      </c>
      <c r="CE27" s="136">
        <f>IF(X27&gt;0,(BW27^2),"")</f>
        <v/>
      </c>
      <c r="CF27" s="136">
        <f>IF(AB27&gt;0,(BX27^2),"")</f>
        <v/>
      </c>
      <c r="CG27" s="136">
        <f>IF(AF27&gt;0,(BY27^2),"")</f>
        <v/>
      </c>
      <c r="CH27" s="136">
        <f>IF(AJ27&gt;0,(BZ27^2),"")</f>
        <v/>
      </c>
      <c r="CI27" s="136">
        <f>IF(AN27&gt;0,(CA27^2),"")</f>
        <v/>
      </c>
    </row>
    <row r="28" ht="18.75" customHeight="1" s="444">
      <c r="A28" s="340" t="inlineStr">
        <is>
          <t>252/06</t>
        </is>
      </c>
      <c r="B28" s="65" t="inlineStr">
        <is>
          <t>D3</t>
        </is>
      </c>
      <c r="C28" s="78" t="inlineStr">
        <is>
          <t>Calandratura</t>
        </is>
      </c>
      <c r="D28" s="83" t="inlineStr">
        <is>
          <t>/</t>
        </is>
      </c>
      <c r="E28" s="83" t="inlineStr">
        <is>
          <t>/</t>
        </is>
      </c>
      <c r="F28" s="192" t="inlineStr">
        <is>
          <t>Calandratura</t>
        </is>
      </c>
      <c r="G28" s="71" t="n">
        <v>45996</v>
      </c>
      <c r="H28" s="77" t="inlineStr">
        <is>
          <t>Compito</t>
        </is>
      </c>
      <c r="I28" s="77">
        <f>IF((V28-R28)&gt;3,"SI","")</f>
        <v/>
      </c>
      <c r="J28" s="77">
        <f>IF((U28-R28)&gt;3,"SI","")</f>
        <v/>
      </c>
      <c r="K28" s="77" t="n"/>
      <c r="L28" s="77" t="n"/>
      <c r="M28" s="137">
        <f>IF(R28&gt;0,(SQRT(CC28*(SUM(CD28:CI28)))),"")</f>
        <v/>
      </c>
      <c r="N28" s="4">
        <f>IF(T28&gt;0,(MAX(T28,Z28,AD28,AH28,AL28,AP28))+SQRT(1.2^2+1^2),"")</f>
        <v/>
      </c>
      <c r="O28" s="3">
        <f>IF(R28="",0,10*LOG10(SUM(BP28:BU28)/(COUNT(R28,X28,AB28,AF28,AJ28,AN28))))</f>
        <v/>
      </c>
      <c r="P28" s="5">
        <f>IF(AND(Y28="",AC28="",AG28="",AK28="",AO28=""),S28,AVERAGE(S28,Y28,AC28,AG28,AK28,AO28)+STDEV(S28,Y28,AC28,AG28,AK28,AO28))</f>
        <v/>
      </c>
      <c r="Q28" s="14" t="n">
        <v>300</v>
      </c>
      <c r="R28" s="11" t="n">
        <v>78</v>
      </c>
      <c r="S28" s="12" t="n">
        <v>81.2</v>
      </c>
      <c r="T28" s="13" t="n">
        <v>113.8</v>
      </c>
      <c r="U28" s="79" t="n">
        <v>78</v>
      </c>
      <c r="V28" s="79" t="n">
        <v>83.5</v>
      </c>
      <c r="W28" s="10" t="n">
        <v>300</v>
      </c>
      <c r="X28" s="11" t="n">
        <v>77.59999999999999</v>
      </c>
      <c r="Y28" s="12" t="n">
        <v>80.8</v>
      </c>
      <c r="Z28" s="13" t="n">
        <v>110.9</v>
      </c>
      <c r="AA28" s="10" t="n">
        <v>300</v>
      </c>
      <c r="AB28" s="11" t="n">
        <v>80.09999999999999</v>
      </c>
      <c r="AC28" s="12" t="n">
        <v>83.3</v>
      </c>
      <c r="AD28" s="13" t="n">
        <v>113.1</v>
      </c>
      <c r="AE28" s="14" t="n">
        <v>300</v>
      </c>
      <c r="AF28" s="11" t="n">
        <v>82.09999999999999</v>
      </c>
      <c r="AG28" s="12" t="n">
        <v>85.09999999999999</v>
      </c>
      <c r="AH28" s="13" t="n">
        <v>115.6</v>
      </c>
      <c r="AI28" s="10" t="n">
        <v>300</v>
      </c>
      <c r="AJ28" s="11" t="n">
        <v>85.5</v>
      </c>
      <c r="AK28" s="12" t="n">
        <v>86.59999999999999</v>
      </c>
      <c r="AL28" s="13" t="n">
        <v>118</v>
      </c>
      <c r="AM28" s="10" t="n">
        <v>300</v>
      </c>
      <c r="AN28" s="11" t="n">
        <v>83.5</v>
      </c>
      <c r="AO28" s="12" t="n">
        <v>83.40000000000001</v>
      </c>
      <c r="AP28" s="13" t="n">
        <v>106</v>
      </c>
      <c r="AQ28" s="6">
        <f>IF(AND((O28)&lt;85,N28&lt;137),"NO","SI")</f>
        <v/>
      </c>
      <c r="AR28" s="7">
        <f>IF((480*(10^(7.95-(O28/10))))&lt;480,480*(10^(7.95-(O28/10))),480)</f>
        <v/>
      </c>
      <c r="AS28" s="8">
        <f>IF((480*(10^(8.45-(O28/10))))&lt;480,480*(10^(8.45-(O28/10))),480)</f>
        <v/>
      </c>
      <c r="AT28" s="9">
        <f>IF((480*(10^(8.65-(O28/10))))&lt;480,480*(10^(8.65-(O28/10))),480)</f>
        <v/>
      </c>
      <c r="AU28" s="151">
        <f>IF(O28&lt;80,"0",IF((P28-O28)&lt;=2,('DPI art.191'!$G$3-(('DPI art.191'!$F$3-'DPI art.191'!$G$3)/4)*(P28-O28-2)),('DPI art.191'!$G$3-(('DPI art.191'!$F$3-'DPI art.191'!$H$3)/8)*(P28-O28-2))))</f>
        <v/>
      </c>
      <c r="AV28" s="24">
        <f>O28-AU28</f>
        <v/>
      </c>
      <c r="AW28" s="24">
        <f>IF(N28&lt;135,N28,N28-'DPI art.191'!$I$3)</f>
        <v/>
      </c>
      <c r="AX28" s="111">
        <f>IF(O28&lt;80,"0",IF((P28-O28)&lt;=2,('DPI art.191'!$G$5-(('DPI art.191'!$F$5-'DPI art.191'!$G$5)/4)*(P28-O28-2)),('DPI art.191'!$G$5-(('DPI art.191'!$G$5-'DPI art.191'!$H$5)/8)*(P28-O28-2))))</f>
        <v/>
      </c>
      <c r="AY28" s="24">
        <f>O28-AX28</f>
        <v/>
      </c>
      <c r="AZ28" s="24">
        <f>IF(N28&lt;135,N28,N28-'DPI art.191'!$I$5)</f>
        <v/>
      </c>
      <c r="BA28" s="111">
        <f>IF(O28&lt;80,"0",IF((P28-O28)&lt;=2,('DPI art.191'!$G$7-(('DPI art.191'!$F$7-'DPI art.191'!$G$7)/4)*(P28-O28-2)),('DPI art.191'!$G$7-(('DPI art.191'!$G$7-'DPI art.191'!$H$7)/8)*(P28-O28-2))))</f>
        <v/>
      </c>
      <c r="BB28" s="24">
        <f>O28-BA28</f>
        <v/>
      </c>
      <c r="BC28" s="24">
        <f>IF(N28&lt;135,N28,N28-'DPI art.191'!$I$7)</f>
        <v/>
      </c>
      <c r="BD28" s="111">
        <f>IF(O28&lt;80,"0",IF((P28-O28)&lt;=2,('DPI art.191'!$G$9-(('DPI art.191'!$F$9-'DPI art.191'!$G$9)/4)*(O28-P28-2)),('DPI art.191'!$G$9-(('DPI art.191'!$G$9-'DPI art.191'!$H$9)/8)*(P28-O28-2))))</f>
        <v/>
      </c>
      <c r="BE28" s="24">
        <f>O28-BD28</f>
        <v/>
      </c>
      <c r="BF28" s="24">
        <f>IF(N28&lt;135,N28,N28-'DPI art.191'!$I$9)</f>
        <v/>
      </c>
      <c r="BG28" s="111">
        <f>IF(O28&lt;80,"0",IF((P28-O28)&lt;=2,('DPI art.191'!$G$11-(('DPI art.191'!$F$11-'DPI art.191'!$G$11)/4)*(P28-O28-2)),('DPI art.191'!$G$11-(('DPI art.191'!$G$11-'DPI art.191'!$H$11)/8)*(P28-O28-2))))</f>
        <v/>
      </c>
      <c r="BH28" s="24">
        <f>O28-BG28</f>
        <v/>
      </c>
      <c r="BI28" s="24">
        <f>IF(T28&lt;135,T28,T28-'DPI art.191'!$I$11)</f>
        <v/>
      </c>
      <c r="BJ28" s="111">
        <f>IF(O28&lt;80,"0",IF((P28-O28)&lt;=2,('DPI art.191'!$G$13-(('DPI art.191'!$F$13-'DPI art.191'!$G$13)/4)*(P28-O28-2)),('DPI art.191'!$G$13-(('DPI art.191'!$G$13-'DPI art.191'!$H$13)/8)*(P28-O28-2))))</f>
        <v/>
      </c>
      <c r="BK28" s="24">
        <f>O28-BJ28</f>
        <v/>
      </c>
      <c r="BL28" s="24">
        <f>IF(T28&lt;135,T28,T28-'DPI art.191'!$I$13)</f>
        <v/>
      </c>
      <c r="BM28" s="111">
        <f>IF(O28&lt;80,"0",IF((P28-O28)&lt;=2,('DPI art.191'!$G$15-(('DPI art.191'!$F$15-'DPI art.191'!$G$15)/4)*(P28-O28-2)),('DPI art.191'!$G$15-(('DPI art.191'!$G$15-'DPI art.191'!$H$15)/8)*(P28-O28-2))))</f>
        <v/>
      </c>
      <c r="BN28" s="24">
        <f>O28-BM28</f>
        <v/>
      </c>
      <c r="BO28" s="24">
        <f>IF(Z28&lt;135,Z28,Z28-'DPI art.191'!$I$15)</f>
        <v/>
      </c>
      <c r="BP28" s="108">
        <f>10^(0.1*R28)</f>
        <v/>
      </c>
      <c r="BQ28" s="108">
        <f>10^(0.1*X28)</f>
        <v/>
      </c>
      <c r="BR28" s="108">
        <f>10^(0.1*AB28)</f>
        <v/>
      </c>
      <c r="BS28" s="108">
        <f>10^(0.1*AF28)</f>
        <v/>
      </c>
      <c r="BT28" s="108">
        <f>10^(0.1*AJ28)</f>
        <v/>
      </c>
      <c r="BU28" s="108">
        <f>10^(0.1*AN28)</f>
        <v/>
      </c>
      <c r="BV28" s="106">
        <f>IF(R28&gt;0,(O28-R28),"")</f>
        <v/>
      </c>
      <c r="BW28" s="106">
        <f>IF(X28&gt;0,(O28-X28),"")</f>
        <v/>
      </c>
      <c r="BX28" s="106">
        <f>IF(AB28&gt;0,(O28-AB28),"")</f>
        <v/>
      </c>
      <c r="BY28" s="106">
        <f>IF(AF28&gt;0,(O28-AF28),"")</f>
        <v/>
      </c>
      <c r="BZ28" s="106">
        <f>IF(AJ28&gt;0,(O28-AJ28),"")</f>
        <v/>
      </c>
      <c r="CA28" s="106">
        <f>IF(AN28&gt;0,(O28-AN28),"")</f>
        <v/>
      </c>
      <c r="CB28" s="106">
        <f>COUNT(BV28:CA28)</f>
        <v/>
      </c>
      <c r="CC28" s="464">
        <f>IF(CB28=0,0,IF(CB28=1,0,1/(CB28*(CB28-1))))</f>
        <v/>
      </c>
      <c r="CD28" s="136">
        <f>IF(R28&gt;0,(BV28^2),"")</f>
        <v/>
      </c>
      <c r="CE28" s="136">
        <f>IF(X28&gt;0,(BW28^2),"")</f>
        <v/>
      </c>
      <c r="CF28" s="136">
        <f>IF(AB28&gt;0,(BX28^2),"")</f>
        <v/>
      </c>
      <c r="CG28" s="136">
        <f>IF(AF28&gt;0,(BY28^2),"")</f>
        <v/>
      </c>
      <c r="CH28" s="136">
        <f>IF(AJ28&gt;0,(BZ28^2),"")</f>
        <v/>
      </c>
      <c r="CI28" s="136">
        <f>IF(AN28&gt;0,(CA28^2),"")</f>
        <v/>
      </c>
    </row>
    <row r="29" ht="18.75" customHeight="1" s="444">
      <c r="A29" s="340" t="inlineStr">
        <is>
          <t>016/0579</t>
        </is>
      </c>
      <c r="B29" s="65" t="inlineStr">
        <is>
          <t>D4</t>
        </is>
      </c>
      <c r="C29" s="78" t="inlineStr">
        <is>
          <t>Molatura con mola grande</t>
        </is>
      </c>
      <c r="D29" s="83" t="inlineStr">
        <is>
          <t>/</t>
        </is>
      </c>
      <c r="E29" s="83" t="inlineStr">
        <is>
          <t>/</t>
        </is>
      </c>
      <c r="F29" s="192" t="inlineStr">
        <is>
          <t>Molatura con mola grande</t>
        </is>
      </c>
      <c r="G29" s="71" t="n">
        <v>45996</v>
      </c>
      <c r="H29" s="77" t="inlineStr">
        <is>
          <t>Compito</t>
        </is>
      </c>
      <c r="I29" s="77">
        <f>IF((V29-R29)&gt;3,"SI","")</f>
        <v/>
      </c>
      <c r="J29" s="77" t="inlineStr">
        <is>
          <t>SI</t>
        </is>
      </c>
      <c r="K29" s="77" t="n"/>
      <c r="L29" s="77" t="n"/>
      <c r="M29" s="137">
        <f>IF(R29&gt;0,(SQRT(CC29*(SUM(CD29:CI29)))),"")</f>
        <v/>
      </c>
      <c r="N29" s="4">
        <f>IF(T29&gt;0,(MAX(T29,Z29,AD29,AH29,AL29,AP29))+SQRT(1.2^2+1^2),"")</f>
        <v/>
      </c>
      <c r="O29" s="3">
        <f>IF(R29="",0,10*LOG10(SUM(BP29:BU29)/(COUNT(R29,X29,AB29,AF29,AJ29,AN29))))</f>
        <v/>
      </c>
      <c r="P29" s="5">
        <f>IF(AND(Y29="",AC29="",AG29="",AK29="",AO29=""),S29,AVERAGE(S29,Y29,AC29,AG29,AK29,AO29)+STDEV(S29,Y29,AC29,AG29,AK29,AO29))</f>
        <v/>
      </c>
      <c r="Q29" s="14" t="n">
        <v>300</v>
      </c>
      <c r="R29" s="11" t="n">
        <v>104.9</v>
      </c>
      <c r="S29" s="12" t="n">
        <v>103.4</v>
      </c>
      <c r="T29" s="13" t="n">
        <v>122</v>
      </c>
      <c r="U29" s="79" t="n">
        <v>104.8</v>
      </c>
      <c r="V29" s="79" t="n">
        <v>106.9</v>
      </c>
      <c r="W29" s="10" t="n">
        <v>300</v>
      </c>
      <c r="X29" s="11" t="n">
        <v>103.2</v>
      </c>
      <c r="Y29" s="12" t="n">
        <v>101.8</v>
      </c>
      <c r="Z29" s="13" t="n">
        <v>118.8</v>
      </c>
      <c r="AA29" s="10" t="n">
        <v>300</v>
      </c>
      <c r="AB29" s="11" t="n">
        <v>100.1</v>
      </c>
      <c r="AC29" s="12" t="n">
        <v>98.7</v>
      </c>
      <c r="AD29" s="13" t="n">
        <v>119.8</v>
      </c>
      <c r="AE29" s="14" t="n">
        <v>300</v>
      </c>
      <c r="AF29" s="11" t="n">
        <v>105.9</v>
      </c>
      <c r="AG29" s="12" t="n">
        <v>104.7</v>
      </c>
      <c r="AH29" s="13" t="n">
        <v>123.3</v>
      </c>
      <c r="AI29" s="10" t="n">
        <v>300</v>
      </c>
      <c r="AJ29" s="11" t="n">
        <v>107</v>
      </c>
      <c r="AK29" s="12" t="n">
        <v>105.5</v>
      </c>
      <c r="AL29" s="13" t="n">
        <v>124</v>
      </c>
      <c r="AM29" s="10" t="n">
        <v>300</v>
      </c>
      <c r="AN29" s="11" t="n">
        <v>105</v>
      </c>
      <c r="AO29" s="12" t="n">
        <v>103.4</v>
      </c>
      <c r="AP29" s="13" t="n">
        <v>124.8</v>
      </c>
      <c r="AQ29" s="6">
        <f>IF(AND((O29)&lt;85,N29&lt;137),"NO","SI")</f>
        <v/>
      </c>
      <c r="AR29" s="7">
        <f>IF((480*(10^(7.95-(O29/10))))&lt;480,480*(10^(7.95-(O29/10))),480)</f>
        <v/>
      </c>
      <c r="AS29" s="8">
        <f>IF((480*(10^(8.45-(O29/10))))&lt;480,480*(10^(8.45-(O29/10))),480)</f>
        <v/>
      </c>
      <c r="AT29" s="9">
        <f>IF((480*(10^(8.65-(O29/10))))&lt;480,480*(10^(8.65-(O29/10))),480)</f>
        <v/>
      </c>
      <c r="AU29" s="151">
        <f>IF(O29&lt;80,"0",IF((P29-O29)&lt;=2,('DPI art.191'!$G$3-(('DPI art.191'!$F$3-'DPI art.191'!$G$3)/4)*(P29-O29-2)),('DPI art.191'!$G$3-(('DPI art.191'!$F$3-'DPI art.191'!$H$3)/8)*(P29-O29-2))))</f>
        <v/>
      </c>
      <c r="AV29" s="24">
        <f>O29-AU29</f>
        <v/>
      </c>
      <c r="AW29" s="24">
        <f>IF(N29&lt;135,N29,N29-'DPI art.191'!$I$3)</f>
        <v/>
      </c>
      <c r="AX29" s="111">
        <f>IF(O29&lt;80,"0",IF((P29-O29)&lt;=2,('DPI art.191'!$G$5-(('DPI art.191'!$F$5-'DPI art.191'!$G$5)/4)*(P29-O29-2)),('DPI art.191'!$G$5-(('DPI art.191'!$G$5-'DPI art.191'!$H$5)/8)*(P29-O29-2))))</f>
        <v/>
      </c>
      <c r="AY29" s="24">
        <f>O29-AX29</f>
        <v/>
      </c>
      <c r="AZ29" s="24">
        <f>IF(N29&lt;135,N29,N29-'DPI art.191'!$I$5)</f>
        <v/>
      </c>
      <c r="BA29" s="111">
        <f>IF(O29&lt;80,"0",IF((P29-O29)&lt;=2,('DPI art.191'!$G$7-(('DPI art.191'!$F$7-'DPI art.191'!$G$7)/4)*(P29-O29-2)),('DPI art.191'!$G$7-(('DPI art.191'!$G$7-'DPI art.191'!$H$7)/8)*(P29-O29-2))))</f>
        <v/>
      </c>
      <c r="BB29" s="24">
        <f>O29-BA29</f>
        <v/>
      </c>
      <c r="BC29" s="24">
        <f>IF(N29&lt;135,N29,N29-'DPI art.191'!$I$7)</f>
        <v/>
      </c>
      <c r="BD29" s="111">
        <f>IF(O29&lt;80,"0",IF((P29-O29)&lt;=2,('DPI art.191'!$G$9-(('DPI art.191'!$F$9-'DPI art.191'!$G$9)/4)*(O29-P29-2)),('DPI art.191'!$G$9-(('DPI art.191'!$G$9-'DPI art.191'!$H$9)/8)*(P29-O29-2))))</f>
        <v/>
      </c>
      <c r="BE29" s="24">
        <f>O29-BD29</f>
        <v/>
      </c>
      <c r="BF29" s="24">
        <f>IF(N29&lt;135,N29,N29-'DPI art.191'!$I$9)</f>
        <v/>
      </c>
      <c r="BG29" s="111">
        <f>IF(O29&lt;80,"0",IF((P29-O29)&lt;=2,('DPI art.191'!$G$11-(('DPI art.191'!$F$11-'DPI art.191'!$G$11)/4)*(P29-O29-2)),('DPI art.191'!$G$11-(('DPI art.191'!$G$11-'DPI art.191'!$H$11)/8)*(P29-O29-2))))</f>
        <v/>
      </c>
      <c r="BH29" s="24">
        <f>O29-BG29</f>
        <v/>
      </c>
      <c r="BI29" s="24">
        <f>IF(T29&lt;135,T29,T29-'DPI art.191'!$I$11)</f>
        <v/>
      </c>
      <c r="BJ29" s="111">
        <f>IF(O29&lt;80,"0",IF((P29-O29)&lt;=2,('DPI art.191'!$G$13-(('DPI art.191'!$F$13-'DPI art.191'!$G$13)/4)*(P29-O29-2)),('DPI art.191'!$G$13-(('DPI art.191'!$G$13-'DPI art.191'!$H$13)/8)*(P29-O29-2))))</f>
        <v/>
      </c>
      <c r="BK29" s="24">
        <f>O29-BJ29</f>
        <v/>
      </c>
      <c r="BL29" s="24">
        <f>IF(T29&lt;135,T29,T29-'DPI art.191'!$I$13)</f>
        <v/>
      </c>
      <c r="BM29" s="111">
        <f>IF(O29&lt;80,"0",IF((P29-O29)&lt;=2,('DPI art.191'!$G$15-(('DPI art.191'!$F$15-'DPI art.191'!$G$15)/4)*(P29-O29-2)),('DPI art.191'!$G$15-(('DPI art.191'!$G$15-'DPI art.191'!$H$15)/8)*(P29-O29-2))))</f>
        <v/>
      </c>
      <c r="BN29" s="24">
        <f>O29-BM29</f>
        <v/>
      </c>
      <c r="BO29" s="24">
        <f>IF(Z29&lt;135,Z29,Z29-'DPI art.191'!$I$15)</f>
        <v/>
      </c>
      <c r="BP29" s="108">
        <f>10^(0.1*R29)</f>
        <v/>
      </c>
      <c r="BQ29" s="108">
        <f>10^(0.1*X29)</f>
        <v/>
      </c>
      <c r="BR29" s="108">
        <f>10^(0.1*AB29)</f>
        <v/>
      </c>
      <c r="BS29" s="108">
        <f>10^(0.1*AF29)</f>
        <v/>
      </c>
      <c r="BT29" s="108">
        <f>10^(0.1*AJ29)</f>
        <v/>
      </c>
      <c r="BU29" s="108">
        <f>10^(0.1*AN29)</f>
        <v/>
      </c>
      <c r="BV29" s="106">
        <f>IF(R29&gt;0,(O29-R29),"")</f>
        <v/>
      </c>
      <c r="BW29" s="106">
        <f>IF(X29&gt;0,(O29-X29),"")</f>
        <v/>
      </c>
      <c r="BX29" s="106">
        <f>IF(AB29&gt;0,(O29-AB29),"")</f>
        <v/>
      </c>
      <c r="BY29" s="106">
        <f>IF(AF29&gt;0,(O29-AF29),"")</f>
        <v/>
      </c>
      <c r="BZ29" s="106">
        <f>IF(AJ29&gt;0,(O29-AJ29),"")</f>
        <v/>
      </c>
      <c r="CA29" s="106">
        <f>IF(AN29&gt;0,(O29-AN29),"")</f>
        <v/>
      </c>
      <c r="CB29" s="106">
        <f>COUNT(BV29:CA29)</f>
        <v/>
      </c>
      <c r="CC29" s="464">
        <f>IF(CB29=0,0,IF(CB29=1,0,1/(CB29*(CB29-1))))</f>
        <v/>
      </c>
      <c r="CD29" s="136">
        <f>IF(R29&gt;0,(BV29^2),"")</f>
        <v/>
      </c>
      <c r="CE29" s="136">
        <f>IF(X29&gt;0,(BW29^2),"")</f>
        <v/>
      </c>
      <c r="CF29" s="136">
        <f>IF(AB29&gt;0,(BX29^2),"")</f>
        <v/>
      </c>
      <c r="CG29" s="136">
        <f>IF(AF29&gt;0,(BY29^2),"")</f>
        <v/>
      </c>
      <c r="CH29" s="136">
        <f>IF(AJ29&gt;0,(BZ29^2),"")</f>
        <v/>
      </c>
      <c r="CI29" s="136">
        <f>IF(AN29&gt;0,(CA29^2),"")</f>
        <v/>
      </c>
    </row>
    <row r="30" ht="18.75" customHeight="1" s="444">
      <c r="A30" s="340" t="inlineStr">
        <is>
          <t>017/1254</t>
        </is>
      </c>
      <c r="B30" s="65" t="inlineStr">
        <is>
          <t>D5</t>
        </is>
      </c>
      <c r="C30" s="78" t="inlineStr">
        <is>
          <t>Molatura con mola piccola</t>
        </is>
      </c>
      <c r="D30" s="83" t="inlineStr">
        <is>
          <t>/</t>
        </is>
      </c>
      <c r="E30" s="83" t="inlineStr">
        <is>
          <t>/</t>
        </is>
      </c>
      <c r="F30" s="192" t="inlineStr">
        <is>
          <t>Molatura con mola piccola</t>
        </is>
      </c>
      <c r="G30" s="71" t="n">
        <v>45996</v>
      </c>
      <c r="H30" s="77" t="inlineStr">
        <is>
          <t>Compito</t>
        </is>
      </c>
      <c r="I30" s="77" t="n"/>
      <c r="J30" s="77">
        <f>IF((U30-R30)&gt;3,"SI","")</f>
        <v/>
      </c>
      <c r="K30" s="77" t="n"/>
      <c r="L30" s="77" t="n"/>
      <c r="M30" s="137">
        <f>IF(R30&gt;0,(SQRT(CC30*(SUM(CD30:CI30)))),"")</f>
        <v/>
      </c>
      <c r="N30" s="4">
        <f>IF(T30&gt;0,(MAX(T30,Z30,AD30,AH30,AL30,AP30))+SQRT(1.2^2+1^2),"")</f>
        <v/>
      </c>
      <c r="O30" s="3">
        <f>IF(R30="",0,10*LOG10(SUM(BP30:BU30)/(COUNT(R30,X30,AB30,AF30,AJ30,AN30))))</f>
        <v/>
      </c>
      <c r="P30" s="5">
        <f>IF(AND(Y30="",AC30="",AG30="",AK30="",AO30=""),S30,AVERAGE(S30,Y30,AC30,AG30,AK30,AO30)+STDEV(S30,Y30,AC30,AG30,AK30,AO30))</f>
        <v/>
      </c>
      <c r="Q30" s="14" t="n">
        <v>300</v>
      </c>
      <c r="R30" s="11" t="n">
        <v>98</v>
      </c>
      <c r="S30" s="12" t="n">
        <v>100.5</v>
      </c>
      <c r="T30" s="13" t="n">
        <v>118.3</v>
      </c>
      <c r="U30" s="79" t="n">
        <v>102.2</v>
      </c>
      <c r="V30" s="79" t="n">
        <v>103.9</v>
      </c>
      <c r="W30" s="10" t="n">
        <v>300</v>
      </c>
      <c r="X30" s="11" t="n">
        <v>96</v>
      </c>
      <c r="Y30" s="12" t="n">
        <v>98</v>
      </c>
      <c r="Z30" s="13" t="n">
        <v>112.3</v>
      </c>
      <c r="AA30" s="10" t="n">
        <v>300</v>
      </c>
      <c r="AB30" s="11" t="n">
        <v>94</v>
      </c>
      <c r="AC30" s="12" t="n">
        <v>94.3</v>
      </c>
      <c r="AD30" s="13" t="n">
        <v>99.09999999999999</v>
      </c>
      <c r="AE30" s="14" t="n">
        <v>300</v>
      </c>
      <c r="AF30" s="11" t="n">
        <v>95.90000000000001</v>
      </c>
      <c r="AG30" s="12" t="n">
        <v>94.40000000000001</v>
      </c>
      <c r="AH30" s="13" t="n">
        <v>113.4</v>
      </c>
      <c r="AI30" s="10" t="n">
        <v>300</v>
      </c>
      <c r="AJ30" s="11" t="n">
        <v>101.9</v>
      </c>
      <c r="AK30" s="12" t="n">
        <v>100.3</v>
      </c>
      <c r="AL30" s="13" t="n">
        <v>116.2</v>
      </c>
      <c r="AM30" s="10" t="n">
        <v>300</v>
      </c>
      <c r="AN30" s="11" t="n">
        <v>95.59999999999999</v>
      </c>
      <c r="AO30" s="12" t="n">
        <v>97.3</v>
      </c>
      <c r="AP30" s="13" t="n">
        <v>107.9</v>
      </c>
      <c r="AQ30" s="6">
        <f>IF(AND((O30)&lt;85,N30&lt;137),"NO","SI")</f>
        <v/>
      </c>
      <c r="AR30" s="7">
        <f>IF((480*(10^(7.95-(O30/10))))&lt;480,480*(10^(7.95-(O30/10))),480)</f>
        <v/>
      </c>
      <c r="AS30" s="8">
        <f>IF((480*(10^(8.45-(O30/10))))&lt;480,480*(10^(8.45-(O30/10))),480)</f>
        <v/>
      </c>
      <c r="AT30" s="9">
        <f>IF((480*(10^(8.65-(O30/10))))&lt;480,480*(10^(8.65-(O30/10))),480)</f>
        <v/>
      </c>
      <c r="AU30" s="151">
        <f>IF(O30&lt;80,"0",IF((P30-O30)&lt;=2,('DPI art.191'!$G$3-(('DPI art.191'!$F$3-'DPI art.191'!$G$3)/4)*(P30-O30-2)),('DPI art.191'!$G$3-(('DPI art.191'!$F$3-'DPI art.191'!$H$3)/8)*(P30-O30-2))))</f>
        <v/>
      </c>
      <c r="AV30" s="24">
        <f>O30-AU30</f>
        <v/>
      </c>
      <c r="AW30" s="24">
        <f>IF(N30&lt;135,N30,N30-'DPI art.191'!$I$3)</f>
        <v/>
      </c>
      <c r="AX30" s="111">
        <f>IF(O30&lt;80,"0",IF((P30-O30)&lt;=2,('DPI art.191'!$G$5-(('DPI art.191'!$F$5-'DPI art.191'!$G$5)/4)*(P30-O30-2)),('DPI art.191'!$G$5-(('DPI art.191'!$G$5-'DPI art.191'!$H$5)/8)*(P30-O30-2))))</f>
        <v/>
      </c>
      <c r="AY30" s="24">
        <f>O30-AX30</f>
        <v/>
      </c>
      <c r="AZ30" s="24">
        <f>IF(N30&lt;135,N30,N30-'DPI art.191'!$I$5)</f>
        <v/>
      </c>
      <c r="BA30" s="111">
        <f>IF(O30&lt;80,"0",IF((P30-O30)&lt;=2,('DPI art.191'!$G$7-(('DPI art.191'!$F$7-'DPI art.191'!$G$7)/4)*(P30-O30-2)),('DPI art.191'!$G$7-(('DPI art.191'!$G$7-'DPI art.191'!$H$7)/8)*(P30-O30-2))))</f>
        <v/>
      </c>
      <c r="BB30" s="24">
        <f>O30-BA30</f>
        <v/>
      </c>
      <c r="BC30" s="24">
        <f>IF(N30&lt;135,N30,N30-'DPI art.191'!$I$7)</f>
        <v/>
      </c>
      <c r="BD30" s="111">
        <f>IF(O30&lt;80,"0",IF((P30-O30)&lt;=2,('DPI art.191'!$G$9-(('DPI art.191'!$F$9-'DPI art.191'!$G$9)/4)*(O30-P30-2)),('DPI art.191'!$G$9-(('DPI art.191'!$G$9-'DPI art.191'!$H$9)/8)*(P30-O30-2))))</f>
        <v/>
      </c>
      <c r="BE30" s="24">
        <f>O30-BD30</f>
        <v/>
      </c>
      <c r="BF30" s="24">
        <f>IF(N30&lt;135,N30,N30-'DPI art.191'!$I$9)</f>
        <v/>
      </c>
      <c r="BG30" s="111">
        <f>IF(O30&lt;80,"0",IF((P30-O30)&lt;=2,('DPI art.191'!$G$11-(('DPI art.191'!$F$11-'DPI art.191'!$G$11)/4)*(P30-O30-2)),('DPI art.191'!$G$11-(('DPI art.191'!$G$11-'DPI art.191'!$H$11)/8)*(P30-O30-2))))</f>
        <v/>
      </c>
      <c r="BH30" s="24">
        <f>O30-BG30</f>
        <v/>
      </c>
      <c r="BI30" s="24">
        <f>IF(T30&lt;135,T30,T30-'DPI art.191'!$I$11)</f>
        <v/>
      </c>
      <c r="BJ30" s="111">
        <f>IF(O30&lt;80,"0",IF((P30-O30)&lt;=2,('DPI art.191'!$G$13-(('DPI art.191'!$F$13-'DPI art.191'!$G$13)/4)*(P30-O30-2)),('DPI art.191'!$G$13-(('DPI art.191'!$G$13-'DPI art.191'!$H$13)/8)*(P30-O30-2))))</f>
        <v/>
      </c>
      <c r="BK30" s="24">
        <f>O30-BJ30</f>
        <v/>
      </c>
      <c r="BL30" s="24">
        <f>IF(T30&lt;135,T30,T30-'DPI art.191'!$I$13)</f>
        <v/>
      </c>
      <c r="BM30" s="111">
        <f>IF(O30&lt;80,"0",IF((P30-O30)&lt;=2,('DPI art.191'!$G$15-(('DPI art.191'!$F$15-'DPI art.191'!$G$15)/4)*(P30-O30-2)),('DPI art.191'!$G$15-(('DPI art.191'!$G$15-'DPI art.191'!$H$15)/8)*(P30-O30-2))))</f>
        <v/>
      </c>
      <c r="BN30" s="24">
        <f>O30-BM30</f>
        <v/>
      </c>
      <c r="BO30" s="24">
        <f>IF(Z30&lt;135,Z30,Z30-'DPI art.191'!$I$15)</f>
        <v/>
      </c>
      <c r="BP30" s="108">
        <f>10^(0.1*R30)</f>
        <v/>
      </c>
      <c r="BQ30" s="108">
        <f>10^(0.1*X30)</f>
        <v/>
      </c>
      <c r="BR30" s="108">
        <f>10^(0.1*AB30)</f>
        <v/>
      </c>
      <c r="BS30" s="108">
        <f>10^(0.1*AF30)</f>
        <v/>
      </c>
      <c r="BT30" s="108">
        <f>10^(0.1*AJ30)</f>
        <v/>
      </c>
      <c r="BU30" s="108">
        <f>10^(0.1*AN30)</f>
        <v/>
      </c>
      <c r="BV30" s="106">
        <f>IF(R30&gt;0,(O30-R30),"")</f>
        <v/>
      </c>
      <c r="BW30" s="106">
        <f>IF(X30&gt;0,(O30-X30),"")</f>
        <v/>
      </c>
      <c r="BX30" s="106">
        <f>IF(AB30&gt;0,(O30-AB30),"")</f>
        <v/>
      </c>
      <c r="BY30" s="106">
        <f>IF(AF30&gt;0,(O30-AF30),"")</f>
        <v/>
      </c>
      <c r="BZ30" s="106">
        <f>IF(AJ30&gt;0,(O30-AJ30),"")</f>
        <v/>
      </c>
      <c r="CA30" s="106">
        <f>IF(AN30&gt;0,(O30-AN30),"")</f>
        <v/>
      </c>
      <c r="CB30" s="106">
        <f>COUNT(BV30:CA30)</f>
        <v/>
      </c>
      <c r="CC30" s="464">
        <f>IF(CB30=0,0,IF(CB30=1,0,1/(CB30*(CB30-1))))</f>
        <v/>
      </c>
      <c r="CD30" s="136">
        <f>IF(R30&gt;0,(BV30^2),"")</f>
        <v/>
      </c>
      <c r="CE30" s="136">
        <f>IF(X30&gt;0,(BW30^2),"")</f>
        <v/>
      </c>
      <c r="CF30" s="136">
        <f>IF(AB30&gt;0,(BX30^2),"")</f>
        <v/>
      </c>
      <c r="CG30" s="136">
        <f>IF(AF30&gt;0,(BY30^2),"")</f>
        <v/>
      </c>
      <c r="CH30" s="136">
        <f>IF(AJ30&gt;0,(BZ30^2),"")</f>
        <v/>
      </c>
      <c r="CI30" s="136">
        <f>IF(AN30&gt;0,(CA30^2),"")</f>
        <v/>
      </c>
    </row>
    <row r="31" ht="18.75" customHeight="1" s="444">
      <c r="A31" s="340" t="inlineStr">
        <is>
          <t>024/B/PRS702</t>
        </is>
      </c>
      <c r="B31" s="65" t="inlineStr">
        <is>
          <t>D6</t>
        </is>
      </c>
      <c r="C31" s="78" t="inlineStr">
        <is>
          <t>Saldatura</t>
        </is>
      </c>
      <c r="D31" s="83" t="inlineStr">
        <is>
          <t>/</t>
        </is>
      </c>
      <c r="E31" s="83" t="inlineStr">
        <is>
          <t>/</t>
        </is>
      </c>
      <c r="F31" s="192" t="inlineStr">
        <is>
          <t>Saldatura</t>
        </is>
      </c>
      <c r="G31" s="71" t="n">
        <v>45996</v>
      </c>
      <c r="H31" s="77" t="inlineStr">
        <is>
          <t>Compito</t>
        </is>
      </c>
      <c r="I31" s="77">
        <f>IF((V31-R31)&gt;3,"SI","")</f>
        <v/>
      </c>
      <c r="J31" s="77">
        <f>IF((U31-R31)&gt;3,"SI","")</f>
        <v/>
      </c>
      <c r="K31" s="77" t="n"/>
      <c r="L31" s="77" t="n"/>
      <c r="M31" s="137">
        <f>IF(R31&gt;0,(SQRT(CC31*(SUM(CD31:CI31)))),"")</f>
        <v/>
      </c>
      <c r="N31" s="4">
        <f>IF(T31&gt;0,(MAX(T31,Z31,AD31,AH31,AL31,AP31))+SQRT(1.2^2+1^2),"")</f>
        <v/>
      </c>
      <c r="O31" s="3">
        <f>IF(R31="",0,10*LOG10(SUM(BP31:BU31)/(COUNT(R31,X31,AB31,AF31,AJ31,AN31))))</f>
        <v/>
      </c>
      <c r="P31" s="5">
        <f>IF(AND(Y31="",AC31="",AG31="",AK31="",AO31=""),S31,AVERAGE(S31,Y31,AC31,AG31,AK31,AO31)+STDEV(S31,Y31,AC31,AG31,AK31,AO31))</f>
        <v/>
      </c>
      <c r="Q31" s="14" t="n">
        <v>300</v>
      </c>
      <c r="R31" s="11" t="n">
        <v>83.5</v>
      </c>
      <c r="S31" s="12" t="n">
        <v>84.90000000000001</v>
      </c>
      <c r="T31" s="13" t="n">
        <v>106.8</v>
      </c>
      <c r="U31" s="79" t="n">
        <v>83.5</v>
      </c>
      <c r="V31" s="79" t="n">
        <v>86.59999999999999</v>
      </c>
      <c r="W31" s="10" t="n">
        <v>300</v>
      </c>
      <c r="X31" s="11" t="n">
        <v>82.2</v>
      </c>
      <c r="Y31" s="12" t="n">
        <v>82.59999999999999</v>
      </c>
      <c r="Z31" s="13" t="n">
        <v>106.6</v>
      </c>
      <c r="AA31" s="10" t="n">
        <v>300</v>
      </c>
      <c r="AB31" s="11" t="n">
        <v>85.8</v>
      </c>
      <c r="AC31" s="12" t="n">
        <v>85.5</v>
      </c>
      <c r="AD31" s="13" t="n">
        <v>125.3</v>
      </c>
      <c r="AE31" s="14" t="n">
        <v>300</v>
      </c>
      <c r="AF31" s="11" t="n">
        <v>80.90000000000001</v>
      </c>
      <c r="AG31" s="12" t="n">
        <v>81.3</v>
      </c>
      <c r="AH31" s="13" t="n">
        <v>108.8</v>
      </c>
      <c r="AI31" s="10" t="n">
        <v>300</v>
      </c>
      <c r="AJ31" s="11" t="n">
        <v>77.7</v>
      </c>
      <c r="AK31" s="12" t="n">
        <v>78.59999999999999</v>
      </c>
      <c r="AL31" s="13" t="n">
        <v>103.3</v>
      </c>
      <c r="AM31" s="10" t="n">
        <v>300</v>
      </c>
      <c r="AN31" s="11" t="n">
        <v>74.90000000000001</v>
      </c>
      <c r="AO31" s="12" t="n">
        <v>77.7</v>
      </c>
      <c r="AP31" s="13" t="n">
        <v>98.2</v>
      </c>
      <c r="AQ31" s="6">
        <f>IF(AND((O31)&lt;85,N31&lt;137),"NO","SI")</f>
        <v/>
      </c>
      <c r="AR31" s="7">
        <f>IF((480*(10^(7.95-(O31/10))))&lt;480,480*(10^(7.95-(O31/10))),480)</f>
        <v/>
      </c>
      <c r="AS31" s="8">
        <f>IF((480*(10^(8.45-(O31/10))))&lt;480,480*(10^(8.45-(O31/10))),480)</f>
        <v/>
      </c>
      <c r="AT31" s="9">
        <f>IF((480*(10^(8.65-(O31/10))))&lt;480,480*(10^(8.65-(O31/10))),480)</f>
        <v/>
      </c>
      <c r="AU31" s="151">
        <f>IF(O31&lt;80,"0",IF((P31-O31)&lt;=2,('DPI art.191'!$G$3-(('DPI art.191'!$F$3-'DPI art.191'!$G$3)/4)*(P31-O31-2)),('DPI art.191'!$G$3-(('DPI art.191'!$F$3-'DPI art.191'!$H$3)/8)*(P31-O31-2))))</f>
        <v/>
      </c>
      <c r="AV31" s="24">
        <f>O31-AU31</f>
        <v/>
      </c>
      <c r="AW31" s="24">
        <f>IF(N31&lt;135,N31,N31-'DPI art.191'!$I$3)</f>
        <v/>
      </c>
      <c r="AX31" s="111">
        <f>IF(O31&lt;80,"0",IF((P31-O31)&lt;=2,('DPI art.191'!$G$5-(('DPI art.191'!$F$5-'DPI art.191'!$G$5)/4)*(P31-O31-2)),('DPI art.191'!$G$5-(('DPI art.191'!$G$5-'DPI art.191'!$H$5)/8)*(P31-O31-2))))</f>
        <v/>
      </c>
      <c r="AY31" s="24">
        <f>O31-AX31</f>
        <v/>
      </c>
      <c r="AZ31" s="24">
        <f>IF(N31&lt;135,N31,N31-'DPI art.191'!$I$5)</f>
        <v/>
      </c>
      <c r="BA31" s="111">
        <f>IF(O31&lt;80,"0",IF((P31-O31)&lt;=2,('DPI art.191'!$G$7-(('DPI art.191'!$F$7-'DPI art.191'!$G$7)/4)*(P31-O31-2)),('DPI art.191'!$G$7-(('DPI art.191'!$G$7-'DPI art.191'!$H$7)/8)*(P31-O31-2))))</f>
        <v/>
      </c>
      <c r="BB31" s="24">
        <f>O31-BA31</f>
        <v/>
      </c>
      <c r="BC31" s="24">
        <f>IF(N31&lt;135,N31,N31-'DPI art.191'!$I$7)</f>
        <v/>
      </c>
      <c r="BD31" s="111">
        <f>IF(O31&lt;80,"0",IF((P31-O31)&lt;=2,('DPI art.191'!$G$9-(('DPI art.191'!$F$9-'DPI art.191'!$G$9)/4)*(O31-P31-2)),('DPI art.191'!$G$9-(('DPI art.191'!$G$9-'DPI art.191'!$H$9)/8)*(P31-O31-2))))</f>
        <v/>
      </c>
      <c r="BE31" s="24">
        <f>O31-BD31</f>
        <v/>
      </c>
      <c r="BF31" s="24">
        <f>IF(N31&lt;135,N31,N31-'DPI art.191'!$I$9)</f>
        <v/>
      </c>
      <c r="BG31" s="111">
        <f>IF(O31&lt;80,"0",IF((P31-O31)&lt;=2,('DPI art.191'!$G$11-(('DPI art.191'!$F$11-'DPI art.191'!$G$11)/4)*(P31-O31-2)),('DPI art.191'!$G$11-(('DPI art.191'!$G$11-'DPI art.191'!$H$11)/8)*(P31-O31-2))))</f>
        <v/>
      </c>
      <c r="BH31" s="24">
        <f>O31-BG31</f>
        <v/>
      </c>
      <c r="BI31" s="24">
        <f>IF(T31&lt;135,T31,T31-'DPI art.191'!$I$11)</f>
        <v/>
      </c>
      <c r="BJ31" s="111">
        <f>IF(O31&lt;80,"0",IF((P31-O31)&lt;=2,('DPI art.191'!$G$13-(('DPI art.191'!$F$13-'DPI art.191'!$G$13)/4)*(P31-O31-2)),('DPI art.191'!$G$13-(('DPI art.191'!$G$13-'DPI art.191'!$H$13)/8)*(P31-O31-2))))</f>
        <v/>
      </c>
      <c r="BK31" s="24">
        <f>O31-BJ31</f>
        <v/>
      </c>
      <c r="BL31" s="24">
        <f>IF(T31&lt;135,T31,T31-'DPI art.191'!$I$13)</f>
        <v/>
      </c>
      <c r="BM31" s="111">
        <f>IF(O31&lt;80,"0",IF((P31-O31)&lt;=2,('DPI art.191'!$G$15-(('DPI art.191'!$F$15-'DPI art.191'!$G$15)/4)*(P31-O31-2)),('DPI art.191'!$G$15-(('DPI art.191'!$G$15-'DPI art.191'!$H$15)/8)*(P31-O31-2))))</f>
        <v/>
      </c>
      <c r="BN31" s="24">
        <f>O31-BM31</f>
        <v/>
      </c>
      <c r="BO31" s="24">
        <f>IF(Z31&lt;135,Z31,Z31-'DPI art.191'!$I$15)</f>
        <v/>
      </c>
      <c r="BP31" s="108">
        <f>10^(0.1*R31)</f>
        <v/>
      </c>
      <c r="BQ31" s="108">
        <f>10^(0.1*X31)</f>
        <v/>
      </c>
      <c r="BR31" s="108">
        <f>10^(0.1*AB31)</f>
        <v/>
      </c>
      <c r="BS31" s="108">
        <f>10^(0.1*AF31)</f>
        <v/>
      </c>
      <c r="BT31" s="108">
        <f>10^(0.1*AJ31)</f>
        <v/>
      </c>
      <c r="BU31" s="108">
        <f>10^(0.1*AN31)</f>
        <v/>
      </c>
      <c r="BV31" s="106">
        <f>IF(R31&gt;0,(O31-R31),"")</f>
        <v/>
      </c>
      <c r="BW31" s="106">
        <f>IF(X31&gt;0,(O31-X31),"")</f>
        <v/>
      </c>
      <c r="BX31" s="106">
        <f>IF(AB31&gt;0,(O31-AB31),"")</f>
        <v/>
      </c>
      <c r="BY31" s="106">
        <f>IF(AF31&gt;0,(O31-AF31),"")</f>
        <v/>
      </c>
      <c r="BZ31" s="106">
        <f>IF(AJ31&gt;0,(O31-AJ31),"")</f>
        <v/>
      </c>
      <c r="CA31" s="106">
        <f>IF(AN31&gt;0,(O31-AN31),"")</f>
        <v/>
      </c>
      <c r="CB31" s="106">
        <f>COUNT(BV31:CA31)</f>
        <v/>
      </c>
      <c r="CC31" s="464">
        <f>IF(CB31=0,0,IF(CB31=1,0,1/(CB31*(CB31-1))))</f>
        <v/>
      </c>
      <c r="CD31" s="136">
        <f>IF(R31&gt;0,(BV31^2),"")</f>
        <v/>
      </c>
      <c r="CE31" s="136">
        <f>IF(X31&gt;0,(BW31^2),"")</f>
        <v/>
      </c>
      <c r="CF31" s="136">
        <f>IF(AB31&gt;0,(BX31^2),"")</f>
        <v/>
      </c>
      <c r="CG31" s="136">
        <f>IF(AF31&gt;0,(BY31^2),"")</f>
        <v/>
      </c>
      <c r="CH31" s="136">
        <f>IF(AJ31&gt;0,(BZ31^2),"")</f>
        <v/>
      </c>
      <c r="CI31" s="136">
        <f>IF(AN31&gt;0,(CA31^2),"")</f>
        <v/>
      </c>
    </row>
    <row r="32" ht="25.5" customHeight="1" s="444">
      <c r="A32" s="340" t="inlineStr">
        <is>
          <t>252/05</t>
        </is>
      </c>
      <c r="B32" s="65" t="inlineStr">
        <is>
          <t>D7</t>
        </is>
      </c>
      <c r="C32" s="78" t="inlineStr">
        <is>
          <t>Calandratura con indotto attività di montaggio</t>
        </is>
      </c>
      <c r="D32" s="83" t="inlineStr">
        <is>
          <t>/</t>
        </is>
      </c>
      <c r="E32" s="83" t="inlineStr">
        <is>
          <t>/</t>
        </is>
      </c>
      <c r="F32" s="192" t="inlineStr">
        <is>
          <t>Calandratura</t>
        </is>
      </c>
      <c r="G32" s="71" t="n">
        <v>45996</v>
      </c>
      <c r="H32" s="77" t="inlineStr">
        <is>
          <t>Compito</t>
        </is>
      </c>
      <c r="I32" s="77">
        <f>IF((V32-R32)&gt;3,"SI","")</f>
        <v/>
      </c>
      <c r="J32" s="77">
        <f>IF((U32-R32)&gt;3,"SI","")</f>
        <v/>
      </c>
      <c r="K32" s="77" t="n"/>
      <c r="L32" s="77" t="n"/>
      <c r="M32" s="137">
        <f>IF(R32&gt;0,(SQRT(CC32*(SUM(CD32:CI32)))),"")</f>
        <v/>
      </c>
      <c r="N32" s="4">
        <f>IF(T32&gt;0,(MAX(T32,Z32,AD32,AH32,AL32,AP32))+SQRT(1.2^2+1^2),"")</f>
        <v/>
      </c>
      <c r="O32" s="3">
        <f>IF(R32="",0,10*LOG10(SUM(BP32:BU32)/(COUNT(R32,X32,AB32,AF32,AJ32,AN32))))</f>
        <v/>
      </c>
      <c r="P32" s="5">
        <f>IF(AND(Y32="",AC32="",AG32="",AK32="",AO32=""),S32,AVERAGE(S32,Y32,AC32,AG32,AK32,AO32)+STDEV(S32,Y32,AC32,AG32,AK32,AO32))</f>
        <v/>
      </c>
      <c r="Q32" s="14" t="n">
        <v>300</v>
      </c>
      <c r="R32" s="11" t="n">
        <v>83.5</v>
      </c>
      <c r="S32" s="12" t="n">
        <v>83.7</v>
      </c>
      <c r="T32" s="13" t="n">
        <v>107.3</v>
      </c>
      <c r="U32" s="79" t="n">
        <v>83.40000000000001</v>
      </c>
      <c r="V32" s="79" t="n">
        <v>90.40000000000001</v>
      </c>
      <c r="W32" s="10" t="n">
        <v>300</v>
      </c>
      <c r="X32" s="11" t="n">
        <v>84.59999999999999</v>
      </c>
      <c r="Y32" s="12" t="n">
        <v>84.7</v>
      </c>
      <c r="Z32" s="13" t="n">
        <v>104.1</v>
      </c>
      <c r="AA32" s="10" t="n">
        <v>300</v>
      </c>
      <c r="AB32" s="11" t="n">
        <v>88.59999999999999</v>
      </c>
      <c r="AC32" s="12" t="n">
        <v>88.40000000000001</v>
      </c>
      <c r="AD32" s="13" t="n">
        <v>125.7</v>
      </c>
      <c r="AE32" s="14" t="n">
        <v>300</v>
      </c>
      <c r="AF32" s="11" t="n">
        <v>90.90000000000001</v>
      </c>
      <c r="AG32" s="12" t="n">
        <v>91.2</v>
      </c>
      <c r="AH32" s="13" t="n">
        <v>122.8</v>
      </c>
      <c r="AI32" s="10" t="n">
        <v>300</v>
      </c>
      <c r="AJ32" s="11" t="n">
        <v>88.5</v>
      </c>
      <c r="AK32" s="12" t="n">
        <v>88.7</v>
      </c>
      <c r="AL32" s="13" t="n">
        <v>124.6</v>
      </c>
      <c r="AM32" s="10" t="n">
        <v>300</v>
      </c>
      <c r="AN32" s="11" t="n">
        <v>85.5</v>
      </c>
      <c r="AO32" s="12" t="n">
        <v>84.8</v>
      </c>
      <c r="AP32" s="13" t="n">
        <v>107.2</v>
      </c>
      <c r="AQ32" s="6">
        <f>IF(AND((O32)&lt;85,N32&lt;137),"NO","SI")</f>
        <v/>
      </c>
      <c r="AR32" s="7">
        <f>IF((480*(10^(7.95-(O32/10))))&lt;480,480*(10^(7.95-(O32/10))),480)</f>
        <v/>
      </c>
      <c r="AS32" s="8">
        <f>IF((480*(10^(8.45-(O32/10))))&lt;480,480*(10^(8.45-(O32/10))),480)</f>
        <v/>
      </c>
      <c r="AT32" s="9">
        <f>IF((480*(10^(8.65-(O32/10))))&lt;480,480*(10^(8.65-(O32/10))),480)</f>
        <v/>
      </c>
      <c r="AU32" s="151">
        <f>IF(O32&lt;80,"0",IF((P32-O32)&lt;=2,('DPI art.191'!$G$3-(('DPI art.191'!$F$3-'DPI art.191'!$G$3)/4)*(P32-O32-2)),('DPI art.191'!$G$3-(('DPI art.191'!$F$3-'DPI art.191'!$H$3)/8)*(P32-O32-2))))</f>
        <v/>
      </c>
      <c r="AV32" s="24">
        <f>O32-AU32</f>
        <v/>
      </c>
      <c r="AW32" s="24">
        <f>IF(N32&lt;135,N32,N32-'DPI art.191'!$I$3)</f>
        <v/>
      </c>
      <c r="AX32" s="111">
        <f>IF(O32&lt;80,"0",IF((P32-O32)&lt;=2,('DPI art.191'!$G$5-(('DPI art.191'!$F$5-'DPI art.191'!$G$5)/4)*(P32-O32-2)),('DPI art.191'!$G$5-(('DPI art.191'!$G$5-'DPI art.191'!$H$5)/8)*(P32-O32-2))))</f>
        <v/>
      </c>
      <c r="AY32" s="24">
        <f>O32-AX32</f>
        <v/>
      </c>
      <c r="AZ32" s="24">
        <f>IF(N32&lt;135,N32,N32-'DPI art.191'!$I$5)</f>
        <v/>
      </c>
      <c r="BA32" s="111">
        <f>IF(O32&lt;80,"0",IF((P32-O32)&lt;=2,('DPI art.191'!$G$7-(('DPI art.191'!$F$7-'DPI art.191'!$G$7)/4)*(P32-O32-2)),('DPI art.191'!$G$7-(('DPI art.191'!$G$7-'DPI art.191'!$H$7)/8)*(P32-O32-2))))</f>
        <v/>
      </c>
      <c r="BB32" s="24">
        <f>O32-BA32</f>
        <v/>
      </c>
      <c r="BC32" s="24">
        <f>IF(N32&lt;135,N32,N32-'DPI art.191'!$I$7)</f>
        <v/>
      </c>
      <c r="BD32" s="111">
        <f>IF(O32&lt;80,"0",IF((P32-O32)&lt;=2,('DPI art.191'!$G$9-(('DPI art.191'!$F$9-'DPI art.191'!$G$9)/4)*(O32-P32-2)),('DPI art.191'!$G$9-(('DPI art.191'!$G$9-'DPI art.191'!$H$9)/8)*(P32-O32-2))))</f>
        <v/>
      </c>
      <c r="BE32" s="24">
        <f>O32-BD32</f>
        <v/>
      </c>
      <c r="BF32" s="24">
        <f>IF(N32&lt;135,N32,N32-'DPI art.191'!$I$9)</f>
        <v/>
      </c>
      <c r="BG32" s="111">
        <f>IF(O32&lt;80,"0",IF((P32-O32)&lt;=2,('DPI art.191'!$G$11-(('DPI art.191'!$F$11-'DPI art.191'!$G$11)/4)*(P32-O32-2)),('DPI art.191'!$G$11-(('DPI art.191'!$G$11-'DPI art.191'!$H$11)/8)*(P32-O32-2))))</f>
        <v/>
      </c>
      <c r="BH32" s="24">
        <f>O32-BG32</f>
        <v/>
      </c>
      <c r="BI32" s="24">
        <f>IF(T32&lt;135,T32,T32-'DPI art.191'!$I$11)</f>
        <v/>
      </c>
      <c r="BJ32" s="111">
        <f>IF(O32&lt;80,"0",IF((P32-O32)&lt;=2,('DPI art.191'!$G$13-(('DPI art.191'!$F$13-'DPI art.191'!$G$13)/4)*(P32-O32-2)),('DPI art.191'!$G$13-(('DPI art.191'!$G$13-'DPI art.191'!$H$13)/8)*(P32-O32-2))))</f>
        <v/>
      </c>
      <c r="BK32" s="24">
        <f>O32-BJ32</f>
        <v/>
      </c>
      <c r="BL32" s="24">
        <f>IF(T32&lt;135,T32,T32-'DPI art.191'!$I$13)</f>
        <v/>
      </c>
      <c r="BM32" s="111">
        <f>IF(O32&lt;80,"0",IF((P32-O32)&lt;=2,('DPI art.191'!$G$15-(('DPI art.191'!$F$15-'DPI art.191'!$G$15)/4)*(P32-O32-2)),('DPI art.191'!$G$15-(('DPI art.191'!$G$15-'DPI art.191'!$H$15)/8)*(P32-O32-2))))</f>
        <v/>
      </c>
      <c r="BN32" s="24">
        <f>O32-BM32</f>
        <v/>
      </c>
      <c r="BO32" s="24">
        <f>IF(Z32&lt;135,Z32,Z32-'DPI art.191'!$I$15)</f>
        <v/>
      </c>
      <c r="BP32" s="108">
        <f>10^(0.1*R32)</f>
        <v/>
      </c>
      <c r="BQ32" s="108">
        <f>10^(0.1*X32)</f>
        <v/>
      </c>
      <c r="BR32" s="108">
        <f>10^(0.1*AB32)</f>
        <v/>
      </c>
      <c r="BS32" s="108">
        <f>10^(0.1*AF32)</f>
        <v/>
      </c>
      <c r="BT32" s="108">
        <f>10^(0.1*AJ32)</f>
        <v/>
      </c>
      <c r="BU32" s="108">
        <f>10^(0.1*AN32)</f>
        <v/>
      </c>
      <c r="BV32" s="106">
        <f>IF(R32&gt;0,(O32-R32),"")</f>
        <v/>
      </c>
      <c r="BW32" s="106">
        <f>IF(X32&gt;0,(O32-X32),"")</f>
        <v/>
      </c>
      <c r="BX32" s="106">
        <f>IF(AB32&gt;0,(O32-AB32),"")</f>
        <v/>
      </c>
      <c r="BY32" s="106">
        <f>IF(AF32&gt;0,(O32-AF32),"")</f>
        <v/>
      </c>
      <c r="BZ32" s="106">
        <f>IF(AJ32&gt;0,(O32-AJ32),"")</f>
        <v/>
      </c>
      <c r="CA32" s="106">
        <f>IF(AN32&gt;0,(O32-AN32),"")</f>
        <v/>
      </c>
      <c r="CB32" s="106">
        <f>COUNT(BV32:CA32)</f>
        <v/>
      </c>
      <c r="CC32" s="464">
        <f>IF(CB32=0,0,IF(CB32=1,0,1/(CB32*(CB32-1))))</f>
        <v/>
      </c>
      <c r="CD32" s="136">
        <f>IF(R32&gt;0,(BV32^2),"")</f>
        <v/>
      </c>
      <c r="CE32" s="136">
        <f>IF(X32&gt;0,(BW32^2),"")</f>
        <v/>
      </c>
      <c r="CF32" s="136">
        <f>IF(AB32&gt;0,(BX32^2),"")</f>
        <v/>
      </c>
      <c r="CG32" s="136">
        <f>IF(AF32&gt;0,(BY32^2),"")</f>
        <v/>
      </c>
      <c r="CH32" s="136">
        <f>IF(AJ32&gt;0,(BZ32^2),"")</f>
        <v/>
      </c>
      <c r="CI32" s="136">
        <f>IF(AN32&gt;0,(CA32^2),"")</f>
        <v/>
      </c>
    </row>
    <row r="33" ht="18.75" customHeight="1" s="444">
      <c r="A33" s="340" t="inlineStr">
        <is>
          <t>257/01</t>
        </is>
      </c>
      <c r="B33" s="65" t="inlineStr">
        <is>
          <t>D8</t>
        </is>
      </c>
      <c r="C33" s="78" t="inlineStr">
        <is>
          <t>Punzonatura</t>
        </is>
      </c>
      <c r="D33" s="83" t="inlineStr">
        <is>
          <t>/</t>
        </is>
      </c>
      <c r="E33" s="83" t="inlineStr">
        <is>
          <t>/</t>
        </is>
      </c>
      <c r="F33" s="192" t="inlineStr">
        <is>
          <t>Punzonatura</t>
        </is>
      </c>
      <c r="G33" s="71" t="n">
        <v>45996</v>
      </c>
      <c r="H33" s="77" t="inlineStr">
        <is>
          <t>Compito</t>
        </is>
      </c>
      <c r="I33" s="77">
        <f>IF((V33-R33)&gt;3,"SI","")</f>
        <v/>
      </c>
      <c r="J33" s="77" t="inlineStr">
        <is>
          <t>SI</t>
        </is>
      </c>
      <c r="K33" s="77" t="n"/>
      <c r="L33" s="77" t="n"/>
      <c r="M33" s="137">
        <f>IF(R33&gt;0,(SQRT(CC33*(SUM(CD33:CI33)))),"")</f>
        <v/>
      </c>
      <c r="N33" s="4">
        <f>IF(T33&gt;0,(MAX(T33,Z33,AD33,AH33,AL33,AP33))+SQRT(1.2^2+1^2),"")</f>
        <v/>
      </c>
      <c r="O33" s="3">
        <f>IF(R33="",0,10*LOG10(SUM(BP33:BU33)/(COUNT(R33,X33,AB33,AF33,AJ33,AN33))))</f>
        <v/>
      </c>
      <c r="P33" s="5">
        <f>IF(AND(Y33="",AC33="",AG33="",AK33="",AO33=""),S33,AVERAGE(S33,Y33,AC33,AG33,AK33,AO33)+STDEV(S33,Y33,AC33,AG33,AK33,AO33))</f>
        <v/>
      </c>
      <c r="Q33" s="14" t="n">
        <v>300</v>
      </c>
      <c r="R33" s="11" t="n">
        <v>83.5</v>
      </c>
      <c r="S33" s="12" t="n">
        <v>83.90000000000001</v>
      </c>
      <c r="T33" s="13" t="n">
        <v>110.4</v>
      </c>
      <c r="U33" s="79" t="n">
        <v>83.5</v>
      </c>
      <c r="V33" s="79" t="n">
        <v>86.5</v>
      </c>
      <c r="W33" s="10" t="n">
        <v>300</v>
      </c>
      <c r="X33" s="11" t="n">
        <v>84</v>
      </c>
      <c r="Y33" s="12" t="n">
        <v>84.3</v>
      </c>
      <c r="Z33" s="13" t="n">
        <v>103.7</v>
      </c>
      <c r="AA33" s="10" t="n">
        <v>300</v>
      </c>
      <c r="AB33" s="11" t="n">
        <v>85</v>
      </c>
      <c r="AC33" s="12" t="n">
        <v>85.09999999999999</v>
      </c>
      <c r="AD33" s="13" t="n">
        <v>116.6</v>
      </c>
      <c r="AE33" s="14" t="n">
        <v>300</v>
      </c>
      <c r="AF33" s="11" t="n">
        <v>82.59999999999999</v>
      </c>
      <c r="AG33" s="12" t="n">
        <v>82.90000000000001</v>
      </c>
      <c r="AH33" s="13" t="n">
        <v>109.2</v>
      </c>
      <c r="AI33" s="10" t="n">
        <v>300</v>
      </c>
      <c r="AJ33" s="11" t="n">
        <v>84.7</v>
      </c>
      <c r="AK33" s="12" t="n">
        <v>84.3</v>
      </c>
      <c r="AL33" s="13" t="n">
        <v>108.9</v>
      </c>
      <c r="AM33" s="10" t="n">
        <v>300</v>
      </c>
      <c r="AN33" s="11" t="n">
        <v>84.59999999999999</v>
      </c>
      <c r="AO33" s="12" t="n">
        <v>84.3</v>
      </c>
      <c r="AP33" s="13" t="n">
        <v>108.2</v>
      </c>
      <c r="AQ33" s="6">
        <f>IF(AND((O33)&lt;85,N33&lt;137),"NO","SI")</f>
        <v/>
      </c>
      <c r="AR33" s="7">
        <f>IF((480*(10^(7.95-(O33/10))))&lt;480,480*(10^(7.95-(O33/10))),480)</f>
        <v/>
      </c>
      <c r="AS33" s="8">
        <f>IF((480*(10^(8.45-(O33/10))))&lt;480,480*(10^(8.45-(O33/10))),480)</f>
        <v/>
      </c>
      <c r="AT33" s="9">
        <f>IF((480*(10^(8.65-(O33/10))))&lt;480,480*(10^(8.65-(O33/10))),480)</f>
        <v/>
      </c>
      <c r="AU33" s="151">
        <f>IF(O33&lt;80,"0",IF((P33-O33)&lt;=2,('DPI art.191'!$G$3-(('DPI art.191'!$F$3-'DPI art.191'!$G$3)/4)*(P33-O33-2)),('DPI art.191'!$G$3-(('DPI art.191'!$F$3-'DPI art.191'!$H$3)/8)*(P33-O33-2))))</f>
        <v/>
      </c>
      <c r="AV33" s="24">
        <f>O33-AU33</f>
        <v/>
      </c>
      <c r="AW33" s="24">
        <f>IF(N33&lt;135,N33,N33-'DPI art.191'!$I$3)</f>
        <v/>
      </c>
      <c r="AX33" s="111">
        <f>IF(O33&lt;80,"0",IF((P33-O33)&lt;=2,('DPI art.191'!$G$5-(('DPI art.191'!$F$5-'DPI art.191'!$G$5)/4)*(P33-O33-2)),('DPI art.191'!$G$5-(('DPI art.191'!$G$5-'DPI art.191'!$H$5)/8)*(P33-O33-2))))</f>
        <v/>
      </c>
      <c r="AY33" s="24">
        <f>O33-AX33</f>
        <v/>
      </c>
      <c r="AZ33" s="24">
        <f>IF(N33&lt;135,N33,N33-'DPI art.191'!$I$5)</f>
        <v/>
      </c>
      <c r="BA33" s="111">
        <f>IF(O33&lt;80,"0",IF((P33-O33)&lt;=2,('DPI art.191'!$G$7-(('DPI art.191'!$F$7-'DPI art.191'!$G$7)/4)*(P33-O33-2)),('DPI art.191'!$G$7-(('DPI art.191'!$G$7-'DPI art.191'!$H$7)/8)*(P33-O33-2))))</f>
        <v/>
      </c>
      <c r="BB33" s="24">
        <f>O33-BA33</f>
        <v/>
      </c>
      <c r="BC33" s="24">
        <f>IF(N33&lt;135,N33,N33-'DPI art.191'!$I$7)</f>
        <v/>
      </c>
      <c r="BD33" s="111">
        <f>IF(O33&lt;80,"0",IF((P33-O33)&lt;=2,('DPI art.191'!$G$9-(('DPI art.191'!$F$9-'DPI art.191'!$G$9)/4)*(O33-P33-2)),('DPI art.191'!$G$9-(('DPI art.191'!$G$9-'DPI art.191'!$H$9)/8)*(P33-O33-2))))</f>
        <v/>
      </c>
      <c r="BE33" s="24">
        <f>O33-BD33</f>
        <v/>
      </c>
      <c r="BF33" s="24">
        <f>IF(N33&lt;135,N33,N33-'DPI art.191'!$I$9)</f>
        <v/>
      </c>
      <c r="BG33" s="111">
        <f>IF(O33&lt;80,"0",IF((P33-O33)&lt;=2,('DPI art.191'!$G$11-(('DPI art.191'!$F$11-'DPI art.191'!$G$11)/4)*(P33-O33-2)),('DPI art.191'!$G$11-(('DPI art.191'!$G$11-'DPI art.191'!$H$11)/8)*(P33-O33-2))))</f>
        <v/>
      </c>
      <c r="BH33" s="24">
        <f>O33-BG33</f>
        <v/>
      </c>
      <c r="BI33" s="24">
        <f>IF(T33&lt;135,T33,T33-'DPI art.191'!$I$11)</f>
        <v/>
      </c>
      <c r="BJ33" s="111">
        <f>IF(O33&lt;80,"0",IF((P33-O33)&lt;=2,('DPI art.191'!$G$13-(('DPI art.191'!$F$13-'DPI art.191'!$G$13)/4)*(P33-O33-2)),('DPI art.191'!$G$13-(('DPI art.191'!$G$13-'DPI art.191'!$H$13)/8)*(P33-O33-2))))</f>
        <v/>
      </c>
      <c r="BK33" s="24">
        <f>O33-BJ33</f>
        <v/>
      </c>
      <c r="BL33" s="24">
        <f>IF(T33&lt;135,T33,T33-'DPI art.191'!$I$13)</f>
        <v/>
      </c>
      <c r="BM33" s="111">
        <f>IF(O33&lt;80,"0",IF((P33-O33)&lt;=2,('DPI art.191'!$G$15-(('DPI art.191'!$F$15-'DPI art.191'!$G$15)/4)*(P33-O33-2)),('DPI art.191'!$G$15-(('DPI art.191'!$G$15-'DPI art.191'!$H$15)/8)*(P33-O33-2))))</f>
        <v/>
      </c>
      <c r="BN33" s="24">
        <f>O33-BM33</f>
        <v/>
      </c>
      <c r="BO33" s="24">
        <f>IF(Z33&lt;135,Z33,Z33-'DPI art.191'!$I$15)</f>
        <v/>
      </c>
      <c r="BP33" s="108">
        <f>10^(0.1*R33)</f>
        <v/>
      </c>
      <c r="BQ33" s="108">
        <f>10^(0.1*X33)</f>
        <v/>
      </c>
      <c r="BR33" s="108">
        <f>10^(0.1*AB33)</f>
        <v/>
      </c>
      <c r="BS33" s="108">
        <f>10^(0.1*AF33)</f>
        <v/>
      </c>
      <c r="BT33" s="108">
        <f>10^(0.1*AJ33)</f>
        <v/>
      </c>
      <c r="BU33" s="108">
        <f>10^(0.1*AN33)</f>
        <v/>
      </c>
      <c r="BV33" s="106">
        <f>IF(R33&gt;0,(O33-R33),"")</f>
        <v/>
      </c>
      <c r="BW33" s="106">
        <f>IF(X33&gt;0,(O33-X33),"")</f>
        <v/>
      </c>
      <c r="BX33" s="106">
        <f>IF(AB33&gt;0,(O33-AB33),"")</f>
        <v/>
      </c>
      <c r="BY33" s="106">
        <f>IF(AF33&gt;0,(O33-AF33),"")</f>
        <v/>
      </c>
      <c r="BZ33" s="106">
        <f>IF(AJ33&gt;0,(O33-AJ33),"")</f>
        <v/>
      </c>
      <c r="CA33" s="106">
        <f>IF(AN33&gt;0,(O33-AN33),"")</f>
        <v/>
      </c>
      <c r="CB33" s="106">
        <f>COUNT(BV33:CA33)</f>
        <v/>
      </c>
      <c r="CC33" s="464">
        <f>IF(CB33=0,0,IF(CB33=1,0,1/(CB33*(CB33-1))))</f>
        <v/>
      </c>
      <c r="CD33" s="136">
        <f>IF(R33&gt;0,(BV33^2),"")</f>
        <v/>
      </c>
      <c r="CE33" s="136">
        <f>IF(X33&gt;0,(BW33^2),"")</f>
        <v/>
      </c>
      <c r="CF33" s="136">
        <f>IF(AB33&gt;0,(BX33^2),"")</f>
        <v/>
      </c>
      <c r="CG33" s="136">
        <f>IF(AF33&gt;0,(BY33^2),"")</f>
        <v/>
      </c>
      <c r="CH33" s="136">
        <f>IF(AJ33&gt;0,(BZ33^2),"")</f>
        <v/>
      </c>
      <c r="CI33" s="136">
        <f>IF(AN33&gt;0,(CA33^2),"")</f>
        <v/>
      </c>
    </row>
    <row r="34" ht="18.75" customHeight="1" s="444">
      <c r="A34" s="340" t="inlineStr">
        <is>
          <t>Gualdo 1</t>
        </is>
      </c>
      <c r="B34" s="65" t="inlineStr">
        <is>
          <t>D9</t>
        </is>
      </c>
      <c r="C34" s="78" t="inlineStr">
        <is>
          <t>Movimentazioni esterne</t>
        </is>
      </c>
      <c r="D34" s="83" t="inlineStr">
        <is>
          <t>/</t>
        </is>
      </c>
      <c r="E34" s="83" t="inlineStr">
        <is>
          <t>/</t>
        </is>
      </c>
      <c r="F34" s="78" t="inlineStr">
        <is>
          <t>Movimentazioni esterne</t>
        </is>
      </c>
      <c r="G34" s="71" t="n">
        <v>45996</v>
      </c>
      <c r="H34" s="77" t="inlineStr">
        <is>
          <t>Compito</t>
        </is>
      </c>
      <c r="I34" s="77">
        <f>IF((V34-R34)&gt;3,"SI","")</f>
        <v/>
      </c>
      <c r="J34" s="77">
        <f>IF((U34-R34)&gt;3,"SI","")</f>
        <v/>
      </c>
      <c r="K34" s="77" t="n"/>
      <c r="L34" s="77" t="n"/>
      <c r="M34" s="137">
        <f>IF(R34&gt;0,(SQRT(CC34*(SUM(CD34:CI34)))),"")</f>
        <v/>
      </c>
      <c r="N34" s="4">
        <f>IF(T34&gt;0,(MAX(T34,Z34,AD34,AH34,AL34,AP34))+SQRT(1.2^2+1^2),"")</f>
        <v/>
      </c>
      <c r="O34" s="3">
        <f>IF(R34="",0,10*LOG10(SUM(BP34:BU34)/(COUNT(R34,X34,AB34,AF34,AJ34,AN34))))</f>
        <v/>
      </c>
      <c r="P34" s="5">
        <f>IF(AND(Y34="",AC34="",AG34="",AK34="",AO34=""),S34,AVERAGE(S34,Y34,AC34,AG34,AK34,AO34)+STDEV(S34,Y34,AC34,AG34,AK34,AO34))</f>
        <v/>
      </c>
      <c r="Q34" s="14" t="n">
        <v>300</v>
      </c>
      <c r="R34" s="11" t="n">
        <v>68.5</v>
      </c>
      <c r="S34" s="12" t="n">
        <v>81.3</v>
      </c>
      <c r="T34" s="13" t="n">
        <v>98.09999999999999</v>
      </c>
      <c r="U34" s="79" t="n">
        <v>68.5</v>
      </c>
      <c r="V34" s="79" t="n">
        <v>71.7</v>
      </c>
      <c r="W34" s="10" t="n">
        <v>300</v>
      </c>
      <c r="X34" s="11" t="n">
        <v>71</v>
      </c>
      <c r="Y34" s="12" t="n">
        <v>82.09999999999999</v>
      </c>
      <c r="Z34" s="13" t="n">
        <v>111.1</v>
      </c>
      <c r="AA34" s="10" t="n">
        <v>300</v>
      </c>
      <c r="AB34" s="11" t="n">
        <v>69.40000000000001</v>
      </c>
      <c r="AC34" s="12" t="n">
        <v>81.09999999999999</v>
      </c>
      <c r="AD34" s="13" t="n">
        <v>104.1</v>
      </c>
      <c r="AE34" s="14" t="n">
        <v>300</v>
      </c>
      <c r="AF34" s="11" t="n">
        <v>66.7</v>
      </c>
      <c r="AG34" s="12" t="n">
        <v>76.90000000000001</v>
      </c>
      <c r="AH34" s="13" t="n">
        <v>99.2</v>
      </c>
      <c r="AI34" s="10" t="n">
        <v>300</v>
      </c>
      <c r="AJ34" s="11" t="n">
        <v>64.3</v>
      </c>
      <c r="AK34" s="12" t="n">
        <v>77.40000000000001</v>
      </c>
      <c r="AL34" s="13" t="n">
        <v>93.7</v>
      </c>
      <c r="AM34" s="10" t="n">
        <v>300</v>
      </c>
      <c r="AN34" s="11" t="n">
        <v>63.9</v>
      </c>
      <c r="AO34" s="12" t="n">
        <v>78.09999999999999</v>
      </c>
      <c r="AP34" s="13" t="n">
        <v>99.59999999999999</v>
      </c>
      <c r="AQ34" s="6">
        <f>IF(AND((O34)&lt;85,N34&lt;137),"NO","SI")</f>
        <v/>
      </c>
      <c r="AR34" s="7">
        <f>IF((480*(10^(7.95-(O34/10))))&lt;480,480*(10^(7.95-(O34/10))),480)</f>
        <v/>
      </c>
      <c r="AS34" s="8">
        <f>IF((480*(10^(8.45-(O34/10))))&lt;480,480*(10^(8.45-(O34/10))),480)</f>
        <v/>
      </c>
      <c r="AT34" s="9">
        <f>IF((480*(10^(8.65-(O34/10))))&lt;480,480*(10^(8.65-(O34/10))),480)</f>
        <v/>
      </c>
      <c r="AU34" s="151">
        <f>IF(O34&lt;80,"0",IF((P34-O34)&lt;=2,('DPI art.191'!$G$3-(('DPI art.191'!$F$3-'DPI art.191'!$G$3)/4)*(P34-O34-2)),('DPI art.191'!$G$3-(('DPI art.191'!$F$3-'DPI art.191'!$H$3)/8)*(P34-O34-2))))</f>
        <v/>
      </c>
      <c r="AV34" s="24">
        <f>O34-AU34</f>
        <v/>
      </c>
      <c r="AW34" s="24">
        <f>IF(N34&lt;135,N34,N34-'DPI art.191'!$I$3)</f>
        <v/>
      </c>
      <c r="AX34" s="111">
        <f>IF(O34&lt;80,"0",IF((P34-O34)&lt;=2,('DPI art.191'!$G$5-(('DPI art.191'!$F$5-'DPI art.191'!$G$5)/4)*(P34-O34-2)),('DPI art.191'!$G$5-(('DPI art.191'!$G$5-'DPI art.191'!$H$5)/8)*(P34-O34-2))))</f>
        <v/>
      </c>
      <c r="AY34" s="24">
        <f>O34-AX34</f>
        <v/>
      </c>
      <c r="AZ34" s="24">
        <f>IF(N34&lt;135,N34,N34-'DPI art.191'!$I$5)</f>
        <v/>
      </c>
      <c r="BA34" s="111">
        <f>IF(O34&lt;80,"0",IF((P34-O34)&lt;=2,('DPI art.191'!$G$7-(('DPI art.191'!$F$7-'DPI art.191'!$G$7)/4)*(P34-O34-2)),('DPI art.191'!$G$7-(('DPI art.191'!$G$7-'DPI art.191'!$H$7)/8)*(P34-O34-2))))</f>
        <v/>
      </c>
      <c r="BB34" s="24">
        <f>O34-BA34</f>
        <v/>
      </c>
      <c r="BC34" s="24">
        <f>IF(N34&lt;135,N34,N34-'DPI art.191'!$I$7)</f>
        <v/>
      </c>
      <c r="BD34" s="111">
        <f>IF(O34&lt;80,"0",IF((P34-O34)&lt;=2,('DPI art.191'!$G$9-(('DPI art.191'!$F$9-'DPI art.191'!$G$9)/4)*(O34-P34-2)),('DPI art.191'!$G$9-(('DPI art.191'!$G$9-'DPI art.191'!$H$9)/8)*(P34-O34-2))))</f>
        <v/>
      </c>
      <c r="BE34" s="24">
        <f>O34-BD34</f>
        <v/>
      </c>
      <c r="BF34" s="24">
        <f>IF(N34&lt;135,N34,N34-'DPI art.191'!$I$9)</f>
        <v/>
      </c>
      <c r="BG34" s="111">
        <f>IF(O34&lt;80,"0",IF((P34-O34)&lt;=2,('DPI art.191'!$G$11-(('DPI art.191'!$F$11-'DPI art.191'!$G$11)/4)*(P34-O34-2)),('DPI art.191'!$G$11-(('DPI art.191'!$G$11-'DPI art.191'!$H$11)/8)*(P34-O34-2))))</f>
        <v/>
      </c>
      <c r="BH34" s="24">
        <f>O34-BG34</f>
        <v/>
      </c>
      <c r="BI34" s="24">
        <f>IF(T34&lt;135,T34,T34-'DPI art.191'!$I$11)</f>
        <v/>
      </c>
      <c r="BJ34" s="111">
        <f>IF(O34&lt;80,"0",IF((P34-O34)&lt;=2,('DPI art.191'!$G$13-(('DPI art.191'!$F$13-'DPI art.191'!$G$13)/4)*(P34-O34-2)),('DPI art.191'!$G$13-(('DPI art.191'!$G$13-'DPI art.191'!$H$13)/8)*(P34-O34-2))))</f>
        <v/>
      </c>
      <c r="BK34" s="24">
        <f>O34-BJ34</f>
        <v/>
      </c>
      <c r="BL34" s="24">
        <f>IF(T34&lt;135,T34,T34-'DPI art.191'!$I$13)</f>
        <v/>
      </c>
      <c r="BM34" s="111">
        <f>IF(O34&lt;80,"0",IF((P34-O34)&lt;=2,('DPI art.191'!$G$15-(('DPI art.191'!$F$15-'DPI art.191'!$G$15)/4)*(P34-O34-2)),('DPI art.191'!$G$15-(('DPI art.191'!$G$15-'DPI art.191'!$H$15)/8)*(P34-O34-2))))</f>
        <v/>
      </c>
      <c r="BN34" s="24">
        <f>O34-BM34</f>
        <v/>
      </c>
      <c r="BO34" s="24">
        <f>IF(Z34&lt;135,Z34,Z34-'DPI art.191'!$I$15)</f>
        <v/>
      </c>
      <c r="BP34" s="108">
        <f>10^(0.1*R34)</f>
        <v/>
      </c>
      <c r="BQ34" s="108">
        <f>10^(0.1*X34)</f>
        <v/>
      </c>
      <c r="BR34" s="108">
        <f>10^(0.1*AB34)</f>
        <v/>
      </c>
      <c r="BS34" s="108">
        <f>10^(0.1*AF34)</f>
        <v/>
      </c>
      <c r="BT34" s="108">
        <f>10^(0.1*AJ34)</f>
        <v/>
      </c>
      <c r="BU34" s="108">
        <f>10^(0.1*AN34)</f>
        <v/>
      </c>
      <c r="BV34" s="106">
        <f>IF(R34&gt;0,(O34-R34),"")</f>
        <v/>
      </c>
      <c r="BW34" s="106">
        <f>IF(X34&gt;0,(O34-X34),"")</f>
        <v/>
      </c>
      <c r="BX34" s="106">
        <f>IF(AB34&gt;0,(O34-AB34),"")</f>
        <v/>
      </c>
      <c r="BY34" s="106">
        <f>IF(AF34&gt;0,(O34-AF34),"")</f>
        <v/>
      </c>
      <c r="BZ34" s="106">
        <f>IF(AJ34&gt;0,(O34-AJ34),"")</f>
        <v/>
      </c>
      <c r="CA34" s="106">
        <f>IF(AN34&gt;0,(O34-AN34),"")</f>
        <v/>
      </c>
      <c r="CB34" s="106">
        <f>COUNT(BV34:CA34)</f>
        <v/>
      </c>
      <c r="CC34" s="464">
        <f>IF(CB34=0,0,IF(CB34=1,0,1/(CB34*(CB34-1))))</f>
        <v/>
      </c>
      <c r="CD34" s="136">
        <f>IF(R34&gt;0,(BV34^2),"")</f>
        <v/>
      </c>
      <c r="CE34" s="136">
        <f>IF(X34&gt;0,(BW34^2),"")</f>
        <v/>
      </c>
      <c r="CF34" s="136">
        <f>IF(AB34&gt;0,(BX34^2),"")</f>
        <v/>
      </c>
      <c r="CG34" s="136">
        <f>IF(AF34&gt;0,(BY34^2),"")</f>
        <v/>
      </c>
      <c r="CH34" s="136">
        <f>IF(AJ34&gt;0,(BZ34^2),"")</f>
        <v/>
      </c>
      <c r="CI34" s="136">
        <f>IF(AN34&gt;0,(CA34^2),"")</f>
        <v/>
      </c>
    </row>
    <row r="35" ht="18.75" customHeight="1" s="444">
      <c r="A35" s="340" t="inlineStr">
        <is>
          <t>Gualdo 1</t>
        </is>
      </c>
      <c r="B35" s="65" t="inlineStr">
        <is>
          <t>D10</t>
        </is>
      </c>
      <c r="C35" s="78" t="inlineStr">
        <is>
          <t>Attività di ufficio</t>
        </is>
      </c>
      <c r="D35" s="83" t="inlineStr">
        <is>
          <t>/</t>
        </is>
      </c>
      <c r="E35" s="83" t="inlineStr">
        <is>
          <t>/</t>
        </is>
      </c>
      <c r="F35" s="192" t="inlineStr">
        <is>
          <t>Attività di ufficio</t>
        </is>
      </c>
      <c r="G35" s="71" t="n">
        <v>45996</v>
      </c>
      <c r="H35" s="77" t="inlineStr">
        <is>
          <t>Compito</t>
        </is>
      </c>
      <c r="I35" s="77">
        <f>IF((V35-R35)&gt;3,"SI","")</f>
        <v/>
      </c>
      <c r="J35" s="77">
        <f>IF((U35-R35)&gt;3,"SI","")</f>
        <v/>
      </c>
      <c r="K35" s="77" t="n"/>
      <c r="L35" s="77" t="n"/>
      <c r="M35" s="137">
        <f>IF(R35&gt;0,(SQRT(CC35*(SUM(CD35:CI35)))),"")</f>
        <v/>
      </c>
      <c r="N35" s="4">
        <f>IF(T35&gt;0,(MAX(T35,Z35,AD35,AH35,AL35,AP35))+SQRT(1.2^2+1^2),"")</f>
        <v/>
      </c>
      <c r="O35" s="3">
        <f>IF(R35="",0,10*LOG10(SUM(BP35:BU35)/(COUNT(R35,X35,AB35,AF35,AJ35,AN35))))</f>
        <v/>
      </c>
      <c r="P35" s="5">
        <f>IF(AND(Y35="",AC35="",AG35="",AK35="",AO35=""),S35,AVERAGE(S35,Y35,AC35,AG35,AK35,AO35)+STDEV(S35,Y35,AC35,AG35,AK35,AO35))</f>
        <v/>
      </c>
      <c r="Q35" s="14" t="n">
        <v>300</v>
      </c>
      <c r="R35" s="11" t="n">
        <v>59.4</v>
      </c>
      <c r="S35" s="12" t="n">
        <v>65.59999999999999</v>
      </c>
      <c r="T35" s="13" t="n">
        <v>98.59999999999999</v>
      </c>
      <c r="U35" s="79" t="n">
        <v>59.6</v>
      </c>
      <c r="V35" s="79" t="n">
        <v>67.2</v>
      </c>
      <c r="W35" s="10" t="n">
        <v>300</v>
      </c>
      <c r="X35" s="11" t="n">
        <v>49.7</v>
      </c>
      <c r="Y35" s="12" t="n">
        <v>60.1</v>
      </c>
      <c r="Z35" s="13" t="n">
        <v>89.40000000000001</v>
      </c>
      <c r="AA35" s="10" t="n">
        <v>300</v>
      </c>
      <c r="AB35" s="11" t="n">
        <v>54.6</v>
      </c>
      <c r="AC35" s="12" t="n">
        <v>61.7</v>
      </c>
      <c r="AD35" s="13" t="n">
        <v>97.09999999999999</v>
      </c>
      <c r="AE35" s="14" t="n">
        <v>300</v>
      </c>
      <c r="AF35" s="11" t="n">
        <v>54.4</v>
      </c>
      <c r="AG35" s="12" t="n">
        <v>59.3</v>
      </c>
      <c r="AH35" s="13" t="n">
        <v>82.5</v>
      </c>
      <c r="AI35" s="10" t="n">
        <v>300</v>
      </c>
      <c r="AJ35" s="11" t="n">
        <v>49.1</v>
      </c>
      <c r="AK35" s="12" t="n">
        <v>62.9</v>
      </c>
      <c r="AL35" s="13" t="n">
        <v>89.8</v>
      </c>
      <c r="AM35" s="10" t="n">
        <v>300</v>
      </c>
      <c r="AN35" s="11" t="n">
        <v>57.5</v>
      </c>
      <c r="AO35" s="12" t="n">
        <v>63.9</v>
      </c>
      <c r="AP35" s="13" t="n">
        <v>95.09999999999999</v>
      </c>
      <c r="AQ35" s="6">
        <f>IF(AND((O35)&lt;85,N35&lt;137),"NO","SI")</f>
        <v/>
      </c>
      <c r="AR35" s="7">
        <f>IF((480*(10^(7.95-(O35/10))))&lt;480,480*(10^(7.95-(O35/10))),480)</f>
        <v/>
      </c>
      <c r="AS35" s="8">
        <f>IF((480*(10^(8.45-(O35/10))))&lt;480,480*(10^(8.45-(O35/10))),480)</f>
        <v/>
      </c>
      <c r="AT35" s="9">
        <f>IF((480*(10^(8.65-(O35/10))))&lt;480,480*(10^(8.65-(O35/10))),480)</f>
        <v/>
      </c>
      <c r="AU35" s="111">
        <f>IF(O35&lt;80,"0",IF((P35-O35)&lt;=2,('DPI art.191'!$G$3-(('DPI art.191'!$F$3-'DPI art.191'!$G$3)/4)*(P35-O35-2)),('DPI art.191'!$G$3-(('DPI art.191'!$G$3-'DPI art.191'!$H$3)/8)*(P35-O35-2))))</f>
        <v/>
      </c>
      <c r="AV35" s="24">
        <f>O35-AU35</f>
        <v/>
      </c>
      <c r="AW35" s="24">
        <f>IF(N35&lt;135,N35,N35-'DPI art.191'!$I$3)</f>
        <v/>
      </c>
      <c r="AX35" s="111">
        <f>IF(O35&lt;80,"0",IF((P35-O35)&lt;=2,('DPI art.191'!$G$5-(('DPI art.191'!$F$5-'DPI art.191'!$G$5)/4)*(P35-O35-2)),('DPI art.191'!$G$5-(('DPI art.191'!$G$5-'DPI art.191'!$H$5)/8)*(P35-O35-2))))</f>
        <v/>
      </c>
      <c r="AY35" s="24">
        <f>O35-AX35</f>
        <v/>
      </c>
      <c r="AZ35" s="24">
        <f>IF(N35&lt;135,N35,N35-'DPI art.191'!$I$5)</f>
        <v/>
      </c>
      <c r="BA35" s="111">
        <f>IF(O35&lt;80,"0",IF((P35-O35)&lt;=2,('DPI art.191'!$G$7-(('DPI art.191'!$F$7-'DPI art.191'!$G$7)/4)*(P35-O35-2)),('DPI art.191'!$G$7-(('DPI art.191'!$G$7-'DPI art.191'!$H$7)/8)*(P35-O35-2))))</f>
        <v/>
      </c>
      <c r="BB35" s="24">
        <f>O35-BA35</f>
        <v/>
      </c>
      <c r="BC35" s="24">
        <f>IF(N35&lt;135,N35,N35-'DPI art.191'!$I$7)</f>
        <v/>
      </c>
      <c r="BD35" s="111">
        <f>IF(O35&lt;80,"0",IF((P35-O35)&lt;=2,('DPI art.191'!$G$9-(('DPI art.191'!$F$9-'DPI art.191'!$G$9)/4)*(O35-P35-2)),('DPI art.191'!$G$9-(('DPI art.191'!$G$9-'DPI art.191'!$H$9)/8)*(P35-O35-2))))</f>
        <v/>
      </c>
      <c r="BE35" s="24">
        <f>O35-BD35</f>
        <v/>
      </c>
      <c r="BF35" s="24">
        <f>IF(N35&lt;135,N35,N35-'DPI art.191'!$I$9)</f>
        <v/>
      </c>
      <c r="BG35" s="111">
        <f>IF(O35&lt;80,"0",IF((P35-O35)&lt;=2,('DPI art.191'!$G$11-(('DPI art.191'!$F$11-'DPI art.191'!$G$11)/4)*(P35-O35-2)),('DPI art.191'!$G$11-(('DPI art.191'!$G$11-'DPI art.191'!$H$11)/8)*(P35-O35-2))))</f>
        <v/>
      </c>
      <c r="BH35" s="24">
        <f>O35-BG35</f>
        <v/>
      </c>
      <c r="BI35" s="24">
        <f>IF(T35&lt;135,T35,T35-'DPI art.191'!$I$11)</f>
        <v/>
      </c>
      <c r="BJ35" s="111">
        <f>IF(O35&lt;80,"0",IF((P35-O35)&lt;=2,('DPI art.191'!$G$13-(('DPI art.191'!$F$13-'DPI art.191'!$G$13)/4)*(P35-O35-2)),('DPI art.191'!$G$13-(('DPI art.191'!$G$13-'DPI art.191'!$H$13)/8)*(P35-O35-2))))</f>
        <v/>
      </c>
      <c r="BK35" s="24">
        <f>O35-BJ35</f>
        <v/>
      </c>
      <c r="BL35" s="24">
        <f>IF(T35&lt;135,T35,T35-'DPI art.191'!$I$13)</f>
        <v/>
      </c>
      <c r="BM35" s="111">
        <f>IF(O35&lt;80,"0",IF((P35-O35)&lt;=2,('DPI art.191'!$G$15-(('DPI art.191'!$F$15-'DPI art.191'!$G$15)/4)*(P35-O35-2)),('DPI art.191'!$G$15-(('DPI art.191'!$G$15-'DPI art.191'!$H$15)/8)*(P35-O35-2))))</f>
        <v/>
      </c>
      <c r="BN35" s="24">
        <f>O35-BM35</f>
        <v/>
      </c>
      <c r="BO35" s="24">
        <f>IF(Z35&lt;135,Z35,Z35-'DPI art.191'!$I$15)</f>
        <v/>
      </c>
      <c r="BP35" s="108">
        <f>10^(0.1*R35)</f>
        <v/>
      </c>
      <c r="BQ35" s="108">
        <f>10^(0.1*X35)</f>
        <v/>
      </c>
      <c r="BR35" s="108">
        <f>10^(0.1*AB35)</f>
        <v/>
      </c>
      <c r="BS35" s="108">
        <f>10^(0.1*AF35)</f>
        <v/>
      </c>
      <c r="BT35" s="108">
        <f>10^(0.1*AJ35)</f>
        <v/>
      </c>
      <c r="BU35" s="108">
        <f>10^(0.1*AN35)</f>
        <v/>
      </c>
      <c r="BV35" s="106">
        <f>IF(R35&gt;0,(O35-R35),"")</f>
        <v/>
      </c>
      <c r="BW35" s="106">
        <f>IF(X35&gt;0,(O35-X35),"")</f>
        <v/>
      </c>
      <c r="BX35" s="106">
        <f>IF(AB35&gt;0,(O35-AB35),"")</f>
        <v/>
      </c>
      <c r="BY35" s="106">
        <f>IF(AF35&gt;0,(O35-AF35),"")</f>
        <v/>
      </c>
      <c r="BZ35" s="106">
        <f>IF(AJ35&gt;0,(O35-AJ35),"")</f>
        <v/>
      </c>
      <c r="CA35" s="106">
        <f>IF(AN35&gt;0,(O35-AN35),"")</f>
        <v/>
      </c>
      <c r="CB35" s="106">
        <f>COUNT(BV35:CA35)</f>
        <v/>
      </c>
      <c r="CC35" s="464">
        <f>IF(CB35=0,0,IF(CB35=1,0,1/(CB35*(CB35-1))))</f>
        <v/>
      </c>
      <c r="CD35" s="136">
        <f>IF(R35&gt;0,(BV35^2),"")</f>
        <v/>
      </c>
      <c r="CE35" s="136">
        <f>IF(X35&gt;0,(BW35^2),"")</f>
        <v/>
      </c>
      <c r="CF35" s="136">
        <f>IF(AB35&gt;0,(BX35^2),"")</f>
        <v/>
      </c>
      <c r="CG35" s="136">
        <f>IF(AF35&gt;0,(BY35^2),"")</f>
        <v/>
      </c>
      <c r="CH35" s="136">
        <f>IF(AJ35&gt;0,(BZ35^2),"")</f>
        <v/>
      </c>
      <c r="CI35" s="136">
        <f>IF(AN35&gt;0,(CA35^2),"")</f>
        <v/>
      </c>
    </row>
    <row r="36" ht="18.75" customHeight="1" s="444">
      <c r="A36" s="340" t="inlineStr">
        <is>
          <t>Gualdo 1</t>
        </is>
      </c>
      <c r="B36" s="65" t="inlineStr">
        <is>
          <t>D11</t>
        </is>
      </c>
      <c r="C36" s="78" t="inlineStr">
        <is>
          <t>Attività di magazzino</t>
        </is>
      </c>
      <c r="D36" s="83" t="inlineStr">
        <is>
          <t>/</t>
        </is>
      </c>
      <c r="E36" s="83" t="inlineStr">
        <is>
          <t>/</t>
        </is>
      </c>
      <c r="F36" s="78" t="inlineStr">
        <is>
          <t>Attività di magazzino</t>
        </is>
      </c>
      <c r="G36" s="71" t="n">
        <v>45996</v>
      </c>
      <c r="H36" s="77" t="inlineStr">
        <is>
          <t>Compito</t>
        </is>
      </c>
      <c r="I36" s="77">
        <f>IF((V36-R36)&gt;3,"SI","")</f>
        <v/>
      </c>
      <c r="J36" s="77" t="inlineStr">
        <is>
          <t>SI</t>
        </is>
      </c>
      <c r="K36" s="77" t="n"/>
      <c r="L36" s="77" t="n"/>
      <c r="M36" s="137">
        <f>IF(R36&gt;0,(SQRT(CC36*(SUM(CD36:CI36)))),"")</f>
        <v/>
      </c>
      <c r="N36" s="4">
        <f>IF(T36&gt;0,(MAX(T36,Z36,AD36,AH36,AL36,AP36))+SQRT(1.2^2+1^2),"")</f>
        <v/>
      </c>
      <c r="O36" s="3">
        <f>IF(R36="",0,10*LOG10(SUM(BP36:BU36)/(COUNT(R36,X36,AB36,AF36,AJ36,AN36))))</f>
        <v/>
      </c>
      <c r="P36" s="5">
        <f>IF(AND(Y36="",AC36="",AG36="",AK36="",AO36=""),S36,AVERAGE(S36,Y36,AC36,AG36,AK36,AO36)+STDEV(S36,Y36,AC36,AG36,AK36,AO36))</f>
        <v/>
      </c>
      <c r="Q36" s="14" t="n">
        <v>300</v>
      </c>
      <c r="R36" s="11" t="n">
        <v>73.40000000000001</v>
      </c>
      <c r="S36" s="12" t="n">
        <v>75.5</v>
      </c>
      <c r="T36" s="13" t="n">
        <v>94.5</v>
      </c>
      <c r="U36" s="79" t="n">
        <v>73.40000000000001</v>
      </c>
      <c r="V36" s="79" t="n">
        <v>75</v>
      </c>
      <c r="W36" s="10" t="n">
        <v>300</v>
      </c>
      <c r="X36" s="11" t="n">
        <v>70.3</v>
      </c>
      <c r="Y36" s="12" t="n">
        <v>72.90000000000001</v>
      </c>
      <c r="Z36" s="13" t="n">
        <v>89.09999999999999</v>
      </c>
      <c r="AA36" s="10" t="n">
        <v>300</v>
      </c>
      <c r="AB36" s="11" t="n">
        <v>73.2</v>
      </c>
      <c r="AC36" s="12" t="n">
        <v>74.59999999999999</v>
      </c>
      <c r="AD36" s="13" t="n">
        <v>95.5</v>
      </c>
      <c r="AE36" s="14" t="n">
        <v>300</v>
      </c>
      <c r="AF36" s="11" t="n">
        <v>70.3</v>
      </c>
      <c r="AG36" s="12" t="n">
        <v>74.8</v>
      </c>
      <c r="AH36" s="13" t="n">
        <v>96.90000000000001</v>
      </c>
      <c r="AI36" s="10" t="n">
        <v>300</v>
      </c>
      <c r="AJ36" s="11" t="n">
        <v>73.2</v>
      </c>
      <c r="AK36" s="12" t="n">
        <v>75.3</v>
      </c>
      <c r="AL36" s="13" t="n">
        <v>94.3</v>
      </c>
      <c r="AM36" s="10" t="n">
        <v>300</v>
      </c>
      <c r="AN36" s="11" t="n">
        <v>71.90000000000001</v>
      </c>
      <c r="AO36" s="12" t="n">
        <v>74.59999999999999</v>
      </c>
      <c r="AP36" s="13" t="n">
        <v>104.1</v>
      </c>
      <c r="AQ36" s="6">
        <f>IF(AND((O36)&lt;85,N36&lt;137),"NO","SI")</f>
        <v/>
      </c>
      <c r="AR36" s="7">
        <f>IF((480*(10^(7.95-(O36/10))))&lt;480,480*(10^(7.95-(O36/10))),480)</f>
        <v/>
      </c>
      <c r="AS36" s="8">
        <f>IF((480*(10^(8.45-(O36/10))))&lt;480,480*(10^(8.45-(O36/10))),480)</f>
        <v/>
      </c>
      <c r="AT36" s="9">
        <f>IF((480*(10^(8.65-(O36/10))))&lt;480,480*(10^(8.65-(O36/10))),480)</f>
        <v/>
      </c>
      <c r="AU36" s="111">
        <f>IF(O36&lt;80,"0",IF((P36-O36)&lt;=2,('DPI art.191'!$G$3-(('DPI art.191'!$F$3-'DPI art.191'!$G$3)/4)*(P36-O36-2)),('DPI art.191'!$G$3-(('DPI art.191'!$G$3-'DPI art.191'!$H$3)/8)*(P36-O36-2))))</f>
        <v/>
      </c>
      <c r="AV36" s="24">
        <f>O36-AU36</f>
        <v/>
      </c>
      <c r="AW36" s="24">
        <f>IF(N36&lt;135,N36,N36-'DPI art.191'!$I$3)</f>
        <v/>
      </c>
      <c r="AX36" s="111">
        <f>IF(O36&lt;80,"0",IF((P36-O36)&lt;=2,('DPI art.191'!$G$5-(('DPI art.191'!$F$5-'DPI art.191'!$G$5)/4)*(P36-O36-2)),('DPI art.191'!$G$5-(('DPI art.191'!$G$5-'DPI art.191'!$H$5)/8)*(P36-O36-2))))</f>
        <v/>
      </c>
      <c r="AY36" s="24">
        <f>O36-AX36</f>
        <v/>
      </c>
      <c r="AZ36" s="24">
        <f>IF(N36&lt;135,N36,N36-'DPI art.191'!$I$5)</f>
        <v/>
      </c>
      <c r="BA36" s="111">
        <f>IF(O36&lt;80,"0",IF((P36-O36)&lt;=2,('DPI art.191'!$G$7-(('DPI art.191'!$F$7-'DPI art.191'!$G$7)/4)*(P36-O36-2)),('DPI art.191'!$G$7-(('DPI art.191'!$G$7-'DPI art.191'!$H$7)/8)*(P36-O36-2))))</f>
        <v/>
      </c>
      <c r="BB36" s="24">
        <f>O36-BA36</f>
        <v/>
      </c>
      <c r="BC36" s="24">
        <f>IF(N36&lt;135,N36,N36-'DPI art.191'!$I$7)</f>
        <v/>
      </c>
      <c r="BD36" s="111">
        <f>IF(O36&lt;80,"0",IF((P36-O36)&lt;=2,('DPI art.191'!$G$9-(('DPI art.191'!$F$9-'DPI art.191'!$G$9)/4)*(O36-P36-2)),('DPI art.191'!$G$9-(('DPI art.191'!$G$9-'DPI art.191'!$H$9)/8)*(P36-O36-2))))</f>
        <v/>
      </c>
      <c r="BE36" s="24">
        <f>O36-BD36</f>
        <v/>
      </c>
      <c r="BF36" s="24">
        <f>IF(N36&lt;135,N36,N36-'DPI art.191'!$I$9)</f>
        <v/>
      </c>
      <c r="BG36" s="111">
        <f>IF(O36&lt;80,"0",IF((P36-O36)&lt;=2,('DPI art.191'!$G$11-(('DPI art.191'!$F$11-'DPI art.191'!$G$11)/4)*(P36-O36-2)),('DPI art.191'!$G$11-(('DPI art.191'!$G$11-'DPI art.191'!$H$11)/8)*(P36-O36-2))))</f>
        <v/>
      </c>
      <c r="BH36" s="24">
        <f>O36-BG36</f>
        <v/>
      </c>
      <c r="BI36" s="24">
        <f>IF(T36&lt;135,T36,T36-'DPI art.191'!$I$11)</f>
        <v/>
      </c>
      <c r="BJ36" s="111">
        <f>IF(O36&lt;80,"0",IF((P36-O36)&lt;=2,('DPI art.191'!$G$13-(('DPI art.191'!$F$13-'DPI art.191'!$G$13)/4)*(P36-O36-2)),('DPI art.191'!$G$13-(('DPI art.191'!$G$13-'DPI art.191'!$H$13)/8)*(P36-O36-2))))</f>
        <v/>
      </c>
      <c r="BK36" s="24">
        <f>O36-BJ36</f>
        <v/>
      </c>
      <c r="BL36" s="24">
        <f>IF(T36&lt;135,T36,T36-'DPI art.191'!$I$13)</f>
        <v/>
      </c>
      <c r="BM36" s="111">
        <f>IF(O36&lt;80,"0",IF((P36-O36)&lt;=2,('DPI art.191'!$G$15-(('DPI art.191'!$F$15-'DPI art.191'!$G$15)/4)*(P36-O36-2)),('DPI art.191'!$G$15-(('DPI art.191'!$G$15-'DPI art.191'!$H$15)/8)*(P36-O36-2))))</f>
        <v/>
      </c>
      <c r="BN36" s="24">
        <f>O36-BM36</f>
        <v/>
      </c>
      <c r="BO36" s="24">
        <f>IF(Z36&lt;135,Z36,Z36-'DPI art.191'!$I$15)</f>
        <v/>
      </c>
      <c r="BP36" s="108">
        <f>10^(0.1*R36)</f>
        <v/>
      </c>
      <c r="BQ36" s="108">
        <f>10^(0.1*X36)</f>
        <v/>
      </c>
      <c r="BR36" s="108">
        <f>10^(0.1*AB36)</f>
        <v/>
      </c>
      <c r="BS36" s="108">
        <f>10^(0.1*AF36)</f>
        <v/>
      </c>
      <c r="BT36" s="108">
        <f>10^(0.1*AJ36)</f>
        <v/>
      </c>
      <c r="BU36" s="108">
        <f>10^(0.1*AN36)</f>
        <v/>
      </c>
      <c r="BV36" s="106">
        <f>IF(R36&gt;0,(O36-R36),"")</f>
        <v/>
      </c>
      <c r="BW36" s="106">
        <f>IF(X36&gt;0,(O36-X36),"")</f>
        <v/>
      </c>
      <c r="BX36" s="106">
        <f>IF(AB36&gt;0,(O36-AB36),"")</f>
        <v/>
      </c>
      <c r="BY36" s="106">
        <f>IF(AF36&gt;0,(O36-AF36),"")</f>
        <v/>
      </c>
      <c r="BZ36" s="106">
        <f>IF(AJ36&gt;0,(O36-AJ36),"")</f>
        <v/>
      </c>
      <c r="CA36" s="106">
        <f>IF(AN36&gt;0,(O36-AN36),"")</f>
        <v/>
      </c>
      <c r="CB36" s="106">
        <f>COUNT(BV36:CA36)</f>
        <v/>
      </c>
      <c r="CC36" s="464">
        <f>IF(CB36=0,0,IF(CB36=1,0,1/(CB36*(CB36-1))))</f>
        <v/>
      </c>
      <c r="CD36" s="136">
        <f>IF(R36&gt;0,(BV36^2),"")</f>
        <v/>
      </c>
      <c r="CE36" s="136">
        <f>IF(X36&gt;0,(BW36^2),"")</f>
        <v/>
      </c>
      <c r="CF36" s="136">
        <f>IF(AB36&gt;0,(BX36^2),"")</f>
        <v/>
      </c>
      <c r="CG36" s="136">
        <f>IF(AF36&gt;0,(BY36^2),"")</f>
        <v/>
      </c>
      <c r="CH36" s="136">
        <f>IF(AJ36&gt;0,(BZ36^2),"")</f>
        <v/>
      </c>
      <c r="CI36" s="136">
        <f>IF(AN36&gt;0,(CA36^2),"")</f>
        <v/>
      </c>
    </row>
    <row r="37" ht="18.75" customHeight="1" s="444">
      <c r="A37" s="340" t="inlineStr">
        <is>
          <t>Gualdo 2</t>
        </is>
      </c>
      <c r="B37" s="65" t="inlineStr">
        <is>
          <t>D12</t>
        </is>
      </c>
      <c r="C37" s="78" t="inlineStr">
        <is>
          <t>Attività di magazzino</t>
        </is>
      </c>
      <c r="D37" s="83" t="inlineStr">
        <is>
          <t>/</t>
        </is>
      </c>
      <c r="E37" s="83" t="inlineStr">
        <is>
          <t>/</t>
        </is>
      </c>
      <c r="F37" s="78" t="inlineStr">
        <is>
          <t>Attività di magazzino</t>
        </is>
      </c>
      <c r="G37" s="71" t="n">
        <v>46003</v>
      </c>
      <c r="H37" s="77" t="inlineStr">
        <is>
          <t>Compito</t>
        </is>
      </c>
      <c r="I37" s="77">
        <f>IF((V37-R37)&gt;3,"SI","")</f>
        <v/>
      </c>
      <c r="J37" s="77" t="inlineStr">
        <is>
          <t>SI</t>
        </is>
      </c>
      <c r="K37" s="77" t="n"/>
      <c r="L37" s="77" t="n"/>
      <c r="M37" s="137">
        <f>IF(R37&gt;0,(SQRT(CC37*(SUM(CD37:CI37)))),"")</f>
        <v/>
      </c>
      <c r="N37" s="4">
        <f>IF(T37&gt;0,(MAX(T37,Z37,AD37,AH37,AL37,AP37))+SQRT(1.2^2+1^2),"")</f>
        <v/>
      </c>
      <c r="O37" s="3">
        <f>IF(R37="",0,10*LOG10(SUM(BP37:BU37)/(COUNT(R37,X37,AB37,AF37,AJ37,AN37))))</f>
        <v/>
      </c>
      <c r="P37" s="5">
        <f>IF(AND(Y37="",AC37="",AG37="",AK37="",AO37=""),S37,AVERAGE(S37,Y37,AC37,AG37,AK37,AO37)+STDEV(S37,Y37,AC37,AG37,AK37,AO37))</f>
        <v/>
      </c>
      <c r="Q37" s="14" t="n">
        <v>300</v>
      </c>
      <c r="R37" s="11" t="n">
        <v>59.2</v>
      </c>
      <c r="S37" s="12" t="n">
        <v>58.7</v>
      </c>
      <c r="T37" s="13" t="n">
        <v>85.7</v>
      </c>
      <c r="U37" s="79" t="n">
        <v>59.2</v>
      </c>
      <c r="V37" s="79" t="n">
        <v>61</v>
      </c>
      <c r="W37" s="10" t="n">
        <v>300</v>
      </c>
      <c r="X37" s="11" t="n">
        <v>62.2</v>
      </c>
      <c r="Y37" s="12" t="n">
        <v>62</v>
      </c>
      <c r="Z37" s="13" t="n">
        <v>98.3</v>
      </c>
      <c r="AA37" s="10" t="n">
        <v>300</v>
      </c>
      <c r="AB37" s="11" t="n">
        <v>61.2</v>
      </c>
      <c r="AC37" s="12" t="n">
        <v>62</v>
      </c>
      <c r="AD37" s="13" t="n">
        <v>96.59999999999999</v>
      </c>
      <c r="AE37" s="14" t="n">
        <v>300</v>
      </c>
      <c r="AF37" s="11" t="n">
        <v>59.2</v>
      </c>
      <c r="AG37" s="12" t="n">
        <v>60.4</v>
      </c>
      <c r="AH37" s="13" t="n">
        <v>93.59999999999999</v>
      </c>
      <c r="AI37" s="10" t="n">
        <v>300</v>
      </c>
      <c r="AJ37" s="11" t="n">
        <v>60.2</v>
      </c>
      <c r="AK37" s="12" t="n">
        <v>61.1</v>
      </c>
      <c r="AL37" s="13" t="n">
        <v>89.40000000000001</v>
      </c>
      <c r="AM37" s="10" t="n">
        <v>300</v>
      </c>
      <c r="AN37" s="11" t="n">
        <v>50</v>
      </c>
      <c r="AO37" s="12" t="n">
        <v>57.2</v>
      </c>
      <c r="AP37" s="13" t="n">
        <v>94.90000000000001</v>
      </c>
      <c r="AQ37" s="6">
        <f>IF(AND((O37)&lt;85,N37&lt;137),"NO","SI")</f>
        <v/>
      </c>
      <c r="AR37" s="7">
        <f>IF((480*(10^(7.95-(O37/10))))&lt;480,480*(10^(7.95-(O37/10))),480)</f>
        <v/>
      </c>
      <c r="AS37" s="8">
        <f>IF((480*(10^(8.45-(O37/10))))&lt;480,480*(10^(8.45-(O37/10))),480)</f>
        <v/>
      </c>
      <c r="AT37" s="9">
        <f>IF((480*(10^(8.65-(O37/10))))&lt;480,480*(10^(8.65-(O37/10))),480)</f>
        <v/>
      </c>
      <c r="AU37" s="111">
        <f>IF(O37&lt;80,"0",IF((P37-O37)&lt;=2,('DPI art.191'!$G$3-(('DPI art.191'!$F$3-'DPI art.191'!$G$3)/4)*(P37-O37-2)),('DPI art.191'!$G$3-(('DPI art.191'!$G$3-'DPI art.191'!$H$3)/8)*(P37-O37-2))))</f>
        <v/>
      </c>
      <c r="AV37" s="24">
        <f>O37-AU37</f>
        <v/>
      </c>
      <c r="AW37" s="24">
        <f>IF(N37&lt;135,N37,N37-'DPI art.191'!$I$3)</f>
        <v/>
      </c>
      <c r="AX37" s="111">
        <f>IF(O37&lt;80,"0",IF((P37-O37)&lt;=2,('DPI art.191'!$G$5-(('DPI art.191'!$F$5-'DPI art.191'!$G$5)/4)*(P37-O37-2)),('DPI art.191'!$G$5-(('DPI art.191'!$G$5-'DPI art.191'!$H$5)/8)*(P37-O37-2))))</f>
        <v/>
      </c>
      <c r="AY37" s="24">
        <f>O37-AX37</f>
        <v/>
      </c>
      <c r="AZ37" s="24">
        <f>IF(N37&lt;135,N37,N37-'DPI art.191'!$I$5)</f>
        <v/>
      </c>
      <c r="BA37" s="111">
        <f>IF(O37&lt;80,"0",IF((P37-O37)&lt;=2,('DPI art.191'!$G$7-(('DPI art.191'!$F$7-'DPI art.191'!$G$7)/4)*(P37-O37-2)),('DPI art.191'!$G$7-(('DPI art.191'!$G$7-'DPI art.191'!$H$7)/8)*(P37-O37-2))))</f>
        <v/>
      </c>
      <c r="BB37" s="24">
        <f>O37-BA37</f>
        <v/>
      </c>
      <c r="BC37" s="24">
        <f>IF(N37&lt;135,N37,N37-'DPI art.191'!$I$7)</f>
        <v/>
      </c>
      <c r="BD37" s="111">
        <f>IF(O37&lt;80,"0",IF((P37-O37)&lt;=2,('DPI art.191'!$G$9-(('DPI art.191'!$F$9-'DPI art.191'!$G$9)/4)*(O37-P37-2)),('DPI art.191'!$G$9-(('DPI art.191'!$G$9-'DPI art.191'!$H$9)/8)*(P37-O37-2))))</f>
        <v/>
      </c>
      <c r="BE37" s="24">
        <f>O37-BD37</f>
        <v/>
      </c>
      <c r="BF37" s="24">
        <f>IF(N37&lt;135,N37,N37-'DPI art.191'!$I$9)</f>
        <v/>
      </c>
      <c r="BG37" s="111">
        <f>IF(O37&lt;80,"0",IF((P37-O37)&lt;=2,('DPI art.191'!$G$11-(('DPI art.191'!$F$11-'DPI art.191'!$G$11)/4)*(P37-O37-2)),('DPI art.191'!$G$11-(('DPI art.191'!$G$11-'DPI art.191'!$H$11)/8)*(P37-O37-2))))</f>
        <v/>
      </c>
      <c r="BH37" s="24">
        <f>O37-BG37</f>
        <v/>
      </c>
      <c r="BI37" s="24">
        <f>IF(T37&lt;135,T37,T37-'DPI art.191'!$I$11)</f>
        <v/>
      </c>
      <c r="BJ37" s="111">
        <f>IF(O37&lt;80,"0",IF((P37-O37)&lt;=2,('DPI art.191'!$G$13-(('DPI art.191'!$F$13-'DPI art.191'!$G$13)/4)*(P37-O37-2)),('DPI art.191'!$G$13-(('DPI art.191'!$G$13-'DPI art.191'!$H$13)/8)*(P37-O37-2))))</f>
        <v/>
      </c>
      <c r="BK37" s="24">
        <f>O37-BJ37</f>
        <v/>
      </c>
      <c r="BL37" s="24">
        <f>IF(T37&lt;135,T37,T37-'DPI art.191'!$I$13)</f>
        <v/>
      </c>
      <c r="BM37" s="111">
        <f>IF(O37&lt;80,"0",IF((P37-O37)&lt;=2,('DPI art.191'!$G$15-(('DPI art.191'!$F$15-'DPI art.191'!$G$15)/4)*(P37-O37-2)),('DPI art.191'!$G$15-(('DPI art.191'!$G$15-'DPI art.191'!$H$15)/8)*(P37-O37-2))))</f>
        <v/>
      </c>
      <c r="BN37" s="24">
        <f>O37-BM37</f>
        <v/>
      </c>
      <c r="BO37" s="24">
        <f>IF(Z37&lt;135,Z37,Z37-'DPI art.191'!$I$15)</f>
        <v/>
      </c>
      <c r="BP37" s="108">
        <f>10^(0.1*R37)</f>
        <v/>
      </c>
      <c r="BQ37" s="108">
        <f>10^(0.1*X37)</f>
        <v/>
      </c>
      <c r="BR37" s="108">
        <f>10^(0.1*AB37)</f>
        <v/>
      </c>
      <c r="BS37" s="108">
        <f>10^(0.1*AF37)</f>
        <v/>
      </c>
      <c r="BT37" s="108">
        <f>10^(0.1*AJ37)</f>
        <v/>
      </c>
      <c r="BU37" s="108">
        <f>10^(0.1*AN37)</f>
        <v/>
      </c>
      <c r="BV37" s="106">
        <f>IF(R37&gt;0,(O37-R37),"")</f>
        <v/>
      </c>
      <c r="BW37" s="106">
        <f>IF(X37&gt;0,(O37-X37),"")</f>
        <v/>
      </c>
      <c r="BX37" s="106">
        <f>IF(AB37&gt;0,(O37-AB37),"")</f>
        <v/>
      </c>
      <c r="BY37" s="106">
        <f>IF(AF37&gt;0,(O37-AF37),"")</f>
        <v/>
      </c>
      <c r="BZ37" s="106">
        <f>IF(AJ37&gt;0,(O37-AJ37),"")</f>
        <v/>
      </c>
      <c r="CA37" s="106">
        <f>IF(AN37&gt;0,(O37-AN37),"")</f>
        <v/>
      </c>
      <c r="CB37" s="106">
        <f>COUNT(BV37:CA37)</f>
        <v/>
      </c>
      <c r="CC37" s="464">
        <f>IF(CB37=0,0,IF(CB37=1,0,1/(CB37*(CB37-1))))</f>
        <v/>
      </c>
      <c r="CD37" s="136">
        <f>IF(R37&gt;0,(BV37^2),"")</f>
        <v/>
      </c>
      <c r="CE37" s="136">
        <f>IF(X37&gt;0,(BW37^2),"")</f>
        <v/>
      </c>
      <c r="CF37" s="136">
        <f>IF(AB37&gt;0,(BX37^2),"")</f>
        <v/>
      </c>
      <c r="CG37" s="136">
        <f>IF(AF37&gt;0,(BY37^2),"")</f>
        <v/>
      </c>
      <c r="CH37" s="136">
        <f>IF(AJ37&gt;0,(BZ37^2),"")</f>
        <v/>
      </c>
      <c r="CI37" s="136">
        <f>IF(AN37&gt;0,(CA37^2),"")</f>
        <v/>
      </c>
    </row>
    <row r="38" ht="18.75" customHeight="1" s="444">
      <c r="A38" s="340" t="inlineStr">
        <is>
          <t>Gualdo 2</t>
        </is>
      </c>
      <c r="B38" s="65" t="inlineStr">
        <is>
          <t>D13</t>
        </is>
      </c>
      <c r="C38" s="78" t="inlineStr">
        <is>
          <t>Attività di magazzino</t>
        </is>
      </c>
      <c r="D38" s="83" t="inlineStr">
        <is>
          <t>/</t>
        </is>
      </c>
      <c r="E38" s="83" t="inlineStr">
        <is>
          <t>/</t>
        </is>
      </c>
      <c r="F38" s="78" t="inlineStr">
        <is>
          <t>Attività di magazzino</t>
        </is>
      </c>
      <c r="G38" s="71" t="n">
        <v>46003</v>
      </c>
      <c r="H38" s="77" t="inlineStr">
        <is>
          <t>Compito</t>
        </is>
      </c>
      <c r="I38" s="77">
        <f>IF((V38-R38)&gt;3,"SI","")</f>
        <v/>
      </c>
      <c r="J38" s="77">
        <f>IF((U38-R38)&gt;3,"SI","")</f>
        <v/>
      </c>
      <c r="K38" s="77" t="n"/>
      <c r="L38" s="77" t="n"/>
      <c r="M38" s="137">
        <f>IF(R38&gt;0,(SQRT(CC38*(SUM(CD38:CI38)))),"")</f>
        <v/>
      </c>
      <c r="N38" s="4">
        <f>IF(T38&gt;0,(MAX(T38,Z38,AD38,AH38,AL38,AP38))+SQRT(1.2^2+1^2),"")</f>
        <v/>
      </c>
      <c r="O38" s="3">
        <f>IF(R38="",0,10*LOG10(SUM(BP38:BU38)/(COUNT(R38,X38,AB38,AF38,AJ38,AN38))))</f>
        <v/>
      </c>
      <c r="P38" s="5">
        <f>IF(AND(Y38="",AC38="",AG38="",AK38="",AO38=""),S38,AVERAGE(S38,Y38,AC38,AG38,AK38,AO38)+STDEV(S38,Y38,AC38,AG38,AK38,AO38))</f>
        <v/>
      </c>
      <c r="Q38" s="14" t="n">
        <v>300</v>
      </c>
      <c r="R38" s="11" t="n">
        <v>47</v>
      </c>
      <c r="S38" s="12" t="n">
        <v>61.3</v>
      </c>
      <c r="T38" s="13" t="n">
        <v>93.09999999999999</v>
      </c>
      <c r="U38" s="79" t="n">
        <v>46.8</v>
      </c>
      <c r="V38" s="79" t="n">
        <v>54.6</v>
      </c>
      <c r="W38" s="10" t="n">
        <v>300</v>
      </c>
      <c r="X38" s="11" t="n">
        <v>47</v>
      </c>
      <c r="Y38" s="12" t="n">
        <v>54.8</v>
      </c>
      <c r="Z38" s="13" t="n">
        <v>88.09999999999999</v>
      </c>
      <c r="AA38" s="10" t="n">
        <v>300</v>
      </c>
      <c r="AB38" s="11" t="n">
        <v>50.7</v>
      </c>
      <c r="AC38" s="12" t="n">
        <v>54.9</v>
      </c>
      <c r="AD38" s="13" t="n">
        <v>86.2</v>
      </c>
      <c r="AE38" s="14" t="n">
        <v>300</v>
      </c>
      <c r="AF38" s="11" t="n">
        <v>47.9</v>
      </c>
      <c r="AG38" s="12" t="n">
        <v>58.6</v>
      </c>
      <c r="AH38" s="13" t="n">
        <v>85.3</v>
      </c>
      <c r="AI38" s="10" t="n">
        <v>300</v>
      </c>
      <c r="AJ38" s="11" t="n">
        <v>45.1</v>
      </c>
      <c r="AK38" s="12" t="n">
        <v>55.8</v>
      </c>
      <c r="AL38" s="13" t="n">
        <v>82.7</v>
      </c>
      <c r="AM38" s="10" t="n">
        <v>300</v>
      </c>
      <c r="AN38" s="11" t="n">
        <v>39.5</v>
      </c>
      <c r="AO38" s="12" t="n">
        <v>50.3</v>
      </c>
      <c r="AP38" s="13" t="n">
        <v>68.90000000000001</v>
      </c>
      <c r="AQ38" s="6">
        <f>IF(AND((O38)&lt;85,N38&lt;137),"NO","SI")</f>
        <v/>
      </c>
      <c r="AR38" s="7">
        <f>IF((480*(10^(7.95-(O38/10))))&lt;480,480*(10^(7.95-(O38/10))),480)</f>
        <v/>
      </c>
      <c r="AS38" s="8">
        <f>IF((480*(10^(8.45-(O38/10))))&lt;480,480*(10^(8.45-(O38/10))),480)</f>
        <v/>
      </c>
      <c r="AT38" s="9">
        <f>IF((480*(10^(8.65-(O38/10))))&lt;480,480*(10^(8.65-(O38/10))),480)</f>
        <v/>
      </c>
      <c r="AU38" s="111">
        <f>IF(O38&lt;80,"0",IF((P38-O38)&lt;=2,('DPI art.191'!$G$3-(('DPI art.191'!$F$3-'DPI art.191'!$G$3)/4)*(P38-O38-2)),('DPI art.191'!$G$3-(('DPI art.191'!$G$3-'DPI art.191'!$H$3)/8)*(P38-O38-2))))</f>
        <v/>
      </c>
      <c r="AV38" s="24">
        <f>O38-AU38</f>
        <v/>
      </c>
      <c r="AW38" s="24">
        <f>IF(N38&lt;135,N38,N38-'DPI art.191'!$I$3)</f>
        <v/>
      </c>
      <c r="AX38" s="111">
        <f>IF(O38&lt;80,"0",IF((P38-O38)&lt;=2,('DPI art.191'!$G$5-(('DPI art.191'!$F$5-'DPI art.191'!$G$5)/4)*(P38-O38-2)),('DPI art.191'!$G$5-(('DPI art.191'!$G$5-'DPI art.191'!$H$5)/8)*(P38-O38-2))))</f>
        <v/>
      </c>
      <c r="AY38" s="24">
        <f>O38-AX38</f>
        <v/>
      </c>
      <c r="AZ38" s="24">
        <f>IF(N38&lt;135,N38,N38-'DPI art.191'!$I$5)</f>
        <v/>
      </c>
      <c r="BA38" s="111">
        <f>IF(O38&lt;80,"0",IF((P38-O38)&lt;=2,('DPI art.191'!$G$7-(('DPI art.191'!$F$7-'DPI art.191'!$G$7)/4)*(P38-O38-2)),('DPI art.191'!$G$7-(('DPI art.191'!$G$7-'DPI art.191'!$H$7)/8)*(P38-O38-2))))</f>
        <v/>
      </c>
      <c r="BB38" s="24">
        <f>O38-BA38</f>
        <v/>
      </c>
      <c r="BC38" s="24">
        <f>IF(N38&lt;135,N38,N38-'DPI art.191'!$I$7)</f>
        <v/>
      </c>
      <c r="BD38" s="111">
        <f>IF(O38&lt;80,"0",IF((P38-O38)&lt;=2,('DPI art.191'!$G$9-(('DPI art.191'!$F$9-'DPI art.191'!$G$9)/4)*(O38-P38-2)),('DPI art.191'!$G$9-(('DPI art.191'!$G$9-'DPI art.191'!$H$9)/8)*(P38-O38-2))))</f>
        <v/>
      </c>
      <c r="BE38" s="24">
        <f>O38-BD38</f>
        <v/>
      </c>
      <c r="BF38" s="24">
        <f>IF(N38&lt;135,N38,N38-'DPI art.191'!$I$9)</f>
        <v/>
      </c>
      <c r="BG38" s="111">
        <f>IF(O38&lt;80,"0",IF((P38-O38)&lt;=2,('DPI art.191'!$G$11-(('DPI art.191'!$F$11-'DPI art.191'!$G$11)/4)*(P38-O38-2)),('DPI art.191'!$G$11-(('DPI art.191'!$G$11-'DPI art.191'!$H$11)/8)*(P38-O38-2))))</f>
        <v/>
      </c>
      <c r="BH38" s="24">
        <f>O38-BG38</f>
        <v/>
      </c>
      <c r="BI38" s="24">
        <f>IF(T38&lt;135,T38,T38-'DPI art.191'!$I$11)</f>
        <v/>
      </c>
      <c r="BJ38" s="111">
        <f>IF(O38&lt;80,"0",IF((P38-O38)&lt;=2,('DPI art.191'!$G$13-(('DPI art.191'!$F$13-'DPI art.191'!$G$13)/4)*(P38-O38-2)),('DPI art.191'!$G$13-(('DPI art.191'!$G$13-'DPI art.191'!$H$13)/8)*(P38-O38-2))))</f>
        <v/>
      </c>
      <c r="BK38" s="24">
        <f>O38-BJ38</f>
        <v/>
      </c>
      <c r="BL38" s="24">
        <f>IF(T38&lt;135,T38,T38-'DPI art.191'!$I$13)</f>
        <v/>
      </c>
      <c r="BM38" s="111">
        <f>IF(O38&lt;80,"0",IF((P38-O38)&lt;=2,('DPI art.191'!$G$15-(('DPI art.191'!$F$15-'DPI art.191'!$G$15)/4)*(P38-O38-2)),('DPI art.191'!$G$15-(('DPI art.191'!$G$15-'DPI art.191'!$H$15)/8)*(P38-O38-2))))</f>
        <v/>
      </c>
      <c r="BN38" s="24">
        <f>O38-BM38</f>
        <v/>
      </c>
      <c r="BO38" s="24">
        <f>IF(Z38&lt;135,Z38,Z38-'DPI art.191'!$I$15)</f>
        <v/>
      </c>
      <c r="BP38" s="108">
        <f>10^(0.1*R38)</f>
        <v/>
      </c>
      <c r="BQ38" s="108">
        <f>10^(0.1*X38)</f>
        <v/>
      </c>
      <c r="BR38" s="108">
        <f>10^(0.1*AB38)</f>
        <v/>
      </c>
      <c r="BS38" s="108">
        <f>10^(0.1*AF38)</f>
        <v/>
      </c>
      <c r="BT38" s="108">
        <f>10^(0.1*AJ38)</f>
        <v/>
      </c>
      <c r="BU38" s="108">
        <f>10^(0.1*AN38)</f>
        <v/>
      </c>
      <c r="BV38" s="106">
        <f>IF(R38&gt;0,(O38-R38),"")</f>
        <v/>
      </c>
      <c r="BW38" s="106">
        <f>IF(X38&gt;0,(O38-X38),"")</f>
        <v/>
      </c>
      <c r="BX38" s="106">
        <f>IF(AB38&gt;0,(O38-AB38),"")</f>
        <v/>
      </c>
      <c r="BY38" s="106">
        <f>IF(AF38&gt;0,(O38-AF38),"")</f>
        <v/>
      </c>
      <c r="BZ38" s="106">
        <f>IF(AJ38&gt;0,(O38-AJ38),"")</f>
        <v/>
      </c>
      <c r="CA38" s="106">
        <f>IF(AN38&gt;0,(O38-AN38),"")</f>
        <v/>
      </c>
      <c r="CB38" s="106">
        <f>COUNT(BV38:CA38)</f>
        <v/>
      </c>
      <c r="CC38" s="464">
        <f>IF(CB38=0,0,IF(CB38=1,0,1/(CB38*(CB38-1))))</f>
        <v/>
      </c>
      <c r="CD38" s="136">
        <f>IF(R38&gt;0,(BV38^2),"")</f>
        <v/>
      </c>
      <c r="CE38" s="136">
        <f>IF(X38&gt;0,(BW38^2),"")</f>
        <v/>
      </c>
      <c r="CF38" s="136">
        <f>IF(AB38&gt;0,(BX38^2),"")</f>
        <v/>
      </c>
      <c r="CG38" s="136">
        <f>IF(AF38&gt;0,(BY38^2),"")</f>
        <v/>
      </c>
      <c r="CH38" s="136">
        <f>IF(AJ38&gt;0,(BZ38^2),"")</f>
        <v/>
      </c>
      <c r="CI38" s="136">
        <f>IF(AN38&gt;0,(CA38^2),"")</f>
        <v/>
      </c>
    </row>
    <row r="39" ht="18.75" customHeight="1" s="444">
      <c r="A39" s="340" t="inlineStr">
        <is>
          <t>024/B/PRS748</t>
        </is>
      </c>
      <c r="B39" s="65" t="inlineStr">
        <is>
          <t>D14</t>
        </is>
      </c>
      <c r="C39" s="78" t="inlineStr">
        <is>
          <t>Preparazione saldatura</t>
        </is>
      </c>
      <c r="D39" s="83" t="inlineStr">
        <is>
          <t>/</t>
        </is>
      </c>
      <c r="E39" s="83" t="inlineStr">
        <is>
          <t>/</t>
        </is>
      </c>
      <c r="F39" s="192" t="inlineStr">
        <is>
          <t>Preparazione saldatura</t>
        </is>
      </c>
      <c r="G39" s="71" t="n">
        <v>46003</v>
      </c>
      <c r="H39" s="77" t="inlineStr">
        <is>
          <t>Compito</t>
        </is>
      </c>
      <c r="I39" s="77">
        <f>IF((V39-R39)&gt;3,"SI","")</f>
        <v/>
      </c>
      <c r="J39" s="77">
        <f>IF((U39-R39)&gt;3,"SI","")</f>
        <v/>
      </c>
      <c r="K39" s="77" t="n"/>
      <c r="L39" s="77" t="n"/>
      <c r="M39" s="137">
        <f>IF(R39&gt;0,(SQRT(CC39*(SUM(CD39:CI39)))),"")</f>
        <v/>
      </c>
      <c r="N39" s="4">
        <f>IF(T39&gt;0,(MAX(T39,Z39,AD39,AH39,AL39,AP39))+SQRT(1.2^2+1^2),"")</f>
        <v/>
      </c>
      <c r="O39" s="3">
        <f>IF(R39="",0,10*LOG10(SUM(BP39:BU39)/(COUNT(R39,X39,AB39,AF39,AJ39,AN39))))</f>
        <v/>
      </c>
      <c r="P39" s="5">
        <f>IF(AND(Y39="",AC39="",AG39="",AK39="",AO39=""),S39,AVERAGE(S39,Y39,AC39,AG39,AK39,AO39)+STDEV(S39,Y39,AC39,AG39,AK39,AO39))</f>
        <v/>
      </c>
      <c r="Q39" s="14" t="n">
        <v>300</v>
      </c>
      <c r="R39" s="11" t="n">
        <v>41.4</v>
      </c>
      <c r="S39" s="12" t="n">
        <v>52.3</v>
      </c>
      <c r="T39" s="13" t="n">
        <v>83.2</v>
      </c>
      <c r="U39" s="79" t="n">
        <v>41.4</v>
      </c>
      <c r="V39" s="79" t="n">
        <v>47.1</v>
      </c>
      <c r="W39" s="10" t="n">
        <v>300</v>
      </c>
      <c r="X39" s="11" t="n">
        <v>39</v>
      </c>
      <c r="Y39" s="12" t="n">
        <v>53.2</v>
      </c>
      <c r="Z39" s="13" t="n">
        <v>88</v>
      </c>
      <c r="AA39" s="10" t="n">
        <v>300</v>
      </c>
      <c r="AB39" s="11" t="n">
        <v>40.2</v>
      </c>
      <c r="AC39" s="12" t="n">
        <v>50.8</v>
      </c>
      <c r="AD39" s="13" t="n">
        <v>79.3</v>
      </c>
      <c r="AE39" s="14" t="n">
        <v>300</v>
      </c>
      <c r="AF39" s="11" t="n">
        <v>57</v>
      </c>
      <c r="AG39" s="12" t="n">
        <v>59.9</v>
      </c>
      <c r="AH39" s="13" t="n">
        <v>91</v>
      </c>
      <c r="AI39" s="10" t="n">
        <v>300</v>
      </c>
      <c r="AJ39" s="11" t="n">
        <v>55.3</v>
      </c>
      <c r="AK39" s="12" t="n">
        <v>58.2</v>
      </c>
      <c r="AL39" s="13" t="n">
        <v>92.40000000000001</v>
      </c>
      <c r="AM39" s="10" t="n">
        <v>300</v>
      </c>
      <c r="AN39" s="11" t="n">
        <v>61.8</v>
      </c>
      <c r="AO39" s="12" t="n">
        <v>62.7</v>
      </c>
      <c r="AP39" s="13" t="n">
        <v>91.90000000000001</v>
      </c>
      <c r="AQ39" s="6">
        <f>IF(AND((O39)&lt;85,N39&lt;137),"NO","SI")</f>
        <v/>
      </c>
      <c r="AR39" s="7">
        <f>IF((480*(10^(7.95-(O39/10))))&lt;480,480*(10^(7.95-(O39/10))),480)</f>
        <v/>
      </c>
      <c r="AS39" s="8">
        <f>IF((480*(10^(8.45-(O39/10))))&lt;480,480*(10^(8.45-(O39/10))),480)</f>
        <v/>
      </c>
      <c r="AT39" s="9">
        <f>IF((480*(10^(8.65-(O39/10))))&lt;480,480*(10^(8.65-(O39/10))),480)</f>
        <v/>
      </c>
      <c r="AU39" s="111">
        <f>IF(O39&lt;80,"0",IF((P39-O39)&lt;=2,('DPI art.191'!$G$3-(('DPI art.191'!$F$3-'DPI art.191'!$G$3)/4)*(P39-O39-2)),('DPI art.191'!$G$3-(('DPI art.191'!$G$3-'DPI art.191'!$H$3)/8)*(P39-O39-2))))</f>
        <v/>
      </c>
      <c r="AV39" s="24">
        <f>O39-AU39</f>
        <v/>
      </c>
      <c r="AW39" s="24">
        <f>IF(N39&lt;135,N39,N39-'DPI art.191'!$I$3)</f>
        <v/>
      </c>
      <c r="AX39" s="111">
        <f>IF(O39&lt;80,"0",IF((P39-O39)&lt;=2,('DPI art.191'!$G$5-(('DPI art.191'!$F$5-'DPI art.191'!$G$5)/4)*(P39-O39-2)),('DPI art.191'!$G$5-(('DPI art.191'!$G$5-'DPI art.191'!$H$5)/8)*(P39-O39-2))))</f>
        <v/>
      </c>
      <c r="AY39" s="24">
        <f>O39-AX39</f>
        <v/>
      </c>
      <c r="AZ39" s="24">
        <f>IF(N39&lt;135,N39,N39-'DPI art.191'!$I$5)</f>
        <v/>
      </c>
      <c r="BA39" s="111">
        <f>IF(O39&lt;80,"0",IF((P39-O39)&lt;=2,('DPI art.191'!$G$7-(('DPI art.191'!$F$7-'DPI art.191'!$G$7)/4)*(P39-O39-2)),('DPI art.191'!$G$7-(('DPI art.191'!$G$7-'DPI art.191'!$H$7)/8)*(P39-O39-2))))</f>
        <v/>
      </c>
      <c r="BB39" s="24">
        <f>O39-BA39</f>
        <v/>
      </c>
      <c r="BC39" s="24">
        <f>IF(N39&lt;135,N39,N39-'DPI art.191'!$I$7)</f>
        <v/>
      </c>
      <c r="BD39" s="111">
        <f>IF(O39&lt;80,"0",IF((P39-O39)&lt;=2,('DPI art.191'!$G$9-(('DPI art.191'!$F$9-'DPI art.191'!$G$9)/4)*(O39-P39-2)),('DPI art.191'!$G$9-(('DPI art.191'!$G$9-'DPI art.191'!$H$9)/8)*(P39-O39-2))))</f>
        <v/>
      </c>
      <c r="BE39" s="24">
        <f>O39-BD39</f>
        <v/>
      </c>
      <c r="BF39" s="24">
        <f>IF(N39&lt;135,N39,N39-'DPI art.191'!$I$9)</f>
        <v/>
      </c>
      <c r="BG39" s="111">
        <f>IF(O39&lt;80,"0",IF((P39-O39)&lt;=2,('DPI art.191'!$G$11-(('DPI art.191'!$F$11-'DPI art.191'!$G$11)/4)*(P39-O39-2)),('DPI art.191'!$G$11-(('DPI art.191'!$G$11-'DPI art.191'!$H$11)/8)*(P39-O39-2))))</f>
        <v/>
      </c>
      <c r="BH39" s="24">
        <f>O39-BG39</f>
        <v/>
      </c>
      <c r="BI39" s="24">
        <f>IF(T39&lt;135,T39,T39-'DPI art.191'!$I$11)</f>
        <v/>
      </c>
      <c r="BJ39" s="111">
        <f>IF(O39&lt;80,"0",IF((P39-O39)&lt;=2,('DPI art.191'!$G$13-(('DPI art.191'!$F$13-'DPI art.191'!$G$13)/4)*(P39-O39-2)),('DPI art.191'!$G$13-(('DPI art.191'!$G$13-'DPI art.191'!$H$13)/8)*(P39-O39-2))))</f>
        <v/>
      </c>
      <c r="BK39" s="24">
        <f>O39-BJ39</f>
        <v/>
      </c>
      <c r="BL39" s="24">
        <f>IF(T39&lt;135,T39,T39-'DPI art.191'!$I$13)</f>
        <v/>
      </c>
      <c r="BM39" s="111">
        <f>IF(O39&lt;80,"0",IF((P39-O39)&lt;=2,('DPI art.191'!$G$15-(('DPI art.191'!$F$15-'DPI art.191'!$G$15)/4)*(P39-O39-2)),('DPI art.191'!$G$15-(('DPI art.191'!$G$15-'DPI art.191'!$H$15)/8)*(P39-O39-2))))</f>
        <v/>
      </c>
      <c r="BN39" s="24">
        <f>O39-BM39</f>
        <v/>
      </c>
      <c r="BO39" s="24">
        <f>IF(Z39&lt;135,Z39,Z39-'DPI art.191'!$I$15)</f>
        <v/>
      </c>
      <c r="BP39" s="108">
        <f>10^(0.1*R39)</f>
        <v/>
      </c>
      <c r="BQ39" s="108">
        <f>10^(0.1*X39)</f>
        <v/>
      </c>
      <c r="BR39" s="108">
        <f>10^(0.1*AB39)</f>
        <v/>
      </c>
      <c r="BS39" s="108">
        <f>10^(0.1*AF39)</f>
        <v/>
      </c>
      <c r="BT39" s="108">
        <f>10^(0.1*AJ39)</f>
        <v/>
      </c>
      <c r="BU39" s="108">
        <f>10^(0.1*AN39)</f>
        <v/>
      </c>
      <c r="BV39" s="106">
        <f>IF(R39&gt;0,(O39-R39),"")</f>
        <v/>
      </c>
      <c r="BW39" s="106">
        <f>IF(X39&gt;0,(O39-X39),"")</f>
        <v/>
      </c>
      <c r="BX39" s="106">
        <f>IF(AB39&gt;0,(O39-AB39),"")</f>
        <v/>
      </c>
      <c r="BY39" s="106">
        <f>IF(AF39&gt;0,(O39-AF39),"")</f>
        <v/>
      </c>
      <c r="BZ39" s="106">
        <f>IF(AJ39&gt;0,(O39-AJ39),"")</f>
        <v/>
      </c>
      <c r="CA39" s="106">
        <f>IF(AN39&gt;0,(O39-AN39),"")</f>
        <v/>
      </c>
      <c r="CB39" s="106">
        <f>COUNT(BV39:CA39)</f>
        <v/>
      </c>
      <c r="CC39" s="464">
        <f>IF(CB39=0,0,IF(CB39=1,0,1/(CB39*(CB39-1))))</f>
        <v/>
      </c>
      <c r="CD39" s="136">
        <f>IF(R39&gt;0,(BV39^2),"")</f>
        <v/>
      </c>
      <c r="CE39" s="136">
        <f>IF(X39&gt;0,(BW39^2),"")</f>
        <v/>
      </c>
      <c r="CF39" s="136">
        <f>IF(AB39&gt;0,(BX39^2),"")</f>
        <v/>
      </c>
      <c r="CG39" s="136">
        <f>IF(AF39&gt;0,(BY39^2),"")</f>
        <v/>
      </c>
      <c r="CH39" s="136">
        <f>IF(AJ39&gt;0,(BZ39^2),"")</f>
        <v/>
      </c>
      <c r="CI39" s="136">
        <f>IF(AN39&gt;0,(CA39^2),"")</f>
        <v/>
      </c>
    </row>
    <row r="40" ht="18.75" customHeight="1" s="444">
      <c r="A40" s="340" t="inlineStr">
        <is>
          <t>273/10</t>
        </is>
      </c>
      <c r="B40" s="65" t="inlineStr">
        <is>
          <t>D15</t>
        </is>
      </c>
      <c r="C40" s="78" t="inlineStr">
        <is>
          <t>Taglio con sega a nastro</t>
        </is>
      </c>
      <c r="D40" s="83" t="inlineStr">
        <is>
          <t>/</t>
        </is>
      </c>
      <c r="E40" s="83" t="inlineStr">
        <is>
          <t>/</t>
        </is>
      </c>
      <c r="F40" s="192" t="inlineStr">
        <is>
          <t>Taglio con sega a nastro</t>
        </is>
      </c>
      <c r="G40" s="71" t="n">
        <v>46003</v>
      </c>
      <c r="H40" s="77" t="inlineStr">
        <is>
          <t>Compito</t>
        </is>
      </c>
      <c r="I40" s="77">
        <f>IF((V40-R40)&gt;3,"SI","")</f>
        <v/>
      </c>
      <c r="J40" s="77">
        <f>IF((U40-R40)&gt;3,"SI","")</f>
        <v/>
      </c>
      <c r="K40" s="77" t="n"/>
      <c r="L40" s="77" t="n"/>
      <c r="M40" s="137">
        <f>IF(R40&gt;0,(SQRT(CC40*(SUM(CD40:CI40)))),"")</f>
        <v/>
      </c>
      <c r="N40" s="4">
        <f>IF(T40&gt;0,(MAX(T40,Z40,AD40,AH40,AL40,AP40))+SQRT(1.2^2+1^2),"")</f>
        <v/>
      </c>
      <c r="O40" s="3">
        <f>IF(R40="",0,10*LOG10(SUM(BP40:BU40)/(COUNT(R40,X40,AB40,AF40,AJ40,AN40))))</f>
        <v/>
      </c>
      <c r="P40" s="5">
        <f>IF(AND(Y40="",AC40="",AG40="",AK40="",AO40=""),S40,AVERAGE(S40,Y40,AC40,AG40,AK40,AO40)+STDEV(S40,Y40,AC40,AG40,AK40,AO40))</f>
        <v/>
      </c>
      <c r="Q40" s="14" t="n">
        <v>300</v>
      </c>
      <c r="R40" s="11" t="n">
        <v>81</v>
      </c>
      <c r="S40" s="12" t="n">
        <v>82.2</v>
      </c>
      <c r="T40" s="13" t="n">
        <v>120.2</v>
      </c>
      <c r="U40" s="79" t="n">
        <v>81.09999999999999</v>
      </c>
      <c r="V40" s="79" t="n">
        <v>86.8</v>
      </c>
      <c r="W40" s="10" t="n">
        <v>300</v>
      </c>
      <c r="X40" s="11" t="n">
        <v>84.3</v>
      </c>
      <c r="Y40" s="12" t="n">
        <v>84.09999999999999</v>
      </c>
      <c r="Z40" s="13" t="n">
        <v>125.5</v>
      </c>
      <c r="AA40" s="10" t="n">
        <v>300</v>
      </c>
      <c r="AB40" s="11" t="n">
        <v>85.40000000000001</v>
      </c>
      <c r="AC40" s="12" t="n">
        <v>85</v>
      </c>
      <c r="AD40" s="13" t="n">
        <v>122.4</v>
      </c>
      <c r="AE40" s="14" t="n">
        <v>300</v>
      </c>
      <c r="AF40" s="11" t="n">
        <v>83.40000000000001</v>
      </c>
      <c r="AG40" s="12" t="n">
        <v>83.59999999999999</v>
      </c>
      <c r="AH40" s="13" t="n">
        <v>117.7</v>
      </c>
      <c r="AI40" s="10" t="n">
        <v>300</v>
      </c>
      <c r="AJ40" s="11" t="n">
        <v>82.90000000000001</v>
      </c>
      <c r="AK40" s="12" t="n">
        <v>83.09999999999999</v>
      </c>
      <c r="AL40" s="13" t="n">
        <v>118.6</v>
      </c>
      <c r="AM40" s="10" t="n">
        <v>300</v>
      </c>
      <c r="AN40" s="11" t="n">
        <v>81.40000000000001</v>
      </c>
      <c r="AO40" s="12" t="n">
        <v>81.90000000000001</v>
      </c>
      <c r="AP40" s="13" t="n">
        <v>121.9</v>
      </c>
      <c r="AQ40" s="6">
        <f>IF(AND((O40)&lt;85,N40&lt;137),"NO","SI")</f>
        <v/>
      </c>
      <c r="AR40" s="7">
        <f>IF((480*(10^(7.95-(O40/10))))&lt;480,480*(10^(7.95-(O40/10))),480)</f>
        <v/>
      </c>
      <c r="AS40" s="8">
        <f>IF((480*(10^(8.45-(O40/10))))&lt;480,480*(10^(8.45-(O40/10))),480)</f>
        <v/>
      </c>
      <c r="AT40" s="9">
        <f>IF((480*(10^(8.65-(O40/10))))&lt;480,480*(10^(8.65-(O40/10))),480)</f>
        <v/>
      </c>
      <c r="AU40" s="111">
        <f>IF(O40&lt;80,"0",IF((P40-O40)&lt;=2,('DPI art.191'!$G$3-(('DPI art.191'!$F$3-'DPI art.191'!$G$3)/4)*(P40-O40-2)),('DPI art.191'!$G$3-(('DPI art.191'!$G$3-'DPI art.191'!$H$3)/8)*(P40-O40-2))))</f>
        <v/>
      </c>
      <c r="AV40" s="24">
        <f>O40-AU40</f>
        <v/>
      </c>
      <c r="AW40" s="24">
        <f>IF(N40&lt;135,N40,N40-'DPI art.191'!$I$3)</f>
        <v/>
      </c>
      <c r="AX40" s="111">
        <f>IF(O40&lt;80,"0",IF((P40-O40)&lt;=2,('DPI art.191'!$G$5-(('DPI art.191'!$F$5-'DPI art.191'!$G$5)/4)*(P40-O40-2)),('DPI art.191'!$G$5-(('DPI art.191'!$G$5-'DPI art.191'!$H$5)/8)*(P40-O40-2))))</f>
        <v/>
      </c>
      <c r="AY40" s="24">
        <f>O40-AX40</f>
        <v/>
      </c>
      <c r="AZ40" s="24">
        <f>IF(N40&lt;135,N40,N40-'DPI art.191'!$I$5)</f>
        <v/>
      </c>
      <c r="BA40" s="111">
        <f>IF(O40&lt;80,"0",IF((P40-O40)&lt;=2,('DPI art.191'!$G$7-(('DPI art.191'!$F$7-'DPI art.191'!$G$7)/4)*(P40-O40-2)),('DPI art.191'!$G$7-(('DPI art.191'!$G$7-'DPI art.191'!$H$7)/8)*(P40-O40-2))))</f>
        <v/>
      </c>
      <c r="BB40" s="24">
        <f>O40-BA40</f>
        <v/>
      </c>
      <c r="BC40" s="24">
        <f>IF(N40&lt;135,N40,N40-'DPI art.191'!$I$7)</f>
        <v/>
      </c>
      <c r="BD40" s="111">
        <f>IF(O40&lt;80,"0",IF((P40-O40)&lt;=2,('DPI art.191'!$G$9-(('DPI art.191'!$F$9-'DPI art.191'!$G$9)/4)*(O40-P40-2)),('DPI art.191'!$G$9-(('DPI art.191'!$G$9-'DPI art.191'!$H$9)/8)*(P40-O40-2))))</f>
        <v/>
      </c>
      <c r="BE40" s="24">
        <f>O40-BD40</f>
        <v/>
      </c>
      <c r="BF40" s="24">
        <f>IF(N40&lt;135,N40,N40-'DPI art.191'!$I$9)</f>
        <v/>
      </c>
      <c r="BG40" s="111">
        <f>IF(O40&lt;80,"0",IF((P40-O40)&lt;=2,('DPI art.191'!$G$11-(('DPI art.191'!$F$11-'DPI art.191'!$G$11)/4)*(P40-O40-2)),('DPI art.191'!$G$11-(('DPI art.191'!$G$11-'DPI art.191'!$H$11)/8)*(P40-O40-2))))</f>
        <v/>
      </c>
      <c r="BH40" s="24">
        <f>O40-BG40</f>
        <v/>
      </c>
      <c r="BI40" s="24">
        <f>IF(T40&lt;135,T40,T40-'DPI art.191'!$I$11)</f>
        <v/>
      </c>
      <c r="BJ40" s="111">
        <f>IF(O40&lt;80,"0",IF((P40-O40)&lt;=2,('DPI art.191'!$G$13-(('DPI art.191'!$F$13-'DPI art.191'!$G$13)/4)*(P40-O40-2)),('DPI art.191'!$G$13-(('DPI art.191'!$G$13-'DPI art.191'!$H$13)/8)*(P40-O40-2))))</f>
        <v/>
      </c>
      <c r="BK40" s="24">
        <f>O40-BJ40</f>
        <v/>
      </c>
      <c r="BL40" s="24">
        <f>IF(T40&lt;135,T40,T40-'DPI art.191'!$I$13)</f>
        <v/>
      </c>
      <c r="BM40" s="111">
        <f>IF(O40&lt;80,"0",IF((P40-O40)&lt;=2,('DPI art.191'!$G$15-(('DPI art.191'!$F$15-'DPI art.191'!$G$15)/4)*(P40-O40-2)),('DPI art.191'!$G$15-(('DPI art.191'!$G$15-'DPI art.191'!$H$15)/8)*(P40-O40-2))))</f>
        <v/>
      </c>
      <c r="BN40" s="24">
        <f>O40-BM40</f>
        <v/>
      </c>
      <c r="BO40" s="24">
        <f>IF(Z40&lt;135,Z40,Z40-'DPI art.191'!$I$15)</f>
        <v/>
      </c>
      <c r="BP40" s="108">
        <f>10^(0.1*R40)</f>
        <v/>
      </c>
      <c r="BQ40" s="108">
        <f>10^(0.1*X40)</f>
        <v/>
      </c>
      <c r="BR40" s="108">
        <f>10^(0.1*AB40)</f>
        <v/>
      </c>
      <c r="BS40" s="108">
        <f>10^(0.1*AF40)</f>
        <v/>
      </c>
      <c r="BT40" s="108">
        <f>10^(0.1*AJ40)</f>
        <v/>
      </c>
      <c r="BU40" s="108">
        <f>10^(0.1*AN40)</f>
        <v/>
      </c>
      <c r="BV40" s="106">
        <f>IF(R40&gt;0,(O40-R40),"")</f>
        <v/>
      </c>
      <c r="BW40" s="106">
        <f>IF(X40&gt;0,(O40-X40),"")</f>
        <v/>
      </c>
      <c r="BX40" s="106">
        <f>IF(AB40&gt;0,(O40-AB40),"")</f>
        <v/>
      </c>
      <c r="BY40" s="106">
        <f>IF(AF40&gt;0,(O40-AF40),"")</f>
        <v/>
      </c>
      <c r="BZ40" s="106">
        <f>IF(AJ40&gt;0,(O40-AJ40),"")</f>
        <v/>
      </c>
      <c r="CA40" s="106">
        <f>IF(AN40&gt;0,(O40-AN40),"")</f>
        <v/>
      </c>
      <c r="CB40" s="106">
        <f>COUNT(BV40:CA40)</f>
        <v/>
      </c>
      <c r="CC40" s="464">
        <f>IF(CB40=0,0,IF(CB40=1,0,1/(CB40*(CB40-1))))</f>
        <v/>
      </c>
      <c r="CD40" s="136">
        <f>IF(R40&gt;0,(BV40^2),"")</f>
        <v/>
      </c>
      <c r="CE40" s="136">
        <f>IF(X40&gt;0,(BW40^2),"")</f>
        <v/>
      </c>
      <c r="CF40" s="136">
        <f>IF(AB40&gt;0,(BX40^2),"")</f>
        <v/>
      </c>
      <c r="CG40" s="136">
        <f>IF(AF40&gt;0,(BY40^2),"")</f>
        <v/>
      </c>
      <c r="CH40" s="136">
        <f>IF(AJ40&gt;0,(BZ40^2),"")</f>
        <v/>
      </c>
      <c r="CI40" s="136">
        <f>IF(AN40&gt;0,(CA40^2),"")</f>
        <v/>
      </c>
    </row>
    <row r="41" ht="25.5" customHeight="1" s="444">
      <c r="A41" s="340" t="inlineStr">
        <is>
          <t>Verniciatura</t>
        </is>
      </c>
      <c r="B41" s="65" t="inlineStr">
        <is>
          <t>D16</t>
        </is>
      </c>
      <c r="C41" s="78" t="inlineStr">
        <is>
          <t>Assistenza durante fase di puizia pezzi con aria compressa</t>
        </is>
      </c>
      <c r="D41" s="83" t="inlineStr">
        <is>
          <t>/</t>
        </is>
      </c>
      <c r="E41" s="83" t="inlineStr">
        <is>
          <t>/</t>
        </is>
      </c>
      <c r="F41" s="78" t="inlineStr">
        <is>
          <t>Assistenza durante fase di puizia pezzi con aria compressa</t>
        </is>
      </c>
      <c r="G41" s="71" t="n">
        <v>46003</v>
      </c>
      <c r="H41" s="77" t="inlineStr">
        <is>
          <t>Compito</t>
        </is>
      </c>
      <c r="I41" s="77">
        <f>IF((V41-R41)&gt;3,"SI","")</f>
        <v/>
      </c>
      <c r="J41" s="77">
        <f>IF((U41-R41)&gt;3,"SI","")</f>
        <v/>
      </c>
      <c r="K41" s="77" t="n"/>
      <c r="L41" s="77" t="n"/>
      <c r="M41" s="137">
        <f>IF(R41&gt;0,(SQRT(CC41*(SUM(CD41:CI41)))),"")</f>
        <v/>
      </c>
      <c r="N41" s="4">
        <f>IF(T41&gt;0,(MAX(T41,Z41,AD41,AH41,AL41,AP41))+SQRT(1.2^2+1^2),"")</f>
        <v/>
      </c>
      <c r="O41" s="3">
        <f>IF(R41="",0,10*LOG10(SUM(BP41:BU41)/(COUNT(R41,X41,AB41,AF41,AJ41,AN41))))</f>
        <v/>
      </c>
      <c r="P41" s="5">
        <f>IF(AND(Y41="",AC41="",AG41="",AK41="",AO41=""),S41,AVERAGE(S41,Y41,AC41,AG41,AK41,AO41)+STDEV(S41,Y41,AC41,AG41,AK41,AO41))</f>
        <v/>
      </c>
      <c r="Q41" s="14" t="n">
        <v>300</v>
      </c>
      <c r="R41" s="11" t="n">
        <v>84.3</v>
      </c>
      <c r="S41" s="12" t="n">
        <v>84.5</v>
      </c>
      <c r="T41" s="13" t="n">
        <v>112.6</v>
      </c>
      <c r="U41" s="79" t="n">
        <v>84.2</v>
      </c>
      <c r="V41" s="79" t="n">
        <v>87.5</v>
      </c>
      <c r="W41" s="10" t="n">
        <v>300</v>
      </c>
      <c r="X41" s="11" t="n">
        <v>82.2</v>
      </c>
      <c r="Y41" s="12" t="n">
        <v>83.09999999999999</v>
      </c>
      <c r="Z41" s="13" t="n">
        <v>117.7</v>
      </c>
      <c r="AA41" s="10" t="n">
        <v>300</v>
      </c>
      <c r="AB41" s="11" t="n">
        <v>82.7</v>
      </c>
      <c r="AC41" s="12" t="n">
        <v>83.59999999999999</v>
      </c>
      <c r="AD41" s="13" t="n">
        <v>113.7</v>
      </c>
      <c r="AE41" s="14" t="n">
        <v>300</v>
      </c>
      <c r="AF41" s="11" t="n">
        <v>85.40000000000001</v>
      </c>
      <c r="AG41" s="12" t="n">
        <v>85.5</v>
      </c>
      <c r="AH41" s="13" t="n">
        <v>119.2</v>
      </c>
      <c r="AI41" s="10" t="n">
        <v>300</v>
      </c>
      <c r="AJ41" s="11" t="n">
        <v>85.90000000000001</v>
      </c>
      <c r="AK41" s="12" t="n">
        <v>86</v>
      </c>
      <c r="AL41" s="13" t="n">
        <v>112</v>
      </c>
      <c r="AM41" s="10" t="n">
        <v>300</v>
      </c>
      <c r="AN41" s="11" t="n">
        <v>79.09999999999999</v>
      </c>
      <c r="AO41" s="12" t="n">
        <v>82.40000000000001</v>
      </c>
      <c r="AP41" s="13" t="n">
        <v>113.2</v>
      </c>
      <c r="AQ41" s="6">
        <f>IF(AND((O41)&lt;85,N41&lt;137),"NO","SI")</f>
        <v/>
      </c>
      <c r="AR41" s="7">
        <f>IF((480*(10^(7.95-(O41/10))))&lt;480,480*(10^(7.95-(O41/10))),480)</f>
        <v/>
      </c>
      <c r="AS41" s="8">
        <f>IF((480*(10^(8.45-(O41/10))))&lt;480,480*(10^(8.45-(O41/10))),480)</f>
        <v/>
      </c>
      <c r="AT41" s="9">
        <f>IF((480*(10^(8.65-(O41/10))))&lt;480,480*(10^(8.65-(O41/10))),480)</f>
        <v/>
      </c>
      <c r="AU41" s="111">
        <f>IF(O41&lt;80,"0",IF((P41-O41)&lt;=2,('DPI art.191'!$G$3-(('DPI art.191'!$F$3-'DPI art.191'!$G$3)/4)*(P41-O41-2)),('DPI art.191'!$G$3-(('DPI art.191'!$G$3-'DPI art.191'!$H$3)/8)*(P41-O41-2))))</f>
        <v/>
      </c>
      <c r="AV41" s="24">
        <f>O41-AU41</f>
        <v/>
      </c>
      <c r="AW41" s="24">
        <f>IF(N41&lt;135,N41,N41-'DPI art.191'!$I$3)</f>
        <v/>
      </c>
      <c r="AX41" s="111">
        <f>IF(O41&lt;80,"0",IF((P41-O41)&lt;=2,('DPI art.191'!$G$5-(('DPI art.191'!$F$5-'DPI art.191'!$G$5)/4)*(P41-O41-2)),('DPI art.191'!$G$5-(('DPI art.191'!$G$5-'DPI art.191'!$H$5)/8)*(P41-O41-2))))</f>
        <v/>
      </c>
      <c r="AY41" s="24">
        <f>O41-AX41</f>
        <v/>
      </c>
      <c r="AZ41" s="24">
        <f>IF(N41&lt;135,N41,N41-'DPI art.191'!$I$5)</f>
        <v/>
      </c>
      <c r="BA41" s="111">
        <f>IF(O41&lt;80,"0",IF((P41-O41)&lt;=2,('DPI art.191'!$G$7-(('DPI art.191'!$F$7-'DPI art.191'!$G$7)/4)*(P41-O41-2)),('DPI art.191'!$G$7-(('DPI art.191'!$G$7-'DPI art.191'!$H$7)/8)*(P41-O41-2))))</f>
        <v/>
      </c>
      <c r="BB41" s="24">
        <f>O41-BA41</f>
        <v/>
      </c>
      <c r="BC41" s="24">
        <f>IF(N41&lt;135,N41,N41-'DPI art.191'!$I$7)</f>
        <v/>
      </c>
      <c r="BD41" s="111">
        <f>IF(O41&lt;80,"0",IF((P41-O41)&lt;=2,('DPI art.191'!$G$9-(('DPI art.191'!$F$9-'DPI art.191'!$G$9)/4)*(O41-P41-2)),('DPI art.191'!$G$9-(('DPI art.191'!$G$9-'DPI art.191'!$H$9)/8)*(P41-O41-2))))</f>
        <v/>
      </c>
      <c r="BE41" s="24">
        <f>O41-BD41</f>
        <v/>
      </c>
      <c r="BF41" s="24">
        <f>IF(N41&lt;135,N41,N41-'DPI art.191'!$I$9)</f>
        <v/>
      </c>
      <c r="BG41" s="111">
        <f>IF(O41&lt;80,"0",IF((P41-O41)&lt;=2,('DPI art.191'!$G$11-(('DPI art.191'!$F$11-'DPI art.191'!$G$11)/4)*(P41-O41-2)),('DPI art.191'!$G$11-(('DPI art.191'!$G$11-'DPI art.191'!$H$11)/8)*(P41-O41-2))))</f>
        <v/>
      </c>
      <c r="BH41" s="24">
        <f>O41-BG41</f>
        <v/>
      </c>
      <c r="BI41" s="24">
        <f>IF(T41&lt;135,T41,T41-'DPI art.191'!$I$11)</f>
        <v/>
      </c>
      <c r="BJ41" s="111">
        <f>IF(O41&lt;80,"0",IF((P41-O41)&lt;=2,('DPI art.191'!$G$13-(('DPI art.191'!$F$13-'DPI art.191'!$G$13)/4)*(P41-O41-2)),('DPI art.191'!$G$13-(('DPI art.191'!$G$13-'DPI art.191'!$H$13)/8)*(P41-O41-2))))</f>
        <v/>
      </c>
      <c r="BK41" s="24">
        <f>O41-BJ41</f>
        <v/>
      </c>
      <c r="BL41" s="24">
        <f>IF(T41&lt;135,T41,T41-'DPI art.191'!$I$13)</f>
        <v/>
      </c>
      <c r="BM41" s="111">
        <f>IF(O41&lt;80,"0",IF((P41-O41)&lt;=2,('DPI art.191'!$G$15-(('DPI art.191'!$F$15-'DPI art.191'!$G$15)/4)*(P41-O41-2)),('DPI art.191'!$G$15-(('DPI art.191'!$G$15-'DPI art.191'!$H$15)/8)*(P41-O41-2))))</f>
        <v/>
      </c>
      <c r="BN41" s="24">
        <f>O41-BM41</f>
        <v/>
      </c>
      <c r="BO41" s="24">
        <f>IF(Z41&lt;135,Z41,Z41-'DPI art.191'!$I$15)</f>
        <v/>
      </c>
      <c r="BP41" s="108">
        <f>10^(0.1*R41)</f>
        <v/>
      </c>
      <c r="BQ41" s="108">
        <f>10^(0.1*X41)</f>
        <v/>
      </c>
      <c r="BR41" s="108">
        <f>10^(0.1*AB41)</f>
        <v/>
      </c>
      <c r="BS41" s="108">
        <f>10^(0.1*AF41)</f>
        <v/>
      </c>
      <c r="BT41" s="108">
        <f>10^(0.1*AJ41)</f>
        <v/>
      </c>
      <c r="BU41" s="108">
        <f>10^(0.1*AN41)</f>
        <v/>
      </c>
      <c r="BV41" s="106">
        <f>IF(R41&gt;0,(O41-R41),"")</f>
        <v/>
      </c>
      <c r="BW41" s="106">
        <f>IF(X41&gt;0,(O41-X41),"")</f>
        <v/>
      </c>
      <c r="BX41" s="106">
        <f>IF(AB41&gt;0,(O41-AB41),"")</f>
        <v/>
      </c>
      <c r="BY41" s="106">
        <f>IF(AF41&gt;0,(O41-AF41),"")</f>
        <v/>
      </c>
      <c r="BZ41" s="106">
        <f>IF(AJ41&gt;0,(O41-AJ41),"")</f>
        <v/>
      </c>
      <c r="CA41" s="106">
        <f>IF(AN41&gt;0,(O41-AN41),"")</f>
        <v/>
      </c>
      <c r="CB41" s="106">
        <f>COUNT(BV41:CA41)</f>
        <v/>
      </c>
      <c r="CC41" s="464">
        <f>IF(CB41=0,0,IF(CB41=1,0,1/(CB41*(CB41-1))))</f>
        <v/>
      </c>
      <c r="CD41" s="136">
        <f>IF(R41&gt;0,(BV41^2),"")</f>
        <v/>
      </c>
      <c r="CE41" s="136">
        <f>IF(X41&gt;0,(BW41^2),"")</f>
        <v/>
      </c>
      <c r="CF41" s="136">
        <f>IF(AB41&gt;0,(BX41^2),"")</f>
        <v/>
      </c>
      <c r="CG41" s="136">
        <f>IF(AF41&gt;0,(BY41^2),"")</f>
        <v/>
      </c>
      <c r="CH41" s="136">
        <f>IF(AJ41&gt;0,(BZ41^2),"")</f>
        <v/>
      </c>
      <c r="CI41" s="136">
        <f>IF(AN41&gt;0,(CA41^2),"")</f>
        <v/>
      </c>
    </row>
    <row r="42" ht="25.5" customHeight="1" s="444">
      <c r="A42" s="340" t="inlineStr">
        <is>
          <t>Verniciatura</t>
        </is>
      </c>
      <c r="B42" s="65" t="inlineStr">
        <is>
          <t>D17</t>
        </is>
      </c>
      <c r="C42" s="78" t="inlineStr">
        <is>
          <t>Movimentazione pezzi in uscita dalla verniciatura</t>
        </is>
      </c>
      <c r="D42" s="83" t="inlineStr">
        <is>
          <t>/</t>
        </is>
      </c>
      <c r="E42" s="83" t="inlineStr">
        <is>
          <t>/</t>
        </is>
      </c>
      <c r="F42" s="78" t="inlineStr">
        <is>
          <t>Movimentazione pezzi in uscita dalla verniciatura</t>
        </is>
      </c>
      <c r="G42" s="71" t="n">
        <v>46003</v>
      </c>
      <c r="H42" s="77" t="inlineStr">
        <is>
          <t>Compito</t>
        </is>
      </c>
      <c r="I42" s="77">
        <f>IF((V42-R42)&gt;3,"SI","")</f>
        <v/>
      </c>
      <c r="J42" s="77" t="inlineStr">
        <is>
          <t>SI</t>
        </is>
      </c>
      <c r="K42" s="77" t="n"/>
      <c r="L42" s="77" t="n"/>
      <c r="M42" s="137">
        <f>IF(R42&gt;0,(SQRT(CC42*(SUM(CD42:CI42)))),"")</f>
        <v/>
      </c>
      <c r="N42" s="4">
        <f>IF(T42&gt;0,(MAX(T42,Z42,AD42,AH42,AL42,AP42))+SQRT(1.2^2+1^2),"")</f>
        <v/>
      </c>
      <c r="O42" s="3">
        <f>IF(R42="",0,10*LOG10(SUM(BP42:BU42)/(COUNT(R42,X42,AB42,AF42,AJ42,AN42))))</f>
        <v/>
      </c>
      <c r="P42" s="5">
        <f>IF(AND(Y42="",AC42="",AG42="",AK42="",AO42=""),S42,AVERAGE(S42,Y42,AC42,AG42,AK42,AO42)+STDEV(S42,Y42,AC42,AG42,AK42,AO42))</f>
        <v/>
      </c>
      <c r="Q42" s="14" t="n">
        <v>300</v>
      </c>
      <c r="R42" s="11" t="n">
        <v>77.09999999999999</v>
      </c>
      <c r="S42" s="12" t="n">
        <v>77.8</v>
      </c>
      <c r="T42" s="13" t="n">
        <v>94.40000000000001</v>
      </c>
      <c r="U42" s="79" t="n">
        <v>77.09999999999999</v>
      </c>
      <c r="V42" s="79" t="n">
        <v>78.7</v>
      </c>
      <c r="W42" s="10" t="n">
        <v>300</v>
      </c>
      <c r="X42" s="11" t="n">
        <v>76.5</v>
      </c>
      <c r="Y42" s="12" t="n">
        <v>77.2</v>
      </c>
      <c r="Z42" s="13" t="n">
        <v>92.5</v>
      </c>
      <c r="AA42" s="10" t="n">
        <v>300</v>
      </c>
      <c r="AB42" s="11" t="n">
        <v>77.40000000000001</v>
      </c>
      <c r="AC42" s="12" t="n">
        <v>77.5</v>
      </c>
      <c r="AD42" s="13" t="n">
        <v>94.40000000000001</v>
      </c>
      <c r="AE42" s="14" t="n">
        <v>300</v>
      </c>
      <c r="AF42" s="11" t="n">
        <v>75.2</v>
      </c>
      <c r="AG42" s="12" t="n">
        <v>75.8</v>
      </c>
      <c r="AH42" s="13" t="n">
        <v>97.59999999999999</v>
      </c>
      <c r="AI42" s="10" t="n">
        <v>300</v>
      </c>
      <c r="AJ42" s="11" t="n">
        <v>73.40000000000001</v>
      </c>
      <c r="AK42" s="12" t="n">
        <v>71.40000000000001</v>
      </c>
      <c r="AL42" s="13" t="n">
        <v>87.59999999999999</v>
      </c>
      <c r="AM42" s="10" t="n">
        <v>300</v>
      </c>
      <c r="AN42" s="11" t="n">
        <v>75.59999999999999</v>
      </c>
      <c r="AO42" s="12" t="n">
        <v>73.8</v>
      </c>
      <c r="AP42" s="13" t="n">
        <v>96.09999999999999</v>
      </c>
      <c r="AQ42" s="6">
        <f>IF(AND((O42)&lt;85,N42&lt;137),"NO","SI")</f>
        <v/>
      </c>
      <c r="AR42" s="7">
        <f>IF((480*(10^(7.95-(O42/10))))&lt;480,480*(10^(7.95-(O42/10))),480)</f>
        <v/>
      </c>
      <c r="AS42" s="8">
        <f>IF((480*(10^(8.45-(O42/10))))&lt;480,480*(10^(8.45-(O42/10))),480)</f>
        <v/>
      </c>
      <c r="AT42" s="9">
        <f>IF((480*(10^(8.65-(O42/10))))&lt;480,480*(10^(8.65-(O42/10))),480)</f>
        <v/>
      </c>
      <c r="AU42" s="111">
        <f>IF(O42&lt;80,"0",IF((P42-O42)&lt;=2,('DPI art.191'!$G$3-(('DPI art.191'!$F$3-'DPI art.191'!$G$3)/4)*(P42-O42-2)),('DPI art.191'!$G$3-(('DPI art.191'!$G$3-'DPI art.191'!$H$3)/8)*(P42-O42-2))))</f>
        <v/>
      </c>
      <c r="AV42" s="24">
        <f>O42-AU42</f>
        <v/>
      </c>
      <c r="AW42" s="24">
        <f>IF(N42&lt;135,N42,N42-'DPI art.191'!$I$3)</f>
        <v/>
      </c>
      <c r="AX42" s="111">
        <f>IF(O42&lt;80,"0",IF((P42-O42)&lt;=2,('DPI art.191'!$G$5-(('DPI art.191'!$F$5-'DPI art.191'!$G$5)/4)*(P42-O42-2)),('DPI art.191'!$G$5-(('DPI art.191'!$G$5-'DPI art.191'!$H$5)/8)*(P42-O42-2))))</f>
        <v/>
      </c>
      <c r="AY42" s="24">
        <f>O42-AX42</f>
        <v/>
      </c>
      <c r="AZ42" s="24">
        <f>IF(N42&lt;135,N42,N42-'DPI art.191'!$I$5)</f>
        <v/>
      </c>
      <c r="BA42" s="111">
        <f>IF(O42&lt;80,"0",IF((P42-O42)&lt;=2,('DPI art.191'!$G$7-(('DPI art.191'!$F$7-'DPI art.191'!$G$7)/4)*(P42-O42-2)),('DPI art.191'!$G$7-(('DPI art.191'!$G$7-'DPI art.191'!$H$7)/8)*(P42-O42-2))))</f>
        <v/>
      </c>
      <c r="BB42" s="24">
        <f>O42-BA42</f>
        <v/>
      </c>
      <c r="BC42" s="24">
        <f>IF(N42&lt;135,N42,N42-'DPI art.191'!$I$7)</f>
        <v/>
      </c>
      <c r="BD42" s="111">
        <f>IF(O42&lt;80,"0",IF((P42-O42)&lt;=2,('DPI art.191'!$G$9-(('DPI art.191'!$F$9-'DPI art.191'!$G$9)/4)*(O42-P42-2)),('DPI art.191'!$G$9-(('DPI art.191'!$G$9-'DPI art.191'!$H$9)/8)*(P42-O42-2))))</f>
        <v/>
      </c>
      <c r="BE42" s="24">
        <f>O42-BD42</f>
        <v/>
      </c>
      <c r="BF42" s="24">
        <f>IF(N42&lt;135,N42,N42-'DPI art.191'!$I$9)</f>
        <v/>
      </c>
      <c r="BG42" s="111">
        <f>IF(O42&lt;80,"0",IF((P42-O42)&lt;=2,('DPI art.191'!$G$11-(('DPI art.191'!$F$11-'DPI art.191'!$G$11)/4)*(P42-O42-2)),('DPI art.191'!$G$11-(('DPI art.191'!$G$11-'DPI art.191'!$H$11)/8)*(P42-O42-2))))</f>
        <v/>
      </c>
      <c r="BH42" s="24">
        <f>O42-BG42</f>
        <v/>
      </c>
      <c r="BI42" s="24">
        <f>IF(T42&lt;135,T42,T42-'DPI art.191'!$I$11)</f>
        <v/>
      </c>
      <c r="BJ42" s="111">
        <f>IF(O42&lt;80,"0",IF((P42-O42)&lt;=2,('DPI art.191'!$G$13-(('DPI art.191'!$F$13-'DPI art.191'!$G$13)/4)*(P42-O42-2)),('DPI art.191'!$G$13-(('DPI art.191'!$G$13-'DPI art.191'!$H$13)/8)*(P42-O42-2))))</f>
        <v/>
      </c>
      <c r="BK42" s="24">
        <f>O42-BJ42</f>
        <v/>
      </c>
      <c r="BL42" s="24">
        <f>IF(T42&lt;135,T42,T42-'DPI art.191'!$I$13)</f>
        <v/>
      </c>
      <c r="BM42" s="111">
        <f>IF(O42&lt;80,"0",IF((P42-O42)&lt;=2,('DPI art.191'!$G$15-(('DPI art.191'!$F$15-'DPI art.191'!$G$15)/4)*(P42-O42-2)),('DPI art.191'!$G$15-(('DPI art.191'!$G$15-'DPI art.191'!$H$15)/8)*(P42-O42-2))))</f>
        <v/>
      </c>
      <c r="BN42" s="24">
        <f>O42-BM42</f>
        <v/>
      </c>
      <c r="BO42" s="24">
        <f>IF(Z42&lt;135,Z42,Z42-'DPI art.191'!$I$15)</f>
        <v/>
      </c>
      <c r="BP42" s="108">
        <f>10^(0.1*R42)</f>
        <v/>
      </c>
      <c r="BQ42" s="108">
        <f>10^(0.1*X42)</f>
        <v/>
      </c>
      <c r="BR42" s="108">
        <f>10^(0.1*AB42)</f>
        <v/>
      </c>
      <c r="BS42" s="108">
        <f>10^(0.1*AF42)</f>
        <v/>
      </c>
      <c r="BT42" s="108">
        <f>10^(0.1*AJ42)</f>
        <v/>
      </c>
      <c r="BU42" s="108">
        <f>10^(0.1*AN42)</f>
        <v/>
      </c>
      <c r="BV42" s="106">
        <f>IF(R42&gt;0,(O42-R42),"")</f>
        <v/>
      </c>
      <c r="BW42" s="106">
        <f>IF(X42&gt;0,(O42-X42),"")</f>
        <v/>
      </c>
      <c r="BX42" s="106">
        <f>IF(AB42&gt;0,(O42-AB42),"")</f>
        <v/>
      </c>
      <c r="BY42" s="106">
        <f>IF(AF42&gt;0,(O42-AF42),"")</f>
        <v/>
      </c>
      <c r="BZ42" s="106">
        <f>IF(AJ42&gt;0,(O42-AJ42),"")</f>
        <v/>
      </c>
      <c r="CA42" s="106">
        <f>IF(AN42&gt;0,(O42-AN42),"")</f>
        <v/>
      </c>
      <c r="CB42" s="106">
        <f>COUNT(BV42:CA42)</f>
        <v/>
      </c>
      <c r="CC42" s="464">
        <f>IF(CB42=0,0,IF(CB42=1,0,1/(CB42*(CB42-1))))</f>
        <v/>
      </c>
      <c r="CD42" s="136">
        <f>IF(R42&gt;0,(BV42^2),"")</f>
        <v/>
      </c>
      <c r="CE42" s="136">
        <f>IF(X42&gt;0,(BW42^2),"")</f>
        <v/>
      </c>
      <c r="CF42" s="136">
        <f>IF(AB42&gt;0,(BX42^2),"")</f>
        <v/>
      </c>
      <c r="CG42" s="136">
        <f>IF(AF42&gt;0,(BY42^2),"")</f>
        <v/>
      </c>
      <c r="CH42" s="136">
        <f>IF(AJ42&gt;0,(BZ42^2),"")</f>
        <v/>
      </c>
      <c r="CI42" s="136">
        <f>IF(AN42&gt;0,(CA42^2),"")</f>
        <v/>
      </c>
    </row>
    <row r="43" ht="25.5" customHeight="1" s="444">
      <c r="A43" s="340" t="inlineStr">
        <is>
          <t>Gualdo 1</t>
        </is>
      </c>
      <c r="B43" s="65" t="inlineStr">
        <is>
          <t>D18</t>
        </is>
      </c>
      <c r="C43" s="78" t="inlineStr">
        <is>
          <t>Movimentazioni in piazzale esterno</t>
        </is>
      </c>
      <c r="D43" s="83" t="inlineStr">
        <is>
          <t>/</t>
        </is>
      </c>
      <c r="E43" s="83" t="inlineStr">
        <is>
          <t>/</t>
        </is>
      </c>
      <c r="F43" s="78" t="inlineStr">
        <is>
          <t>Movimentazioni in piazzale esterno</t>
        </is>
      </c>
      <c r="G43" s="71" t="n">
        <v>46003</v>
      </c>
      <c r="H43" s="77" t="inlineStr">
        <is>
          <t>Compito</t>
        </is>
      </c>
      <c r="I43" s="77">
        <f>IF((V43-R43)&gt;3,"SI","")</f>
        <v/>
      </c>
      <c r="J43" s="77" t="inlineStr">
        <is>
          <t>SI</t>
        </is>
      </c>
      <c r="K43" s="77" t="n"/>
      <c r="L43" s="77" t="n"/>
      <c r="M43" s="137">
        <f>IF(R43&gt;0,(SQRT(CC43*(SUM(CD43:CI43)))),"")</f>
        <v/>
      </c>
      <c r="N43" s="4">
        <f>IF(T43&gt;0,(MAX(T43,Z43,AD43,AH43,AL43,AP43))+SQRT(1.2^2+1^2),"")</f>
        <v/>
      </c>
      <c r="O43" s="3">
        <f>IF(R43="",0,10*LOG10(SUM(BP43:BU43)/(COUNT(R43,X43,AB43,AF43,AJ43,AN43))))</f>
        <v/>
      </c>
      <c r="P43" s="5">
        <f>IF(AND(Y43="",AC43="",AG43="",AK43="",AO43=""),S43,AVERAGE(S43,Y43,AC43,AG43,AK43,AO43)+STDEV(S43,Y43,AC43,AG43,AK43,AO43))</f>
        <v/>
      </c>
      <c r="Q43" s="14" t="n">
        <v>300</v>
      </c>
      <c r="R43" s="11" t="n">
        <v>81.09999999999999</v>
      </c>
      <c r="S43" s="12" t="n">
        <v>83.09999999999999</v>
      </c>
      <c r="T43" s="13" t="n">
        <v>98.7</v>
      </c>
      <c r="U43" s="79" t="n">
        <v>80.7</v>
      </c>
      <c r="V43" s="79" t="n">
        <v>83.09999999999999</v>
      </c>
      <c r="W43" s="10" t="n">
        <v>300</v>
      </c>
      <c r="X43" s="11" t="n">
        <v>83.5</v>
      </c>
      <c r="Y43" s="12" t="n">
        <v>85.7</v>
      </c>
      <c r="Z43" s="13" t="n">
        <v>100.3</v>
      </c>
      <c r="AA43" s="10" t="n">
        <v>300</v>
      </c>
      <c r="AB43" s="11" t="n">
        <v>78.90000000000001</v>
      </c>
      <c r="AC43" s="12" t="n">
        <v>80.3</v>
      </c>
      <c r="AD43" s="13" t="n">
        <v>97.7</v>
      </c>
      <c r="AE43" s="14" t="n">
        <v>300</v>
      </c>
      <c r="AF43" s="11" t="n">
        <v>78.5</v>
      </c>
      <c r="AG43" s="12" t="n">
        <v>79.5</v>
      </c>
      <c r="AH43" s="13" t="n">
        <v>94.2</v>
      </c>
      <c r="AI43" s="10" t="n">
        <v>300</v>
      </c>
      <c r="AJ43" s="11" t="n">
        <v>73.5</v>
      </c>
      <c r="AK43" s="12" t="n">
        <v>76</v>
      </c>
      <c r="AL43" s="13" t="n">
        <v>92</v>
      </c>
      <c r="AM43" s="10" t="n">
        <v>300</v>
      </c>
      <c r="AN43" s="11" t="n">
        <v>68.7</v>
      </c>
      <c r="AO43" s="12" t="n">
        <v>75.2</v>
      </c>
      <c r="AP43" s="13" t="n">
        <v>96.90000000000001</v>
      </c>
      <c r="AQ43" s="6">
        <f>IF(AND((O43)&lt;85,N43&lt;137),"NO","SI")</f>
        <v/>
      </c>
      <c r="AR43" s="7">
        <f>IF((480*(10^(7.95-(O43/10))))&lt;480,480*(10^(7.95-(O43/10))),480)</f>
        <v/>
      </c>
      <c r="AS43" s="8">
        <f>IF((480*(10^(8.45-(O43/10))))&lt;480,480*(10^(8.45-(O43/10))),480)</f>
        <v/>
      </c>
      <c r="AT43" s="9">
        <f>IF((480*(10^(8.65-(O43/10))))&lt;480,480*(10^(8.65-(O43/10))),480)</f>
        <v/>
      </c>
      <c r="AU43" s="111">
        <f>IF(O43&lt;80,"0",IF((P43-O43)&lt;=2,('DPI art.191'!$G$3-(('DPI art.191'!$F$3-'DPI art.191'!$G$3)/4)*(P43-O43-2)),('DPI art.191'!$G$3-(('DPI art.191'!$G$3-'DPI art.191'!$H$3)/8)*(P43-O43-2))))</f>
        <v/>
      </c>
      <c r="AV43" s="24">
        <f>O43-AU43</f>
        <v/>
      </c>
      <c r="AW43" s="24">
        <f>IF(N43&lt;135,N43,N43-'DPI art.191'!$I$3)</f>
        <v/>
      </c>
      <c r="AX43" s="111">
        <f>IF(O43&lt;80,"0",IF((P43-O43)&lt;=2,('DPI art.191'!$G$5-(('DPI art.191'!$F$5-'DPI art.191'!$G$5)/4)*(P43-O43-2)),('DPI art.191'!$G$5-(('DPI art.191'!$G$5-'DPI art.191'!$H$5)/8)*(P43-O43-2))))</f>
        <v/>
      </c>
      <c r="AY43" s="24">
        <f>O43-AX43</f>
        <v/>
      </c>
      <c r="AZ43" s="24">
        <f>IF(N43&lt;135,N43,N43-'DPI art.191'!$I$5)</f>
        <v/>
      </c>
      <c r="BA43" s="111">
        <f>IF(O43&lt;80,"0",IF((P43-O43)&lt;=2,('DPI art.191'!$G$7-(('DPI art.191'!$F$7-'DPI art.191'!$G$7)/4)*(P43-O43-2)),('DPI art.191'!$G$7-(('DPI art.191'!$G$7-'DPI art.191'!$H$7)/8)*(P43-O43-2))))</f>
        <v/>
      </c>
      <c r="BB43" s="24">
        <f>O43-BA43</f>
        <v/>
      </c>
      <c r="BC43" s="24">
        <f>IF(N43&lt;135,N43,N43-'DPI art.191'!$I$7)</f>
        <v/>
      </c>
      <c r="BD43" s="111">
        <f>IF(O43&lt;80,"0",IF((P43-O43)&lt;=2,('DPI art.191'!$G$9-(('DPI art.191'!$F$9-'DPI art.191'!$G$9)/4)*(O43-P43-2)),('DPI art.191'!$G$9-(('DPI art.191'!$G$9-'DPI art.191'!$H$9)/8)*(P43-O43-2))))</f>
        <v/>
      </c>
      <c r="BE43" s="24">
        <f>O43-BD43</f>
        <v/>
      </c>
      <c r="BF43" s="24">
        <f>IF(N43&lt;135,N43,N43-'DPI art.191'!$I$9)</f>
        <v/>
      </c>
      <c r="BG43" s="111">
        <f>IF(O43&lt;80,"0",IF((P43-O43)&lt;=2,('DPI art.191'!$G$11-(('DPI art.191'!$F$11-'DPI art.191'!$G$11)/4)*(P43-O43-2)),('DPI art.191'!$G$11-(('DPI art.191'!$G$11-'DPI art.191'!$H$11)/8)*(P43-O43-2))))</f>
        <v/>
      </c>
      <c r="BH43" s="24">
        <f>O43-BG43</f>
        <v/>
      </c>
      <c r="BI43" s="24">
        <f>IF(T43&lt;135,T43,T43-'DPI art.191'!$I$11)</f>
        <v/>
      </c>
      <c r="BJ43" s="111">
        <f>IF(O43&lt;80,"0",IF((P43-O43)&lt;=2,('DPI art.191'!$G$13-(('DPI art.191'!$F$13-'DPI art.191'!$G$13)/4)*(P43-O43-2)),('DPI art.191'!$G$13-(('DPI art.191'!$G$13-'DPI art.191'!$H$13)/8)*(P43-O43-2))))</f>
        <v/>
      </c>
      <c r="BK43" s="24">
        <f>O43-BJ43</f>
        <v/>
      </c>
      <c r="BL43" s="24">
        <f>IF(T43&lt;135,T43,T43-'DPI art.191'!$I$13)</f>
        <v/>
      </c>
      <c r="BM43" s="111">
        <f>IF(O43&lt;80,"0",IF((P43-O43)&lt;=2,('DPI art.191'!$G$15-(('DPI art.191'!$F$15-'DPI art.191'!$G$15)/4)*(P43-O43-2)),('DPI art.191'!$G$15-(('DPI art.191'!$G$15-'DPI art.191'!$H$15)/8)*(P43-O43-2))))</f>
        <v/>
      </c>
      <c r="BN43" s="24">
        <f>O43-BM43</f>
        <v/>
      </c>
      <c r="BO43" s="24">
        <f>IF(Z43&lt;135,Z43,Z43-'DPI art.191'!$I$15)</f>
        <v/>
      </c>
      <c r="BP43" s="108">
        <f>10^(0.1*R43)</f>
        <v/>
      </c>
      <c r="BQ43" s="108">
        <f>10^(0.1*X43)</f>
        <v/>
      </c>
      <c r="BR43" s="108">
        <f>10^(0.1*AB43)</f>
        <v/>
      </c>
      <c r="BS43" s="108">
        <f>10^(0.1*AF43)</f>
        <v/>
      </c>
      <c r="BT43" s="108">
        <f>10^(0.1*AJ43)</f>
        <v/>
      </c>
      <c r="BU43" s="108">
        <f>10^(0.1*AN43)</f>
        <v/>
      </c>
      <c r="BV43" s="106">
        <f>IF(R43&gt;0,(O43-R43),"")</f>
        <v/>
      </c>
      <c r="BW43" s="106">
        <f>IF(X43&gt;0,(O43-X43),"")</f>
        <v/>
      </c>
      <c r="BX43" s="106">
        <f>IF(AB43&gt;0,(O43-AB43),"")</f>
        <v/>
      </c>
      <c r="BY43" s="106">
        <f>IF(AF43&gt;0,(O43-AF43),"")</f>
        <v/>
      </c>
      <c r="BZ43" s="106">
        <f>IF(AJ43&gt;0,(O43-AJ43),"")</f>
        <v/>
      </c>
      <c r="CA43" s="106">
        <f>IF(AN43&gt;0,(O43-AN43),"")</f>
        <v/>
      </c>
      <c r="CB43" s="106">
        <f>COUNT(BV43:CA43)</f>
        <v/>
      </c>
      <c r="CC43" s="464">
        <f>IF(CB43=0,0,IF(CB43=1,0,1/(CB43*(CB43-1))))</f>
        <v/>
      </c>
      <c r="CD43" s="136">
        <f>IF(R43&gt;0,(BV43^2),"")</f>
        <v/>
      </c>
      <c r="CE43" s="136">
        <f>IF(X43&gt;0,(BW43^2),"")</f>
        <v/>
      </c>
      <c r="CF43" s="136">
        <f>IF(AB43&gt;0,(BX43^2),"")</f>
        <v/>
      </c>
      <c r="CG43" s="136">
        <f>IF(AF43&gt;0,(BY43^2),"")</f>
        <v/>
      </c>
      <c r="CH43" s="136">
        <f>IF(AJ43&gt;0,(BZ43^2),"")</f>
        <v/>
      </c>
      <c r="CI43" s="136">
        <f>IF(AN43&gt;0,(CA43^2),"")</f>
        <v/>
      </c>
    </row>
    <row r="44" ht="25.5" customHeight="1" s="444">
      <c r="A44" s="340" t="inlineStr">
        <is>
          <t>037/ED15</t>
        </is>
      </c>
      <c r="B44" s="65" t="inlineStr">
        <is>
          <t>D19</t>
        </is>
      </c>
      <c r="C44" s="78" t="inlineStr">
        <is>
          <t>Movimentazioni in piazzale esterno con gru a torre</t>
        </is>
      </c>
      <c r="D44" s="83" t="inlineStr">
        <is>
          <t>/</t>
        </is>
      </c>
      <c r="E44" s="83" t="inlineStr">
        <is>
          <t>/</t>
        </is>
      </c>
      <c r="F44" s="78" t="inlineStr">
        <is>
          <t>Movimentazioni in piazzale esterno con gru a torre</t>
        </is>
      </c>
      <c r="G44" s="71" t="n">
        <v>46003</v>
      </c>
      <c r="H44" s="77" t="inlineStr">
        <is>
          <t>Compito</t>
        </is>
      </c>
      <c r="I44" s="77">
        <f>IF((V44-R44)&gt;3,"SI","")</f>
        <v/>
      </c>
      <c r="J44" s="77">
        <f>IF((U44-R44)&gt;3,"SI","")</f>
        <v/>
      </c>
      <c r="K44" s="77" t="n"/>
      <c r="L44" s="77" t="n"/>
      <c r="M44" s="137">
        <f>IF(R44&gt;0,(SQRT(CC44*(SUM(CD44:CI44)))),"")</f>
        <v/>
      </c>
      <c r="N44" s="4">
        <f>IF(T44&gt;0,(MAX(T44,Z44,AD44,AH44,AL44,AP44))+SQRT(1.2^2+1^2),"")</f>
        <v/>
      </c>
      <c r="O44" s="3">
        <f>IF(R44="",0,10*LOG10(SUM(BP44:BU44)/(COUNT(R44,X44,AB44,AF44,AJ44,AN44))))</f>
        <v/>
      </c>
      <c r="P44" s="5">
        <f>IF(AND(Y44="",AC44="",AG44="",AK44="",AO44=""),S44,AVERAGE(S44,Y44,AC44,AG44,AK44,AO44)+STDEV(S44,Y44,AC44,AG44,AK44,AO44))</f>
        <v/>
      </c>
      <c r="Q44" s="14" t="n">
        <v>300</v>
      </c>
      <c r="R44" s="11" t="n">
        <v>66.90000000000001</v>
      </c>
      <c r="S44" s="12" t="n">
        <v>75</v>
      </c>
      <c r="T44" s="13" t="n">
        <v>99.59999999999999</v>
      </c>
      <c r="U44" s="79" t="n">
        <v>66.90000000000001</v>
      </c>
      <c r="V44" s="79" t="n">
        <v>72.5</v>
      </c>
      <c r="W44" s="10" t="n">
        <v>300</v>
      </c>
      <c r="X44" s="11" t="n">
        <v>69.5</v>
      </c>
      <c r="Y44" s="12" t="n">
        <v>77.09999999999999</v>
      </c>
      <c r="Z44" s="13" t="n">
        <v>101.5</v>
      </c>
      <c r="AA44" s="10" t="n">
        <v>300</v>
      </c>
      <c r="AB44" s="11" t="n">
        <v>62.3</v>
      </c>
      <c r="AC44" s="12" t="n">
        <v>74.40000000000001</v>
      </c>
      <c r="AD44" s="13" t="n">
        <v>100.6</v>
      </c>
      <c r="AE44" s="14" t="n">
        <v>300</v>
      </c>
      <c r="AF44" s="11" t="n">
        <v>63</v>
      </c>
      <c r="AG44" s="12" t="n">
        <v>75.7</v>
      </c>
      <c r="AH44" s="13" t="n">
        <v>103.6</v>
      </c>
      <c r="AI44" s="10" t="n">
        <v>300</v>
      </c>
      <c r="AJ44" s="11" t="n">
        <v>58.9</v>
      </c>
      <c r="AK44" s="12" t="n">
        <v>72.8</v>
      </c>
      <c r="AL44" s="13" t="n">
        <v>102.1</v>
      </c>
      <c r="AM44" s="10" t="n">
        <v>300</v>
      </c>
      <c r="AN44" s="11" t="n">
        <v>58.9</v>
      </c>
      <c r="AO44" s="12" t="n">
        <v>72.59999999999999</v>
      </c>
      <c r="AP44" s="13" t="n">
        <v>89.8</v>
      </c>
      <c r="AQ44" s="6">
        <f>IF(AND((O44)&lt;85,N44&lt;137),"NO","SI")</f>
        <v/>
      </c>
      <c r="AR44" s="7">
        <f>IF((480*(10^(7.95-(O44/10))))&lt;480,480*(10^(7.95-(O44/10))),480)</f>
        <v/>
      </c>
      <c r="AS44" s="8">
        <f>IF((480*(10^(8.45-(O44/10))))&lt;480,480*(10^(8.45-(O44/10))),480)</f>
        <v/>
      </c>
      <c r="AT44" s="9">
        <f>IF((480*(10^(8.65-(O44/10))))&lt;480,480*(10^(8.65-(O44/10))),480)</f>
        <v/>
      </c>
      <c r="AU44" s="111">
        <f>IF(O44&lt;80,"0",IF((P44-O44)&lt;=2,('DPI art.191'!$G$3-(('DPI art.191'!$F$3-'DPI art.191'!$G$3)/4)*(P44-O44-2)),('DPI art.191'!$G$3-(('DPI art.191'!$G$3-'DPI art.191'!$H$3)/8)*(P44-O44-2))))</f>
        <v/>
      </c>
      <c r="AV44" s="24">
        <f>O44-AU44</f>
        <v/>
      </c>
      <c r="AW44" s="24">
        <f>IF(N44&lt;135,N44,N44-'DPI art.191'!$I$3)</f>
        <v/>
      </c>
      <c r="AX44" s="111">
        <f>IF(O44&lt;80,"0",IF((P44-O44)&lt;=2,('DPI art.191'!$G$5-(('DPI art.191'!$F$5-'DPI art.191'!$G$5)/4)*(P44-O44-2)),('DPI art.191'!$G$5-(('DPI art.191'!$G$5-'DPI art.191'!$H$5)/8)*(P44-O44-2))))</f>
        <v/>
      </c>
      <c r="AY44" s="24">
        <f>O44-AX44</f>
        <v/>
      </c>
      <c r="AZ44" s="24">
        <f>IF(N44&lt;135,N44,N44-'DPI art.191'!$I$5)</f>
        <v/>
      </c>
      <c r="BA44" s="111">
        <f>IF(O44&lt;80,"0",IF((P44-O44)&lt;=2,('DPI art.191'!$G$7-(('DPI art.191'!$F$7-'DPI art.191'!$G$7)/4)*(P44-O44-2)),('DPI art.191'!$G$7-(('DPI art.191'!$G$7-'DPI art.191'!$H$7)/8)*(P44-O44-2))))</f>
        <v/>
      </c>
      <c r="BB44" s="24">
        <f>O44-BA44</f>
        <v/>
      </c>
      <c r="BC44" s="24">
        <f>IF(N44&lt;135,N44,N44-'DPI art.191'!$I$7)</f>
        <v/>
      </c>
      <c r="BD44" s="111">
        <f>IF(O44&lt;80,"0",IF((P44-O44)&lt;=2,('DPI art.191'!$G$9-(('DPI art.191'!$F$9-'DPI art.191'!$G$9)/4)*(O44-P44-2)),('DPI art.191'!$G$9-(('DPI art.191'!$G$9-'DPI art.191'!$H$9)/8)*(P44-O44-2))))</f>
        <v/>
      </c>
      <c r="BE44" s="24">
        <f>O44-BD44</f>
        <v/>
      </c>
      <c r="BF44" s="24">
        <f>IF(N44&lt;135,N44,N44-'DPI art.191'!$I$9)</f>
        <v/>
      </c>
      <c r="BG44" s="111">
        <f>IF(O44&lt;80,"0",IF((P44-O44)&lt;=2,('DPI art.191'!$G$11-(('DPI art.191'!$F$11-'DPI art.191'!$G$11)/4)*(P44-O44-2)),('DPI art.191'!$G$11-(('DPI art.191'!$G$11-'DPI art.191'!$H$11)/8)*(P44-O44-2))))</f>
        <v/>
      </c>
      <c r="BH44" s="24">
        <f>O44-BG44</f>
        <v/>
      </c>
      <c r="BI44" s="24">
        <f>IF(T44&lt;135,T44,T44-'DPI art.191'!$I$11)</f>
        <v/>
      </c>
      <c r="BJ44" s="111">
        <f>IF(O44&lt;80,"0",IF((P44-O44)&lt;=2,('DPI art.191'!$G$13-(('DPI art.191'!$F$13-'DPI art.191'!$G$13)/4)*(P44-O44-2)),('DPI art.191'!$G$13-(('DPI art.191'!$G$13-'DPI art.191'!$H$13)/8)*(P44-O44-2))))</f>
        <v/>
      </c>
      <c r="BK44" s="24">
        <f>O44-BJ44</f>
        <v/>
      </c>
      <c r="BL44" s="24">
        <f>IF(T44&lt;135,T44,T44-'DPI art.191'!$I$13)</f>
        <v/>
      </c>
      <c r="BM44" s="111">
        <f>IF(O44&lt;80,"0",IF((P44-O44)&lt;=2,('DPI art.191'!$G$15-(('DPI art.191'!$F$15-'DPI art.191'!$G$15)/4)*(P44-O44-2)),('DPI art.191'!$G$15-(('DPI art.191'!$G$15-'DPI art.191'!$H$15)/8)*(P44-O44-2))))</f>
        <v/>
      </c>
      <c r="BN44" s="24">
        <f>O44-BM44</f>
        <v/>
      </c>
      <c r="BO44" s="24">
        <f>IF(Z44&lt;135,Z44,Z44-'DPI art.191'!$I$15)</f>
        <v/>
      </c>
      <c r="BP44" s="108">
        <f>10^(0.1*R44)</f>
        <v/>
      </c>
      <c r="BQ44" s="108">
        <f>10^(0.1*X44)</f>
        <v/>
      </c>
      <c r="BR44" s="108">
        <f>10^(0.1*AB44)</f>
        <v/>
      </c>
      <c r="BS44" s="108">
        <f>10^(0.1*AF44)</f>
        <v/>
      </c>
      <c r="BT44" s="108">
        <f>10^(0.1*AJ44)</f>
        <v/>
      </c>
      <c r="BU44" s="108">
        <f>10^(0.1*AN44)</f>
        <v/>
      </c>
      <c r="BV44" s="106">
        <f>IF(R44&gt;0,(O44-R44),"")</f>
        <v/>
      </c>
      <c r="BW44" s="106">
        <f>IF(X44&gt;0,(O44-X44),"")</f>
        <v/>
      </c>
      <c r="BX44" s="106">
        <f>IF(AB44&gt;0,(O44-AB44),"")</f>
        <v/>
      </c>
      <c r="BY44" s="106">
        <f>IF(AF44&gt;0,(O44-AF44),"")</f>
        <v/>
      </c>
      <c r="BZ44" s="106">
        <f>IF(AJ44&gt;0,(O44-AJ44),"")</f>
        <v/>
      </c>
      <c r="CA44" s="106">
        <f>IF(AN44&gt;0,(O44-AN44),"")</f>
        <v/>
      </c>
      <c r="CB44" s="106">
        <f>COUNT(BV44:CA44)</f>
        <v/>
      </c>
      <c r="CC44" s="464">
        <f>IF(CB44=0,0,IF(CB44=1,0,1/(CB44*(CB44-1))))</f>
        <v/>
      </c>
      <c r="CD44" s="136">
        <f>IF(R44&gt;0,(BV44^2),"")</f>
        <v/>
      </c>
      <c r="CE44" s="136">
        <f>IF(X44&gt;0,(BW44^2),"")</f>
        <v/>
      </c>
      <c r="CF44" s="136">
        <f>IF(AB44&gt;0,(BX44^2),"")</f>
        <v/>
      </c>
      <c r="CG44" s="136">
        <f>IF(AF44&gt;0,(BY44^2),"")</f>
        <v/>
      </c>
      <c r="CH44" s="136">
        <f>IF(AJ44&gt;0,(BZ44^2),"")</f>
        <v/>
      </c>
      <c r="CI44" s="136">
        <f>IF(AN44&gt;0,(CA44^2),"")</f>
        <v/>
      </c>
    </row>
    <row r="45" ht="18.75" customHeight="1" s="444">
      <c r="A45" s="340" t="inlineStr">
        <is>
          <t>024/B/PRS726</t>
        </is>
      </c>
      <c r="B45" s="65" t="inlineStr">
        <is>
          <t>E1</t>
        </is>
      </c>
      <c r="C45" s="78" t="inlineStr">
        <is>
          <t>Saldatura - montaggio</t>
        </is>
      </c>
      <c r="D45" s="83" t="inlineStr">
        <is>
          <t>/</t>
        </is>
      </c>
      <c r="E45" s="83" t="inlineStr">
        <is>
          <t>/</t>
        </is>
      </c>
      <c r="F45" s="192" t="inlineStr">
        <is>
          <t>Saldatura - montaggio</t>
        </is>
      </c>
      <c r="G45" s="71" t="n">
        <v>45996</v>
      </c>
      <c r="H45" s="77" t="inlineStr">
        <is>
          <t>Compito</t>
        </is>
      </c>
      <c r="I45" s="77">
        <f>IF((V45-R45)&gt;3,"SI","")</f>
        <v/>
      </c>
      <c r="J45" s="77">
        <f>IF((U45-R45)&gt;3,"SI","")</f>
        <v/>
      </c>
      <c r="K45" s="77" t="n"/>
      <c r="L45" s="77" t="n"/>
      <c r="M45" s="137">
        <f>IF(R45&gt;0,(SQRT(CC45*(SUM(CD45:CI45)))),"")</f>
        <v/>
      </c>
      <c r="N45" s="4">
        <f>IF(T45&gt;0,(MAX(T45,Z45,AD45,AH45,AL45,AP45))+SQRT(1.2^2+1^2),"")</f>
        <v/>
      </c>
      <c r="O45" s="3">
        <f>IF(R45="",0,10*LOG10(SUM(BP45:BU45)/(COUNT(R45,X45,AB45,AF45,AJ45,AN45))))</f>
        <v/>
      </c>
      <c r="P45" s="5">
        <f>IF(AND(Y45="",AC45="",AG45="",AK45="",AO45=""),S45,AVERAGE(S45,Y45,AC45,AG45,AK45,AO45)+STDEV(S45,Y45,AC45,AG45,AK45,AO45))</f>
        <v/>
      </c>
      <c r="Q45" s="14" t="n">
        <v>300</v>
      </c>
      <c r="R45" s="11" t="n">
        <v>86</v>
      </c>
      <c r="S45" s="12" t="n">
        <v>84.90000000000001</v>
      </c>
      <c r="T45" s="13" t="n">
        <v>116.8</v>
      </c>
      <c r="U45" s="79" t="n">
        <v>86</v>
      </c>
      <c r="V45" s="79" t="n">
        <v>89.2</v>
      </c>
      <c r="W45" s="10" t="n">
        <v>300</v>
      </c>
      <c r="X45" s="11" t="n">
        <v>79.90000000000001</v>
      </c>
      <c r="Y45" s="12" t="n">
        <v>80.2</v>
      </c>
      <c r="Z45" s="13" t="n">
        <v>109.9</v>
      </c>
      <c r="AA45" s="10" t="n">
        <v>300</v>
      </c>
      <c r="AB45" s="11" t="n">
        <v>77.59999999999999</v>
      </c>
      <c r="AC45" s="12" t="n">
        <v>79.3</v>
      </c>
      <c r="AD45" s="13" t="n">
        <v>101.9</v>
      </c>
      <c r="AE45" s="14" t="n">
        <v>300</v>
      </c>
      <c r="AF45" s="11" t="n">
        <v>74.40000000000001</v>
      </c>
      <c r="AG45" s="12" t="n">
        <v>75.5</v>
      </c>
      <c r="AH45" s="13" t="n">
        <v>101.7</v>
      </c>
      <c r="AI45" s="10" t="n">
        <v>300</v>
      </c>
      <c r="AJ45" s="11" t="n">
        <v>73.09999999999999</v>
      </c>
      <c r="AK45" s="12" t="n">
        <v>75.40000000000001</v>
      </c>
      <c r="AL45" s="13" t="n">
        <v>103.8</v>
      </c>
      <c r="AM45" s="10" t="n">
        <v>300</v>
      </c>
      <c r="AN45" s="11" t="n">
        <v>75.7</v>
      </c>
      <c r="AO45" s="12" t="n">
        <v>77.59999999999999</v>
      </c>
      <c r="AP45" s="13" t="n">
        <v>114.9</v>
      </c>
      <c r="AQ45" s="6">
        <f>IF(AND((O45)&lt;85,N45&lt;137),"NO","SI")</f>
        <v/>
      </c>
      <c r="AR45" s="7">
        <f>IF((480*(10^(7.95-(O45/10))))&lt;480,480*(10^(7.95-(O45/10))),480)</f>
        <v/>
      </c>
      <c r="AS45" s="8">
        <f>IF((480*(10^(8.45-(O45/10))))&lt;480,480*(10^(8.45-(O45/10))),480)</f>
        <v/>
      </c>
      <c r="AT45" s="9">
        <f>IF((480*(10^(8.65-(O45/10))))&lt;480,480*(10^(8.65-(O45/10))),480)</f>
        <v/>
      </c>
      <c r="AU45" s="111">
        <f>IF(O45&lt;80,"0",IF((P45-O45)&lt;=2,('DPI art.191'!$G$3-(('DPI art.191'!$F$3-'DPI art.191'!$G$3)/4)*(P45-O45-2)),('DPI art.191'!$G$3-(('DPI art.191'!$G$3-'DPI art.191'!$H$3)/8)*(P45-O45-2))))</f>
        <v/>
      </c>
      <c r="AV45" s="24">
        <f>O45-AU45</f>
        <v/>
      </c>
      <c r="AW45" s="24">
        <f>IF(N45&lt;135,N45,N45-'DPI art.191'!$I$3)</f>
        <v/>
      </c>
      <c r="AX45" s="111">
        <f>IF(O45&lt;80,"0",IF((P45-O45)&lt;=2,('DPI art.191'!$G$5-(('DPI art.191'!$F$5-'DPI art.191'!$G$5)/4)*(P45-O45-2)),('DPI art.191'!$G$5-(('DPI art.191'!$G$5-'DPI art.191'!$H$5)/8)*(P45-O45-2))))</f>
        <v/>
      </c>
      <c r="AY45" s="24">
        <f>O45-AX45</f>
        <v/>
      </c>
      <c r="AZ45" s="24">
        <f>IF(N45&lt;135,N45,N45-'DPI art.191'!$I$5)</f>
        <v/>
      </c>
      <c r="BA45" s="111">
        <f>IF(O45&lt;80,"0",IF((P45-O45)&lt;=2,('DPI art.191'!$G$7-(('DPI art.191'!$F$7-'DPI art.191'!$G$7)/4)*(P45-O45-2)),('DPI art.191'!$G$7-(('DPI art.191'!$G$7-'DPI art.191'!$H$7)/8)*(P45-O45-2))))</f>
        <v/>
      </c>
      <c r="BB45" s="24">
        <f>O45-BA45</f>
        <v/>
      </c>
      <c r="BC45" s="24">
        <f>IF(N45&lt;135,N45,N45-'DPI art.191'!$I$7)</f>
        <v/>
      </c>
      <c r="BD45" s="111">
        <f>IF(O45&lt;80,"0",IF((P45-O45)&lt;=2,('DPI art.191'!$G$9-(('DPI art.191'!$F$9-'DPI art.191'!$G$9)/4)*(O45-P45-2)),('DPI art.191'!$G$9-(('DPI art.191'!$G$9-'DPI art.191'!$H$9)/8)*(P45-O45-2))))</f>
        <v/>
      </c>
      <c r="BE45" s="24">
        <f>O45-BD45</f>
        <v/>
      </c>
      <c r="BF45" s="24">
        <f>IF(N45&lt;135,N45,N45-'DPI art.191'!$I$9)</f>
        <v/>
      </c>
      <c r="BG45" s="111">
        <f>IF(O45&lt;80,"0",IF((P45-O45)&lt;=2,('DPI art.191'!$G$11-(('DPI art.191'!$F$11-'DPI art.191'!$G$11)/4)*(P45-O45-2)),('DPI art.191'!$G$11-(('DPI art.191'!$G$11-'DPI art.191'!$H$11)/8)*(P45-O45-2))))</f>
        <v/>
      </c>
      <c r="BH45" s="24">
        <f>O45-BG45</f>
        <v/>
      </c>
      <c r="BI45" s="24">
        <f>IF(T45&lt;135,T45,T45-'DPI art.191'!$I$11)</f>
        <v/>
      </c>
      <c r="BJ45" s="111">
        <f>IF(O45&lt;80,"0",IF((P45-O45)&lt;=2,('DPI art.191'!$G$13-(('DPI art.191'!$F$13-'DPI art.191'!$G$13)/4)*(P45-O45-2)),('DPI art.191'!$G$13-(('DPI art.191'!$G$13-'DPI art.191'!$H$13)/8)*(P45-O45-2))))</f>
        <v/>
      </c>
      <c r="BK45" s="24">
        <f>O45-BJ45</f>
        <v/>
      </c>
      <c r="BL45" s="24">
        <f>IF(T45&lt;135,T45,T45-'DPI art.191'!$I$13)</f>
        <v/>
      </c>
      <c r="BM45" s="111">
        <f>IF(O45&lt;80,"0",IF((P45-O45)&lt;=2,('DPI art.191'!$G$15-(('DPI art.191'!$F$15-'DPI art.191'!$G$15)/4)*(P45-O45-2)),('DPI art.191'!$G$15-(('DPI art.191'!$G$15-'DPI art.191'!$H$15)/8)*(P45-O45-2))))</f>
        <v/>
      </c>
      <c r="BN45" s="24">
        <f>O45-BM45</f>
        <v/>
      </c>
      <c r="BO45" s="24">
        <f>IF(Z45&lt;135,Z45,Z45-'DPI art.191'!$I$15)</f>
        <v/>
      </c>
      <c r="BP45" s="108">
        <f>10^(0.1*R45)</f>
        <v/>
      </c>
      <c r="BQ45" s="108">
        <f>10^(0.1*X45)</f>
        <v/>
      </c>
      <c r="BR45" s="108">
        <f>10^(0.1*AB45)</f>
        <v/>
      </c>
      <c r="BS45" s="108">
        <f>10^(0.1*AF45)</f>
        <v/>
      </c>
      <c r="BT45" s="108">
        <f>10^(0.1*AJ45)</f>
        <v/>
      </c>
      <c r="BU45" s="108">
        <f>10^(0.1*AN45)</f>
        <v/>
      </c>
      <c r="BV45" s="106">
        <f>IF(R45&gt;0,(O45-R45),"")</f>
        <v/>
      </c>
      <c r="BW45" s="106">
        <f>IF(X45&gt;0,(O45-X45),"")</f>
        <v/>
      </c>
      <c r="BX45" s="106">
        <f>IF(AB45&gt;0,(O45-AB45),"")</f>
        <v/>
      </c>
      <c r="BY45" s="106">
        <f>IF(AF45&gt;0,(O45-AF45),"")</f>
        <v/>
      </c>
      <c r="BZ45" s="106">
        <f>IF(AJ45&gt;0,(O45-AJ45),"")</f>
        <v/>
      </c>
      <c r="CA45" s="106">
        <f>IF(AN45&gt;0,(O45-AN45),"")</f>
        <v/>
      </c>
      <c r="CB45" s="106">
        <f>COUNT(BV45:CA45)</f>
        <v/>
      </c>
      <c r="CC45" s="464">
        <f>IF(CB45=0,0,IF(CB45=1,0,1/(CB45*(CB45-1))))</f>
        <v/>
      </c>
      <c r="CD45" s="136">
        <f>IF(R45&gt;0,(BV45^2),"")</f>
        <v/>
      </c>
      <c r="CE45" s="136">
        <f>IF(X45&gt;0,(BW45^2),"")</f>
        <v/>
      </c>
      <c r="CF45" s="136">
        <f>IF(AB45&gt;0,(BX45^2),"")</f>
        <v/>
      </c>
      <c r="CG45" s="136">
        <f>IF(AF45&gt;0,(BY45^2),"")</f>
        <v/>
      </c>
      <c r="CH45" s="136">
        <f>IF(AJ45&gt;0,(BZ45^2),"")</f>
        <v/>
      </c>
      <c r="CI45" s="136">
        <f>IF(AN45&gt;0,(CA45^2),"")</f>
        <v/>
      </c>
    </row>
    <row r="46" ht="18.75" customHeight="1" s="444">
      <c r="A46" s="340" t="inlineStr">
        <is>
          <t>Gualdo 1</t>
        </is>
      </c>
      <c r="B46" s="65" t="inlineStr">
        <is>
          <t>E2</t>
        </is>
      </c>
      <c r="C46" s="78" t="inlineStr">
        <is>
          <t>Attività di magazzino</t>
        </is>
      </c>
      <c r="D46" s="83" t="inlineStr">
        <is>
          <t>/</t>
        </is>
      </c>
      <c r="E46" s="83" t="inlineStr">
        <is>
          <t>/</t>
        </is>
      </c>
      <c r="F46" s="78" t="inlineStr">
        <is>
          <t>Attività di magazzino</t>
        </is>
      </c>
      <c r="G46" s="71" t="n">
        <v>45996</v>
      </c>
      <c r="H46" s="77" t="inlineStr">
        <is>
          <t>Compito</t>
        </is>
      </c>
      <c r="I46" s="77">
        <f>IF((V46-R46)&gt;3,"SI","")</f>
        <v/>
      </c>
      <c r="J46" s="77">
        <f>IF((U46-R46)&gt;3,"SI","")</f>
        <v/>
      </c>
      <c r="K46" s="77" t="n"/>
      <c r="L46" s="77" t="n"/>
      <c r="M46" s="137">
        <f>IF(R46&gt;0,(SQRT(CC46*(SUM(CD46:CI46)))),"")</f>
        <v/>
      </c>
      <c r="N46" s="4">
        <f>IF(T46&gt;0,(MAX(T46,Z46,AD46,AH46,AL46,AP46))+SQRT(1.2^2+1^2),"")</f>
        <v/>
      </c>
      <c r="O46" s="3">
        <f>IF(R46="",0,10*LOG10(SUM(BP46:BU46)/(COUNT(R46,X46,AB46,AF46,AJ46,AN46))))</f>
        <v/>
      </c>
      <c r="P46" s="5">
        <f>IF(AND(Y46="",AC46="",AG46="",AK46="",AO46=""),S46,AVERAGE(S46,Y46,AC46,AG46,AK46,AO46)+STDEV(S46,Y46,AC46,AG46,AK46,AO46))</f>
        <v/>
      </c>
      <c r="Q46" s="14" t="n">
        <v>300</v>
      </c>
      <c r="R46" s="11" t="n">
        <v>63</v>
      </c>
      <c r="S46" s="12" t="n">
        <v>69.09999999999999</v>
      </c>
      <c r="T46" s="13" t="n">
        <v>105.1</v>
      </c>
      <c r="U46" s="79" t="n">
        <v>63</v>
      </c>
      <c r="V46" s="79" t="n">
        <v>72.90000000000001</v>
      </c>
      <c r="W46" s="10" t="n">
        <v>300</v>
      </c>
      <c r="X46" s="11" t="n">
        <v>68</v>
      </c>
      <c r="Y46" s="12" t="n">
        <v>70.90000000000001</v>
      </c>
      <c r="Z46" s="13" t="n">
        <v>104.4</v>
      </c>
      <c r="AA46" s="10" t="n">
        <v>300</v>
      </c>
      <c r="AB46" s="11" t="n">
        <v>64.09999999999999</v>
      </c>
      <c r="AC46" s="12" t="n">
        <v>68.09999999999999</v>
      </c>
      <c r="AD46" s="13" t="n">
        <v>101.2</v>
      </c>
      <c r="AE46" s="14" t="n">
        <v>300</v>
      </c>
      <c r="AF46" s="11" t="n">
        <v>62.9</v>
      </c>
      <c r="AG46" s="12" t="n">
        <v>67.40000000000001</v>
      </c>
      <c r="AH46" s="13" t="n">
        <v>102.6</v>
      </c>
      <c r="AI46" s="10" t="n">
        <v>300</v>
      </c>
      <c r="AJ46" s="11" t="n">
        <v>62</v>
      </c>
      <c r="AK46" s="12" t="n">
        <v>67.09999999999999</v>
      </c>
      <c r="AL46" s="13" t="n">
        <v>104.4</v>
      </c>
      <c r="AM46" s="10" t="n">
        <v>300</v>
      </c>
      <c r="AN46" s="11" t="n">
        <v>64.09999999999999</v>
      </c>
      <c r="AO46" s="12" t="n">
        <v>69.40000000000001</v>
      </c>
      <c r="AP46" s="13" t="n">
        <v>103.1</v>
      </c>
      <c r="AQ46" s="6">
        <f>IF(AND((O46)&lt;85,N46&lt;137),"NO","SI")</f>
        <v/>
      </c>
      <c r="AR46" s="7">
        <f>IF((480*(10^(7.95-(O46/10))))&lt;480,480*(10^(7.95-(O46/10))),480)</f>
        <v/>
      </c>
      <c r="AS46" s="8">
        <f>IF((480*(10^(8.45-(O46/10))))&lt;480,480*(10^(8.45-(O46/10))),480)</f>
        <v/>
      </c>
      <c r="AT46" s="9">
        <f>IF((480*(10^(8.65-(O46/10))))&lt;480,480*(10^(8.65-(O46/10))),480)</f>
        <v/>
      </c>
      <c r="AU46" s="111">
        <f>IF(O46&lt;80,"0",IF((P46-O46)&lt;=2,('DPI art.191'!$G$3-(('DPI art.191'!$F$3-'DPI art.191'!$G$3)/4)*(P46-O46-2)),('DPI art.191'!$G$3-(('DPI art.191'!$G$3-'DPI art.191'!$H$3)/8)*(P46-O46-2))))</f>
        <v/>
      </c>
      <c r="AV46" s="24">
        <f>O46-AU46</f>
        <v/>
      </c>
      <c r="AW46" s="24">
        <f>IF(N46&lt;135,N46,N46-'DPI art.191'!$I$3)</f>
        <v/>
      </c>
      <c r="AX46" s="111">
        <f>IF(O46&lt;80,"0",IF((P46-O46)&lt;=2,('DPI art.191'!$G$5-(('DPI art.191'!$F$5-'DPI art.191'!$G$5)/4)*(P46-O46-2)),('DPI art.191'!$G$5-(('DPI art.191'!$G$5-'DPI art.191'!$H$5)/8)*(P46-O46-2))))</f>
        <v/>
      </c>
      <c r="AY46" s="24">
        <f>O46-AX46</f>
        <v/>
      </c>
      <c r="AZ46" s="24">
        <f>IF(N46&lt;135,N46,N46-'DPI art.191'!$I$5)</f>
        <v/>
      </c>
      <c r="BA46" s="111">
        <f>IF(O46&lt;80,"0",IF((P46-O46)&lt;=2,('DPI art.191'!$G$7-(('DPI art.191'!$F$7-'DPI art.191'!$G$7)/4)*(P46-O46-2)),('DPI art.191'!$G$7-(('DPI art.191'!$G$7-'DPI art.191'!$H$7)/8)*(P46-O46-2))))</f>
        <v/>
      </c>
      <c r="BB46" s="24">
        <f>O46-BA46</f>
        <v/>
      </c>
      <c r="BC46" s="24">
        <f>IF(N46&lt;135,N46,N46-'DPI art.191'!$I$7)</f>
        <v/>
      </c>
      <c r="BD46" s="111">
        <f>IF(O46&lt;80,"0",IF((P46-O46)&lt;=2,('DPI art.191'!$G$9-(('DPI art.191'!$F$9-'DPI art.191'!$G$9)/4)*(O46-P46-2)),('DPI art.191'!$G$9-(('DPI art.191'!$G$9-'DPI art.191'!$H$9)/8)*(P46-O46-2))))</f>
        <v/>
      </c>
      <c r="BE46" s="24">
        <f>O46-BD46</f>
        <v/>
      </c>
      <c r="BF46" s="24">
        <f>IF(N46&lt;135,N46,N46-'DPI art.191'!$I$9)</f>
        <v/>
      </c>
      <c r="BG46" s="111">
        <f>IF(O46&lt;80,"0",IF((P46-O46)&lt;=2,('DPI art.191'!$G$11-(('DPI art.191'!$F$11-'DPI art.191'!$G$11)/4)*(P46-O46-2)),('DPI art.191'!$G$11-(('DPI art.191'!$G$11-'DPI art.191'!$H$11)/8)*(P46-O46-2))))</f>
        <v/>
      </c>
      <c r="BH46" s="24">
        <f>O46-BG46</f>
        <v/>
      </c>
      <c r="BI46" s="24">
        <f>IF(T46&lt;135,T46,T46-'DPI art.191'!$I$11)</f>
        <v/>
      </c>
      <c r="BJ46" s="111">
        <f>IF(O46&lt;80,"0",IF((P46-O46)&lt;=2,('DPI art.191'!$G$13-(('DPI art.191'!$F$13-'DPI art.191'!$G$13)/4)*(P46-O46-2)),('DPI art.191'!$G$13-(('DPI art.191'!$G$13-'DPI art.191'!$H$13)/8)*(P46-O46-2))))</f>
        <v/>
      </c>
      <c r="BK46" s="24">
        <f>O46-BJ46</f>
        <v/>
      </c>
      <c r="BL46" s="24">
        <f>IF(T46&lt;135,T46,T46-'DPI art.191'!$I$13)</f>
        <v/>
      </c>
      <c r="BM46" s="111">
        <f>IF(O46&lt;80,"0",IF((P46-O46)&lt;=2,('DPI art.191'!$G$15-(('DPI art.191'!$F$15-'DPI art.191'!$G$15)/4)*(P46-O46-2)),('DPI art.191'!$G$15-(('DPI art.191'!$G$15-'DPI art.191'!$H$15)/8)*(P46-O46-2))))</f>
        <v/>
      </c>
      <c r="BN46" s="24">
        <f>O46-BM46</f>
        <v/>
      </c>
      <c r="BO46" s="24">
        <f>IF(Z46&lt;135,Z46,Z46-'DPI art.191'!$I$15)</f>
        <v/>
      </c>
      <c r="BP46" s="108">
        <f>10^(0.1*R46)</f>
        <v/>
      </c>
      <c r="BQ46" s="108">
        <f>10^(0.1*X46)</f>
        <v/>
      </c>
      <c r="BR46" s="108">
        <f>10^(0.1*AB46)</f>
        <v/>
      </c>
      <c r="BS46" s="108">
        <f>10^(0.1*AF46)</f>
        <v/>
      </c>
      <c r="BT46" s="108">
        <f>10^(0.1*AJ46)</f>
        <v/>
      </c>
      <c r="BU46" s="108">
        <f>10^(0.1*AN46)</f>
        <v/>
      </c>
      <c r="BV46" s="106">
        <f>IF(R46&gt;0,(O46-R46),"")</f>
        <v/>
      </c>
      <c r="BW46" s="106">
        <f>IF(X46&gt;0,(O46-X46),"")</f>
        <v/>
      </c>
      <c r="BX46" s="106">
        <f>IF(AB46&gt;0,(O46-AB46),"")</f>
        <v/>
      </c>
      <c r="BY46" s="106">
        <f>IF(AF46&gt;0,(O46-AF46),"")</f>
        <v/>
      </c>
      <c r="BZ46" s="106">
        <f>IF(AJ46&gt;0,(O46-AJ46),"")</f>
        <v/>
      </c>
      <c r="CA46" s="106">
        <f>IF(AN46&gt;0,(O46-AN46),"")</f>
        <v/>
      </c>
      <c r="CB46" s="106">
        <f>COUNT(BV46:CA46)</f>
        <v/>
      </c>
      <c r="CC46" s="464">
        <f>IF(CB46=0,0,IF(CB46=1,0,1/(CB46*(CB46-1))))</f>
        <v/>
      </c>
      <c r="CD46" s="136">
        <f>IF(R46&gt;0,(BV46^2),"")</f>
        <v/>
      </c>
      <c r="CE46" s="136">
        <f>IF(X46&gt;0,(BW46^2),"")</f>
        <v/>
      </c>
      <c r="CF46" s="136">
        <f>IF(AB46&gt;0,(BX46^2),"")</f>
        <v/>
      </c>
      <c r="CG46" s="136">
        <f>IF(AF46&gt;0,(BY46^2),"")</f>
        <v/>
      </c>
      <c r="CH46" s="136">
        <f>IF(AJ46&gt;0,(BZ46^2),"")</f>
        <v/>
      </c>
      <c r="CI46" s="136">
        <f>IF(AN46&gt;0,(CA46^2),"")</f>
        <v/>
      </c>
    </row>
    <row r="47" ht="18.75" customHeight="1" s="444">
      <c r="A47" s="340" t="inlineStr">
        <is>
          <t>273/16</t>
        </is>
      </c>
      <c r="B47" s="65" t="inlineStr">
        <is>
          <t>E3</t>
        </is>
      </c>
      <c r="C47" s="78" t="inlineStr">
        <is>
          <t>Taglio con sega a nastro</t>
        </is>
      </c>
      <c r="D47" s="83" t="inlineStr">
        <is>
          <t>/</t>
        </is>
      </c>
      <c r="E47" s="83" t="inlineStr">
        <is>
          <t>/</t>
        </is>
      </c>
      <c r="F47" s="192" t="inlineStr">
        <is>
          <t>Taglio con sega a nastro</t>
        </is>
      </c>
      <c r="G47" s="71" t="n">
        <v>45996</v>
      </c>
      <c r="H47" s="77" t="inlineStr">
        <is>
          <t>Compito</t>
        </is>
      </c>
      <c r="I47" s="77">
        <f>IF((V47-R47)&gt;3,"SI","")</f>
        <v/>
      </c>
      <c r="J47" s="77">
        <f>IF((U47-R47)&gt;3,"SI","")</f>
        <v/>
      </c>
      <c r="K47" s="77" t="n"/>
      <c r="L47" s="77" t="n"/>
      <c r="M47" s="137">
        <f>IF(R47&gt;0,(SQRT(CC47*(SUM(CD47:CI47)))),"")</f>
        <v/>
      </c>
      <c r="N47" s="4">
        <f>IF(T47&gt;0,(MAX(T47,Z47,AD47,AH47,AL47,AP47))+SQRT(1.2^2+1^2),"")</f>
        <v/>
      </c>
      <c r="O47" s="3">
        <f>IF(R47="",0,10*LOG10(SUM(BP47:BU47)/(COUNT(R47,X47,AB47,AF47,AJ47,AN47))))</f>
        <v/>
      </c>
      <c r="P47" s="5">
        <f>IF(AND(Y47="",AC47="",AG47="",AK47="",AO47=""),S47,AVERAGE(S47,Y47,AC47,AG47,AK47,AO47)+STDEV(S47,Y47,AC47,AG47,AK47,AO47))</f>
        <v/>
      </c>
      <c r="Q47" s="14" t="n">
        <v>300</v>
      </c>
      <c r="R47" s="11" t="n">
        <v>78.5</v>
      </c>
      <c r="S47" s="12" t="n">
        <v>80.09999999999999</v>
      </c>
      <c r="T47" s="13" t="n">
        <v>106.8</v>
      </c>
      <c r="U47" s="79" t="n">
        <v>78.40000000000001</v>
      </c>
      <c r="V47" s="79" t="n">
        <v>83.8</v>
      </c>
      <c r="W47" s="10" t="n">
        <v>300</v>
      </c>
      <c r="X47" s="11" t="n">
        <v>77.90000000000001</v>
      </c>
      <c r="Y47" s="12" t="n">
        <v>80</v>
      </c>
      <c r="Z47" s="13" t="n">
        <v>96.2</v>
      </c>
      <c r="AA47" s="10" t="n">
        <v>300</v>
      </c>
      <c r="AB47" s="11" t="n">
        <v>77.5</v>
      </c>
      <c r="AC47" s="12" t="n">
        <v>79.5</v>
      </c>
      <c r="AD47" s="13" t="n">
        <v>104.5</v>
      </c>
      <c r="AE47" s="14" t="n">
        <v>300</v>
      </c>
      <c r="AF47" s="11" t="n">
        <v>77.90000000000001</v>
      </c>
      <c r="AG47" s="12" t="n">
        <v>80</v>
      </c>
      <c r="AH47" s="13" t="n">
        <v>97.2</v>
      </c>
      <c r="AI47" s="10" t="n">
        <v>300</v>
      </c>
      <c r="AJ47" s="11" t="n">
        <v>79</v>
      </c>
      <c r="AK47" s="12" t="n">
        <v>80.5</v>
      </c>
      <c r="AL47" s="13" t="n">
        <v>109.6</v>
      </c>
      <c r="AM47" s="10" t="n">
        <v>300</v>
      </c>
      <c r="AN47" s="11" t="n">
        <v>78.7</v>
      </c>
      <c r="AO47" s="12" t="n">
        <v>81.8</v>
      </c>
      <c r="AP47" s="13" t="n">
        <v>102.2</v>
      </c>
      <c r="AQ47" s="6">
        <f>IF(AND((O47)&lt;85,N47&lt;137),"NO","SI")</f>
        <v/>
      </c>
      <c r="AR47" s="7">
        <f>IF((480*(10^(7.95-(O47/10))))&lt;480,480*(10^(7.95-(O47/10))),480)</f>
        <v/>
      </c>
      <c r="AS47" s="8">
        <f>IF((480*(10^(8.45-(O47/10))))&lt;480,480*(10^(8.45-(O47/10))),480)</f>
        <v/>
      </c>
      <c r="AT47" s="9">
        <f>IF((480*(10^(8.65-(O47/10))))&lt;480,480*(10^(8.65-(O47/10))),480)</f>
        <v/>
      </c>
      <c r="AU47" s="111">
        <f>IF(O47&lt;80,"0",IF((P47-O47)&lt;=2,('DPI art.191'!$G$3-(('DPI art.191'!$F$3-'DPI art.191'!$G$3)/4)*(P47-O47-2)),('DPI art.191'!$G$3-(('DPI art.191'!$G$3-'DPI art.191'!$H$3)/8)*(P47-O47-2))))</f>
        <v/>
      </c>
      <c r="AV47" s="24">
        <f>O47-AU47</f>
        <v/>
      </c>
      <c r="AW47" s="24">
        <f>IF(N47&lt;135,N47,N47-'DPI art.191'!$I$3)</f>
        <v/>
      </c>
      <c r="AX47" s="111">
        <f>IF(O47&lt;80,"0",IF((P47-O47)&lt;=2,('DPI art.191'!$G$5-(('DPI art.191'!$F$5-'DPI art.191'!$G$5)/4)*(P47-O47-2)),('DPI art.191'!$G$5-(('DPI art.191'!$G$5-'DPI art.191'!$H$5)/8)*(P47-O47-2))))</f>
        <v/>
      </c>
      <c r="AY47" s="24">
        <f>O47-AX47</f>
        <v/>
      </c>
      <c r="AZ47" s="24">
        <f>IF(N47&lt;135,N47,N47-'DPI art.191'!$I$5)</f>
        <v/>
      </c>
      <c r="BA47" s="111">
        <f>IF(O47&lt;80,"0",IF((P47-O47)&lt;=2,('DPI art.191'!$G$7-(('DPI art.191'!$F$7-'DPI art.191'!$G$7)/4)*(P47-O47-2)),('DPI art.191'!$G$7-(('DPI art.191'!$G$7-'DPI art.191'!$H$7)/8)*(P47-O47-2))))</f>
        <v/>
      </c>
      <c r="BB47" s="24">
        <f>O47-BA47</f>
        <v/>
      </c>
      <c r="BC47" s="24">
        <f>IF(N47&lt;135,N47,N47-'DPI art.191'!$I$7)</f>
        <v/>
      </c>
      <c r="BD47" s="111">
        <f>IF(O47&lt;80,"0",IF((P47-O47)&lt;=2,('DPI art.191'!$G$9-(('DPI art.191'!$F$9-'DPI art.191'!$G$9)/4)*(O47-P47-2)),('DPI art.191'!$G$9-(('DPI art.191'!$G$9-'DPI art.191'!$H$9)/8)*(P47-O47-2))))</f>
        <v/>
      </c>
      <c r="BE47" s="24">
        <f>O47-BD47</f>
        <v/>
      </c>
      <c r="BF47" s="24">
        <f>IF(N47&lt;135,N47,N47-'DPI art.191'!$I$9)</f>
        <v/>
      </c>
      <c r="BG47" s="111">
        <f>IF(O47&lt;80,"0",IF((P47-O47)&lt;=2,('DPI art.191'!$G$11-(('DPI art.191'!$F$11-'DPI art.191'!$G$11)/4)*(P47-O47-2)),('DPI art.191'!$G$11-(('DPI art.191'!$G$11-'DPI art.191'!$H$11)/8)*(P47-O47-2))))</f>
        <v/>
      </c>
      <c r="BH47" s="24">
        <f>O47-BG47</f>
        <v/>
      </c>
      <c r="BI47" s="24">
        <f>IF(T47&lt;135,T47,T47-'DPI art.191'!$I$11)</f>
        <v/>
      </c>
      <c r="BJ47" s="111">
        <f>IF(O47&lt;80,"0",IF((P47-O47)&lt;=2,('DPI art.191'!$G$13-(('DPI art.191'!$F$13-'DPI art.191'!$G$13)/4)*(P47-O47-2)),('DPI art.191'!$G$13-(('DPI art.191'!$G$13-'DPI art.191'!$H$13)/8)*(P47-O47-2))))</f>
        <v/>
      </c>
      <c r="BK47" s="24">
        <f>O47-BJ47</f>
        <v/>
      </c>
      <c r="BL47" s="24">
        <f>IF(T47&lt;135,T47,T47-'DPI art.191'!$I$13)</f>
        <v/>
      </c>
      <c r="BM47" s="111">
        <f>IF(O47&lt;80,"0",IF((P47-O47)&lt;=2,('DPI art.191'!$G$15-(('DPI art.191'!$F$15-'DPI art.191'!$G$15)/4)*(P47-O47-2)),('DPI art.191'!$G$15-(('DPI art.191'!$G$15-'DPI art.191'!$H$15)/8)*(P47-O47-2))))</f>
        <v/>
      </c>
      <c r="BN47" s="24">
        <f>O47-BM47</f>
        <v/>
      </c>
      <c r="BO47" s="24">
        <f>IF(Z47&lt;135,Z47,Z47-'DPI art.191'!$I$15)</f>
        <v/>
      </c>
      <c r="BP47" s="108">
        <f>10^(0.1*R47)</f>
        <v/>
      </c>
      <c r="BQ47" s="108">
        <f>10^(0.1*X47)</f>
        <v/>
      </c>
      <c r="BR47" s="108">
        <f>10^(0.1*AB47)</f>
        <v/>
      </c>
      <c r="BS47" s="108">
        <f>10^(0.1*AF47)</f>
        <v/>
      </c>
      <c r="BT47" s="108">
        <f>10^(0.1*AJ47)</f>
        <v/>
      </c>
      <c r="BU47" s="108">
        <f>10^(0.1*AN47)</f>
        <v/>
      </c>
      <c r="BV47" s="106">
        <f>IF(R47&gt;0,(O47-R47),"")</f>
        <v/>
      </c>
      <c r="BW47" s="106">
        <f>IF(X47&gt;0,(O47-X47),"")</f>
        <v/>
      </c>
      <c r="BX47" s="106">
        <f>IF(AB47&gt;0,(O47-AB47),"")</f>
        <v/>
      </c>
      <c r="BY47" s="106">
        <f>IF(AF47&gt;0,(O47-AF47),"")</f>
        <v/>
      </c>
      <c r="BZ47" s="106">
        <f>IF(AJ47&gt;0,(O47-AJ47),"")</f>
        <v/>
      </c>
      <c r="CA47" s="106">
        <f>IF(AN47&gt;0,(O47-AN47),"")</f>
        <v/>
      </c>
      <c r="CB47" s="106">
        <f>COUNT(BV47:CA47)</f>
        <v/>
      </c>
      <c r="CC47" s="464">
        <f>IF(CB47=0,0,IF(CB47=1,0,1/(CB47*(CB47-1))))</f>
        <v/>
      </c>
      <c r="CD47" s="136">
        <f>IF(R47&gt;0,(BV47^2),"")</f>
        <v/>
      </c>
      <c r="CE47" s="136">
        <f>IF(X47&gt;0,(BW47^2),"")</f>
        <v/>
      </c>
      <c r="CF47" s="136">
        <f>IF(AB47&gt;0,(BX47^2),"")</f>
        <v/>
      </c>
      <c r="CG47" s="136">
        <f>IF(AF47&gt;0,(BY47^2),"")</f>
        <v/>
      </c>
      <c r="CH47" s="136">
        <f>IF(AJ47&gt;0,(BZ47^2),"")</f>
        <v/>
      </c>
      <c r="CI47" s="136">
        <f>IF(AN47&gt;0,(CA47^2),"")</f>
        <v/>
      </c>
    </row>
    <row r="48" ht="18.75" customHeight="1" s="444">
      <c r="A48" s="340" t="inlineStr">
        <is>
          <t>260/03</t>
        </is>
      </c>
      <c r="B48" s="65" t="inlineStr">
        <is>
          <t>E4</t>
        </is>
      </c>
      <c r="C48" s="78" t="inlineStr">
        <is>
          <t>Pantografo</t>
        </is>
      </c>
      <c r="D48" s="83" t="inlineStr">
        <is>
          <t>/</t>
        </is>
      </c>
      <c r="E48" s="83" t="inlineStr">
        <is>
          <t>/</t>
        </is>
      </c>
      <c r="F48" s="192" t="inlineStr">
        <is>
          <t>Pantografo</t>
        </is>
      </c>
      <c r="G48" s="71" t="n">
        <v>45996</v>
      </c>
      <c r="H48" s="77" t="inlineStr">
        <is>
          <t>Compito</t>
        </is>
      </c>
      <c r="I48" s="77">
        <f>IF((V48-R48)&gt;3,"SI","")</f>
        <v/>
      </c>
      <c r="J48" s="77" t="inlineStr">
        <is>
          <t>SI</t>
        </is>
      </c>
      <c r="K48" s="77" t="n"/>
      <c r="L48" s="77" t="n"/>
      <c r="M48" s="137">
        <f>IF(R48&gt;0,(SQRT(CC48*(SUM(CD48:CI48)))),"")</f>
        <v/>
      </c>
      <c r="N48" s="4">
        <f>IF(T48&gt;0,(MAX(T48,Z48,AD48,AH48,AL48,AP48))+SQRT(1.2^2+1^2),"")</f>
        <v/>
      </c>
      <c r="O48" s="3">
        <f>IF(R48="",0,10*LOG10(SUM(BP48:BU48)/(COUNT(R48,X48,AB48,AF48,AJ48,AN48))))</f>
        <v/>
      </c>
      <c r="P48" s="5">
        <f>IF(AND(Y48="",AC48="",AG48="",AK48="",AO48=""),S48,AVERAGE(S48,Y48,AC48,AG48,AK48,AO48)+STDEV(S48,Y48,AC48,AG48,AK48,AO48))</f>
        <v/>
      </c>
      <c r="Q48" s="14" t="n">
        <v>300</v>
      </c>
      <c r="R48" s="11" t="n">
        <v>86.09999999999999</v>
      </c>
      <c r="S48" s="12" t="n">
        <v>85.8</v>
      </c>
      <c r="T48" s="13" t="n">
        <v>108.9</v>
      </c>
      <c r="U48" s="79" t="n">
        <v>86.09999999999999</v>
      </c>
      <c r="V48" s="79" t="n">
        <v>88.5</v>
      </c>
      <c r="W48" s="10" t="n">
        <v>300</v>
      </c>
      <c r="X48" s="11" t="n">
        <v>90.2</v>
      </c>
      <c r="Y48" s="12" t="n">
        <v>89.2</v>
      </c>
      <c r="Z48" s="13" t="n">
        <v>111.1</v>
      </c>
      <c r="AA48" s="10" t="n">
        <v>300</v>
      </c>
      <c r="AB48" s="11" t="n">
        <v>85.2</v>
      </c>
      <c r="AC48" s="12" t="n">
        <v>85.2</v>
      </c>
      <c r="AD48" s="13" t="n">
        <v>105.9</v>
      </c>
      <c r="AE48" s="14" t="n">
        <v>300</v>
      </c>
      <c r="AF48" s="11" t="n">
        <v>85.7</v>
      </c>
      <c r="AG48" s="12" t="n">
        <v>86.2</v>
      </c>
      <c r="AH48" s="13" t="n">
        <v>107.5</v>
      </c>
      <c r="AI48" s="10" t="n">
        <v>300</v>
      </c>
      <c r="AJ48" s="11" t="n">
        <v>89.2</v>
      </c>
      <c r="AK48" s="12" t="n">
        <v>89</v>
      </c>
      <c r="AL48" s="13" t="n">
        <v>109.1</v>
      </c>
      <c r="AM48" s="10" t="n">
        <v>300</v>
      </c>
      <c r="AN48" s="11" t="n">
        <v>89.40000000000001</v>
      </c>
      <c r="AO48" s="12" t="n">
        <v>89.2</v>
      </c>
      <c r="AP48" s="13" t="n">
        <v>112</v>
      </c>
      <c r="AQ48" s="6">
        <f>IF(AND((O48)&lt;85,N48&lt;137),"NO","SI")</f>
        <v/>
      </c>
      <c r="AR48" s="7">
        <f>IF((480*(10^(7.95-(O48/10))))&lt;480,480*(10^(7.95-(O48/10))),480)</f>
        <v/>
      </c>
      <c r="AS48" s="8">
        <f>IF((480*(10^(8.45-(O48/10))))&lt;480,480*(10^(8.45-(O48/10))),480)</f>
        <v/>
      </c>
      <c r="AT48" s="9">
        <f>IF((480*(10^(8.65-(O48/10))))&lt;480,480*(10^(8.65-(O48/10))),480)</f>
        <v/>
      </c>
      <c r="AU48" s="111">
        <f>IF(O48&lt;80,"0",IF((P48-O48)&lt;=2,('DPI art.191'!$G$3-(('DPI art.191'!$F$3-'DPI art.191'!$G$3)/4)*(P48-O48-2)),('DPI art.191'!$G$3-(('DPI art.191'!$G$3-'DPI art.191'!$H$3)/8)*(P48-O48-2))))</f>
        <v/>
      </c>
      <c r="AV48" s="24">
        <f>O48-AU48</f>
        <v/>
      </c>
      <c r="AW48" s="24">
        <f>IF(N48&lt;135,N48,N48-'DPI art.191'!$I$3)</f>
        <v/>
      </c>
      <c r="AX48" s="111">
        <f>IF(O48&lt;80,"0",IF((P48-O48)&lt;=2,('DPI art.191'!$G$5-(('DPI art.191'!$F$5-'DPI art.191'!$G$5)/4)*(P48-O48-2)),('DPI art.191'!$G$5-(('DPI art.191'!$G$5-'DPI art.191'!$H$5)/8)*(P48-O48-2))))</f>
        <v/>
      </c>
      <c r="AY48" s="24">
        <f>O48-AX48</f>
        <v/>
      </c>
      <c r="AZ48" s="24">
        <f>IF(N48&lt;135,N48,N48-'DPI art.191'!$I$5)</f>
        <v/>
      </c>
      <c r="BA48" s="111">
        <f>IF(O48&lt;80,"0",IF((P48-O48)&lt;=2,('DPI art.191'!$G$7-(('DPI art.191'!$F$7-'DPI art.191'!$G$7)/4)*(P48-O48-2)),('DPI art.191'!$G$7-(('DPI art.191'!$G$7-'DPI art.191'!$H$7)/8)*(P48-O48-2))))</f>
        <v/>
      </c>
      <c r="BB48" s="24">
        <f>O48-BA48</f>
        <v/>
      </c>
      <c r="BC48" s="24">
        <f>IF(N48&lt;135,N48,N48-'DPI art.191'!$I$7)</f>
        <v/>
      </c>
      <c r="BD48" s="111">
        <f>IF(O48&lt;80,"0",IF((P48-O48)&lt;=2,('DPI art.191'!$G$9-(('DPI art.191'!$F$9-'DPI art.191'!$G$9)/4)*(O48-P48-2)),('DPI art.191'!$G$9-(('DPI art.191'!$G$9-'DPI art.191'!$H$9)/8)*(P48-O48-2))))</f>
        <v/>
      </c>
      <c r="BE48" s="24">
        <f>O48-BD48</f>
        <v/>
      </c>
      <c r="BF48" s="24">
        <f>IF(N48&lt;135,N48,N48-'DPI art.191'!$I$9)</f>
        <v/>
      </c>
      <c r="BG48" s="111">
        <f>IF(O48&lt;80,"0",IF((P48-O48)&lt;=2,('DPI art.191'!$G$11-(('DPI art.191'!$F$11-'DPI art.191'!$G$11)/4)*(P48-O48-2)),('DPI art.191'!$G$11-(('DPI art.191'!$G$11-'DPI art.191'!$H$11)/8)*(P48-O48-2))))</f>
        <v/>
      </c>
      <c r="BH48" s="24">
        <f>O48-BG48</f>
        <v/>
      </c>
      <c r="BI48" s="24">
        <f>IF(T48&lt;135,T48,T48-'DPI art.191'!$I$11)</f>
        <v/>
      </c>
      <c r="BJ48" s="111">
        <f>IF(O48&lt;80,"0",IF((P48-O48)&lt;=2,('DPI art.191'!$G$13-(('DPI art.191'!$F$13-'DPI art.191'!$G$13)/4)*(P48-O48-2)),('DPI art.191'!$G$13-(('DPI art.191'!$G$13-'DPI art.191'!$H$13)/8)*(P48-O48-2))))</f>
        <v/>
      </c>
      <c r="BK48" s="24">
        <f>O48-BJ48</f>
        <v/>
      </c>
      <c r="BL48" s="24">
        <f>IF(T48&lt;135,T48,T48-'DPI art.191'!$I$13)</f>
        <v/>
      </c>
      <c r="BM48" s="111">
        <f>IF(O48&lt;80,"0",IF((P48-O48)&lt;=2,('DPI art.191'!$G$15-(('DPI art.191'!$F$15-'DPI art.191'!$G$15)/4)*(P48-O48-2)),('DPI art.191'!$G$15-(('DPI art.191'!$G$15-'DPI art.191'!$H$15)/8)*(P48-O48-2))))</f>
        <v/>
      </c>
      <c r="BN48" s="24">
        <f>O48-BM48</f>
        <v/>
      </c>
      <c r="BO48" s="24">
        <f>IF(Z48&lt;135,Z48,Z48-'DPI art.191'!$I$15)</f>
        <v/>
      </c>
      <c r="BP48" s="108">
        <f>10^(0.1*R48)</f>
        <v/>
      </c>
      <c r="BQ48" s="108">
        <f>10^(0.1*X48)</f>
        <v/>
      </c>
      <c r="BR48" s="108">
        <f>10^(0.1*AB48)</f>
        <v/>
      </c>
      <c r="BS48" s="108">
        <f>10^(0.1*AF48)</f>
        <v/>
      </c>
      <c r="BT48" s="108">
        <f>10^(0.1*AJ48)</f>
        <v/>
      </c>
      <c r="BU48" s="108">
        <f>10^(0.1*AN48)</f>
        <v/>
      </c>
      <c r="BV48" s="106">
        <f>IF(R48&gt;0,(O48-R48),"")</f>
        <v/>
      </c>
      <c r="BW48" s="106">
        <f>IF(X48&gt;0,(O48-X48),"")</f>
        <v/>
      </c>
      <c r="BX48" s="106">
        <f>IF(AB48&gt;0,(O48-AB48),"")</f>
        <v/>
      </c>
      <c r="BY48" s="106">
        <f>IF(AF48&gt;0,(O48-AF48),"")</f>
        <v/>
      </c>
      <c r="BZ48" s="106">
        <f>IF(AJ48&gt;0,(O48-AJ48),"")</f>
        <v/>
      </c>
      <c r="CA48" s="106">
        <f>IF(AN48&gt;0,(O48-AN48),"")</f>
        <v/>
      </c>
      <c r="CB48" s="106">
        <f>COUNT(BV48:CA48)</f>
        <v/>
      </c>
      <c r="CC48" s="464">
        <f>IF(CB48=0,0,IF(CB48=1,0,1/(CB48*(CB48-1))))</f>
        <v/>
      </c>
      <c r="CD48" s="136">
        <f>IF(R48&gt;0,(BV48^2),"")</f>
        <v/>
      </c>
      <c r="CE48" s="136">
        <f>IF(X48&gt;0,(BW48^2),"")</f>
        <v/>
      </c>
      <c r="CF48" s="136">
        <f>IF(AB48&gt;0,(BX48^2),"")</f>
        <v/>
      </c>
      <c r="CG48" s="136">
        <f>IF(AF48&gt;0,(BY48^2),"")</f>
        <v/>
      </c>
      <c r="CH48" s="136">
        <f>IF(AJ48&gt;0,(BZ48^2),"")</f>
        <v/>
      </c>
      <c r="CI48" s="136">
        <f>IF(AN48&gt;0,(CA48^2),"")</f>
        <v/>
      </c>
    </row>
    <row r="49" ht="18.75" customHeight="1" s="444">
      <c r="A49" s="340" t="inlineStr">
        <is>
          <t>022/A/AC6</t>
        </is>
      </c>
      <c r="B49" s="65" t="inlineStr">
        <is>
          <t>E5</t>
        </is>
      </c>
      <c r="C49" s="78" t="inlineStr">
        <is>
          <t>Saldatrice auto a colonna</t>
        </is>
      </c>
      <c r="D49" s="83" t="inlineStr">
        <is>
          <t>/</t>
        </is>
      </c>
      <c r="E49" s="83" t="inlineStr">
        <is>
          <t>/</t>
        </is>
      </c>
      <c r="F49" s="78" t="inlineStr">
        <is>
          <t>Saldatrice auto a colonna</t>
        </is>
      </c>
      <c r="G49" s="71" t="n">
        <v>45996</v>
      </c>
      <c r="H49" s="77" t="inlineStr">
        <is>
          <t>Compito</t>
        </is>
      </c>
      <c r="I49" s="77">
        <f>IF((V49-R49)&gt;3,"SI","")</f>
        <v/>
      </c>
      <c r="J49" s="77" t="inlineStr">
        <is>
          <t>SI</t>
        </is>
      </c>
      <c r="K49" s="77" t="n"/>
      <c r="L49" s="77" t="n"/>
      <c r="M49" s="137">
        <f>IF(R49&gt;0,(SQRT(CC49*(SUM(CD49:CI49)))),"")</f>
        <v/>
      </c>
      <c r="N49" s="4">
        <f>IF(T49&gt;0,(MAX(T49,Z49,AD49,AH49,AL49,AP49))+SQRT(1.2^2+1^2),"")</f>
        <v/>
      </c>
      <c r="O49" s="3">
        <f>IF(R49="",0,10*LOG10(SUM(BP49:BU49)/(COUNT(R49,X49,AB49,AF49,AJ49,AN49))))</f>
        <v/>
      </c>
      <c r="P49" s="5">
        <f>IF(AND(Y49="",AC49="",AG49="",AK49="",AO49=""),S49,AVERAGE(S49,Y49,AC49,AG49,AK49,AO49)+STDEV(S49,Y49,AC49,AG49,AK49,AO49))</f>
        <v/>
      </c>
      <c r="Q49" s="14" t="n">
        <v>300</v>
      </c>
      <c r="R49" s="11" t="n">
        <v>83.2</v>
      </c>
      <c r="S49" s="12" t="n">
        <v>83.5</v>
      </c>
      <c r="T49" s="13" t="n">
        <v>108.9</v>
      </c>
      <c r="U49" s="79" t="n">
        <v>83.2</v>
      </c>
      <c r="V49" s="79" t="n">
        <v>84.90000000000001</v>
      </c>
      <c r="W49" s="10" t="n">
        <v>300</v>
      </c>
      <c r="X49" s="11" t="n">
        <v>82.90000000000001</v>
      </c>
      <c r="Y49" s="12" t="n">
        <v>82.8</v>
      </c>
      <c r="Z49" s="13" t="n">
        <v>109.5</v>
      </c>
      <c r="AA49" s="10" t="n">
        <v>300</v>
      </c>
      <c r="AB49" s="11" t="n">
        <v>80.5</v>
      </c>
      <c r="AC49" s="12" t="n">
        <v>80.8</v>
      </c>
      <c r="AD49" s="13" t="n">
        <v>109.3</v>
      </c>
      <c r="AE49" s="14" t="n">
        <v>300</v>
      </c>
      <c r="AF49" s="11" t="n">
        <v>80.7</v>
      </c>
      <c r="AG49" s="12" t="n">
        <v>81.7</v>
      </c>
      <c r="AH49" s="13" t="n">
        <v>105.4</v>
      </c>
      <c r="AI49" s="10" t="n">
        <v>300</v>
      </c>
      <c r="AJ49" s="11" t="n">
        <v>84.59999999999999</v>
      </c>
      <c r="AK49" s="12" t="n">
        <v>85</v>
      </c>
      <c r="AL49" s="13" t="n">
        <v>117.1</v>
      </c>
      <c r="AM49" s="10" t="n">
        <v>300</v>
      </c>
      <c r="AN49" s="11" t="n">
        <v>78.3</v>
      </c>
      <c r="AO49" s="12" t="n">
        <v>79.59999999999999</v>
      </c>
      <c r="AP49" s="13" t="n">
        <v>103</v>
      </c>
      <c r="AQ49" s="6">
        <f>IF(AND((O49)&lt;85,N49&lt;137),"NO","SI")</f>
        <v/>
      </c>
      <c r="AR49" s="7">
        <f>IF((480*(10^(7.95-(O49/10))))&lt;480,480*(10^(7.95-(O49/10))),480)</f>
        <v/>
      </c>
      <c r="AS49" s="8">
        <f>IF((480*(10^(8.45-(O49/10))))&lt;480,480*(10^(8.45-(O49/10))),480)</f>
        <v/>
      </c>
      <c r="AT49" s="9">
        <f>IF((480*(10^(8.65-(O49/10))))&lt;480,480*(10^(8.65-(O49/10))),480)</f>
        <v/>
      </c>
      <c r="AU49" s="111">
        <f>IF(O49&lt;80,"0",IF((P49-O49)&lt;=2,('DPI art.191'!$G$3-(('DPI art.191'!$F$3-'DPI art.191'!$G$3)/4)*(P49-O49-2)),('DPI art.191'!$G$3-(('DPI art.191'!$G$3-'DPI art.191'!$H$3)/8)*(P49-O49-2))))</f>
        <v/>
      </c>
      <c r="AV49" s="24">
        <f>O49-AU49</f>
        <v/>
      </c>
      <c r="AW49" s="24">
        <f>IF(N49&lt;135,N49,N49-'DPI art.191'!$I$3)</f>
        <v/>
      </c>
      <c r="AX49" s="111">
        <f>IF(O49&lt;80,"0",IF((P49-O49)&lt;=2,('DPI art.191'!$G$5-(('DPI art.191'!$F$5-'DPI art.191'!$G$5)/4)*(P49-O49-2)),('DPI art.191'!$G$5-(('DPI art.191'!$G$5-'DPI art.191'!$H$5)/8)*(P49-O49-2))))</f>
        <v/>
      </c>
      <c r="AY49" s="24">
        <f>O49-AX49</f>
        <v/>
      </c>
      <c r="AZ49" s="24">
        <f>IF(N49&lt;135,N49,N49-'DPI art.191'!$I$5)</f>
        <v/>
      </c>
      <c r="BA49" s="111">
        <f>IF(O49&lt;80,"0",IF((P49-O49)&lt;=2,('DPI art.191'!$G$7-(('DPI art.191'!$F$7-'DPI art.191'!$G$7)/4)*(P49-O49-2)),('DPI art.191'!$G$7-(('DPI art.191'!$G$7-'DPI art.191'!$H$7)/8)*(P49-O49-2))))</f>
        <v/>
      </c>
      <c r="BB49" s="24">
        <f>O49-BA49</f>
        <v/>
      </c>
      <c r="BC49" s="24">
        <f>IF(N49&lt;135,N49,N49-'DPI art.191'!$I$7)</f>
        <v/>
      </c>
      <c r="BD49" s="111">
        <f>IF(O49&lt;80,"0",IF((P49-O49)&lt;=2,('DPI art.191'!$G$9-(('DPI art.191'!$F$9-'DPI art.191'!$G$9)/4)*(O49-P49-2)),('DPI art.191'!$G$9-(('DPI art.191'!$G$9-'DPI art.191'!$H$9)/8)*(P49-O49-2))))</f>
        <v/>
      </c>
      <c r="BE49" s="24">
        <f>O49-BD49</f>
        <v/>
      </c>
      <c r="BF49" s="24">
        <f>IF(N49&lt;135,N49,N49-'DPI art.191'!$I$9)</f>
        <v/>
      </c>
      <c r="BG49" s="111">
        <f>IF(O49&lt;80,"0",IF((P49-O49)&lt;=2,('DPI art.191'!$G$11-(('DPI art.191'!$F$11-'DPI art.191'!$G$11)/4)*(P49-O49-2)),('DPI art.191'!$G$11-(('DPI art.191'!$G$11-'DPI art.191'!$H$11)/8)*(P49-O49-2))))</f>
        <v/>
      </c>
      <c r="BH49" s="24">
        <f>O49-BG49</f>
        <v/>
      </c>
      <c r="BI49" s="24">
        <f>IF(T49&lt;135,T49,T49-'DPI art.191'!$I$11)</f>
        <v/>
      </c>
      <c r="BJ49" s="111">
        <f>IF(O49&lt;80,"0",IF((P49-O49)&lt;=2,('DPI art.191'!$G$13-(('DPI art.191'!$F$13-'DPI art.191'!$G$13)/4)*(P49-O49-2)),('DPI art.191'!$G$13-(('DPI art.191'!$G$13-'DPI art.191'!$H$13)/8)*(P49-O49-2))))</f>
        <v/>
      </c>
      <c r="BK49" s="24">
        <f>O49-BJ49</f>
        <v/>
      </c>
      <c r="BL49" s="24">
        <f>IF(T49&lt;135,T49,T49-'DPI art.191'!$I$13)</f>
        <v/>
      </c>
      <c r="BM49" s="111">
        <f>IF(O49&lt;80,"0",IF((P49-O49)&lt;=2,('DPI art.191'!$G$15-(('DPI art.191'!$F$15-'DPI art.191'!$G$15)/4)*(P49-O49-2)),('DPI art.191'!$G$15-(('DPI art.191'!$G$15-'DPI art.191'!$H$15)/8)*(P49-O49-2))))</f>
        <v/>
      </c>
      <c r="BN49" s="24">
        <f>O49-BM49</f>
        <v/>
      </c>
      <c r="BO49" s="24">
        <f>IF(Z49&lt;135,Z49,Z49-'DPI art.191'!$I$15)</f>
        <v/>
      </c>
      <c r="BP49" s="108">
        <f>10^(0.1*R49)</f>
        <v/>
      </c>
      <c r="BQ49" s="108">
        <f>10^(0.1*X49)</f>
        <v/>
      </c>
      <c r="BR49" s="108">
        <f>10^(0.1*AB49)</f>
        <v/>
      </c>
      <c r="BS49" s="108">
        <f>10^(0.1*AF49)</f>
        <v/>
      </c>
      <c r="BT49" s="108">
        <f>10^(0.1*AJ49)</f>
        <v/>
      </c>
      <c r="BU49" s="108">
        <f>10^(0.1*AN49)</f>
        <v/>
      </c>
      <c r="BV49" s="106">
        <f>IF(R49&gt;0,(O49-R49),"")</f>
        <v/>
      </c>
      <c r="BW49" s="106">
        <f>IF(X49&gt;0,(O49-X49),"")</f>
        <v/>
      </c>
      <c r="BX49" s="106">
        <f>IF(AB49&gt;0,(O49-AB49),"")</f>
        <v/>
      </c>
      <c r="BY49" s="106">
        <f>IF(AF49&gt;0,(O49-AF49),"")</f>
        <v/>
      </c>
      <c r="BZ49" s="106">
        <f>IF(AJ49&gt;0,(O49-AJ49),"")</f>
        <v/>
      </c>
      <c r="CA49" s="106">
        <f>IF(AN49&gt;0,(O49-AN49),"")</f>
        <v/>
      </c>
      <c r="CB49" s="106">
        <f>COUNT(BV49:CA49)</f>
        <v/>
      </c>
      <c r="CC49" s="464">
        <f>IF(CB49=0,0,IF(CB49=1,0,1/(CB49*(CB49-1))))</f>
        <v/>
      </c>
      <c r="CD49" s="136">
        <f>IF(R49&gt;0,(BV49^2),"")</f>
        <v/>
      </c>
      <c r="CE49" s="136">
        <f>IF(X49&gt;0,(BW49^2),"")</f>
        <v/>
      </c>
      <c r="CF49" s="136">
        <f>IF(AB49&gt;0,(BX49^2),"")</f>
        <v/>
      </c>
      <c r="CG49" s="136">
        <f>IF(AF49&gt;0,(BY49^2),"")</f>
        <v/>
      </c>
      <c r="CH49" s="136">
        <f>IF(AJ49&gt;0,(BZ49^2),"")</f>
        <v/>
      </c>
      <c r="CI49" s="136">
        <f>IF(AN49&gt;0,(CA49^2),"")</f>
        <v/>
      </c>
    </row>
    <row r="50" ht="18.75" customHeight="1" s="444">
      <c r="A50" s="340" t="inlineStr">
        <is>
          <t>Gualdo 1</t>
        </is>
      </c>
      <c r="B50" s="65" t="inlineStr">
        <is>
          <t>E6</t>
        </is>
      </c>
      <c r="C50" s="78" t="inlineStr">
        <is>
          <t xml:space="preserve">Montaggio e controllo qualità </t>
        </is>
      </c>
      <c r="D50" s="83" t="inlineStr">
        <is>
          <t>/</t>
        </is>
      </c>
      <c r="E50" s="83" t="inlineStr">
        <is>
          <t>/</t>
        </is>
      </c>
      <c r="F50" s="192" t="inlineStr">
        <is>
          <t xml:space="preserve">Montaggio e controllo qualità </t>
        </is>
      </c>
      <c r="G50" s="71" t="n">
        <v>45996</v>
      </c>
      <c r="H50" s="77" t="inlineStr">
        <is>
          <t>Compito</t>
        </is>
      </c>
      <c r="I50" s="77">
        <f>IF((V50-R50)&gt;3,"SI","")</f>
        <v/>
      </c>
      <c r="J50" s="77" t="inlineStr">
        <is>
          <t>SI</t>
        </is>
      </c>
      <c r="K50" s="77" t="n"/>
      <c r="L50" s="77" t="n"/>
      <c r="M50" s="137">
        <f>IF(R50&gt;0,(SQRT(CC50*(SUM(CD50:CI50)))),"")</f>
        <v/>
      </c>
      <c r="N50" s="4">
        <f>IF(T50&gt;0,(MAX(T50,Z50,AD50,AH50,AL50,AP50))+SQRT(1.2^2+1^2),"")</f>
        <v/>
      </c>
      <c r="O50" s="3">
        <f>IF(R50="",0,10*LOG10(SUM(BP50:BU50)/(COUNT(R50,X50,AB50,AF50,AJ50,AN50))))</f>
        <v/>
      </c>
      <c r="P50" s="5">
        <f>IF(AND(Y50="",AC50="",AG50="",AK50="",AO50=""),S50,AVERAGE(S50,Y50,AC50,AG50,AK50,AO50)+STDEV(S50,Y50,AC50,AG50,AK50,AO50))</f>
        <v/>
      </c>
      <c r="Q50" s="14" t="n">
        <v>300</v>
      </c>
      <c r="R50" s="11" t="n">
        <v>88.8</v>
      </c>
      <c r="S50" s="12" t="n">
        <v>87.90000000000001</v>
      </c>
      <c r="T50" s="13" t="n">
        <v>106.9</v>
      </c>
      <c r="U50" s="79" t="n">
        <v>88.8</v>
      </c>
      <c r="V50" s="79" t="n">
        <v>90.40000000000001</v>
      </c>
      <c r="W50" s="10" t="n">
        <v>300</v>
      </c>
      <c r="X50" s="11" t="n">
        <v>91.09999999999999</v>
      </c>
      <c r="Y50" s="12" t="n">
        <v>89.90000000000001</v>
      </c>
      <c r="Z50" s="13" t="n">
        <v>110.3</v>
      </c>
      <c r="AA50" s="10" t="n">
        <v>300</v>
      </c>
      <c r="AB50" s="11" t="n">
        <v>87.2</v>
      </c>
      <c r="AC50" s="12" t="n">
        <v>86.59999999999999</v>
      </c>
      <c r="AD50" s="13" t="n">
        <v>106.4</v>
      </c>
      <c r="AE50" s="14" t="n">
        <v>300</v>
      </c>
      <c r="AF50" s="11" t="n">
        <v>89.5</v>
      </c>
      <c r="AG50" s="12" t="n">
        <v>88.5</v>
      </c>
      <c r="AH50" s="13" t="n">
        <v>106.3</v>
      </c>
      <c r="AI50" s="10" t="n">
        <v>300</v>
      </c>
      <c r="AJ50" s="11" t="n">
        <v>88.90000000000001</v>
      </c>
      <c r="AK50" s="12" t="n">
        <v>88</v>
      </c>
      <c r="AL50" s="13" t="n">
        <v>106.8</v>
      </c>
      <c r="AM50" s="10" t="n">
        <v>300</v>
      </c>
      <c r="AN50" s="11" t="n">
        <v>86.59999999999999</v>
      </c>
      <c r="AO50" s="12" t="n">
        <v>85.90000000000001</v>
      </c>
      <c r="AP50" s="13" t="n">
        <v>105.5</v>
      </c>
      <c r="AQ50" s="6">
        <f>IF(AND((O50)&lt;85,N50&lt;137),"NO","SI")</f>
        <v/>
      </c>
      <c r="AR50" s="7">
        <f>IF((480*(10^(7.95-(O50/10))))&lt;480,480*(10^(7.95-(O50/10))),480)</f>
        <v/>
      </c>
      <c r="AS50" s="8">
        <f>IF((480*(10^(8.45-(O50/10))))&lt;480,480*(10^(8.45-(O50/10))),480)</f>
        <v/>
      </c>
      <c r="AT50" s="9">
        <f>IF((480*(10^(8.65-(O50/10))))&lt;480,480*(10^(8.65-(O50/10))),480)</f>
        <v/>
      </c>
      <c r="AU50" s="111">
        <f>IF(O50&lt;80,"0",IF((P50-O50)&lt;=2,('DPI art.191'!$G$3-(('DPI art.191'!$F$3-'DPI art.191'!$G$3)/4)*(P50-O50-2)),('DPI art.191'!$G$3-(('DPI art.191'!$G$3-'DPI art.191'!$H$3)/8)*(P50-O50-2))))</f>
        <v/>
      </c>
      <c r="AV50" s="24">
        <f>O50-AU50</f>
        <v/>
      </c>
      <c r="AW50" s="24">
        <f>IF(N50&lt;135,N50,N50-'DPI art.191'!$I$3)</f>
        <v/>
      </c>
      <c r="AX50" s="111">
        <f>IF(O50&lt;80,"0",IF((P50-O50)&lt;=2,('DPI art.191'!$G$5-(('DPI art.191'!$F$5-'DPI art.191'!$G$5)/4)*(P50-O50-2)),('DPI art.191'!$G$5-(('DPI art.191'!$G$5-'DPI art.191'!$H$5)/8)*(P50-O50-2))))</f>
        <v/>
      </c>
      <c r="AY50" s="24">
        <f>O50-AX50</f>
        <v/>
      </c>
      <c r="AZ50" s="24">
        <f>IF(N50&lt;135,N50,N50-'DPI art.191'!$I$5)</f>
        <v/>
      </c>
      <c r="BA50" s="111">
        <f>IF(O50&lt;80,"0",IF((P50-O50)&lt;=2,('DPI art.191'!$G$7-(('DPI art.191'!$F$7-'DPI art.191'!$G$7)/4)*(P50-O50-2)),('DPI art.191'!$G$7-(('DPI art.191'!$G$7-'DPI art.191'!$H$7)/8)*(P50-O50-2))))</f>
        <v/>
      </c>
      <c r="BB50" s="24">
        <f>O50-BA50</f>
        <v/>
      </c>
      <c r="BC50" s="24">
        <f>IF(N50&lt;135,N50,N50-'DPI art.191'!$I$7)</f>
        <v/>
      </c>
      <c r="BD50" s="111">
        <f>IF(O50&lt;80,"0",IF((P50-O50)&lt;=2,('DPI art.191'!$G$9-(('DPI art.191'!$F$9-'DPI art.191'!$G$9)/4)*(O50-P50-2)),('DPI art.191'!$G$9-(('DPI art.191'!$G$9-'DPI art.191'!$H$9)/8)*(P50-O50-2))))</f>
        <v/>
      </c>
      <c r="BE50" s="24">
        <f>O50-BD50</f>
        <v/>
      </c>
      <c r="BF50" s="24">
        <f>IF(N50&lt;135,N50,N50-'DPI art.191'!$I$9)</f>
        <v/>
      </c>
      <c r="BG50" s="111">
        <f>IF(O50&lt;80,"0",IF((P50-O50)&lt;=2,('DPI art.191'!$G$11-(('DPI art.191'!$F$11-'DPI art.191'!$G$11)/4)*(P50-O50-2)),('DPI art.191'!$G$11-(('DPI art.191'!$G$11-'DPI art.191'!$H$11)/8)*(P50-O50-2))))</f>
        <v/>
      </c>
      <c r="BH50" s="24">
        <f>O50-BG50</f>
        <v/>
      </c>
      <c r="BI50" s="24">
        <f>IF(T50&lt;135,T50,T50-'DPI art.191'!$I$11)</f>
        <v/>
      </c>
      <c r="BJ50" s="111">
        <f>IF(O50&lt;80,"0",IF((P50-O50)&lt;=2,('DPI art.191'!$G$13-(('DPI art.191'!$F$13-'DPI art.191'!$G$13)/4)*(P50-O50-2)),('DPI art.191'!$G$13-(('DPI art.191'!$G$13-'DPI art.191'!$H$13)/8)*(P50-O50-2))))</f>
        <v/>
      </c>
      <c r="BK50" s="24">
        <f>O50-BJ50</f>
        <v/>
      </c>
      <c r="BL50" s="24">
        <f>IF(T50&lt;135,T50,T50-'DPI art.191'!$I$13)</f>
        <v/>
      </c>
      <c r="BM50" s="111">
        <f>IF(O50&lt;80,"0",IF((P50-O50)&lt;=2,('DPI art.191'!$G$15-(('DPI art.191'!$F$15-'DPI art.191'!$G$15)/4)*(P50-O50-2)),('DPI art.191'!$G$15-(('DPI art.191'!$G$15-'DPI art.191'!$H$15)/8)*(P50-O50-2))))</f>
        <v/>
      </c>
      <c r="BN50" s="24">
        <f>O50-BM50</f>
        <v/>
      </c>
      <c r="BO50" s="24">
        <f>IF(Z50&lt;135,Z50,Z50-'DPI art.191'!$I$15)</f>
        <v/>
      </c>
      <c r="BP50" s="108">
        <f>10^(0.1*R50)</f>
        <v/>
      </c>
      <c r="BQ50" s="108">
        <f>10^(0.1*X50)</f>
        <v/>
      </c>
      <c r="BR50" s="108">
        <f>10^(0.1*AB50)</f>
        <v/>
      </c>
      <c r="BS50" s="108">
        <f>10^(0.1*AF50)</f>
        <v/>
      </c>
      <c r="BT50" s="108">
        <f>10^(0.1*AJ50)</f>
        <v/>
      </c>
      <c r="BU50" s="108">
        <f>10^(0.1*AN50)</f>
        <v/>
      </c>
      <c r="BV50" s="106">
        <f>IF(R50&gt;0,(O50-R50),"")</f>
        <v/>
      </c>
      <c r="BW50" s="106">
        <f>IF(X50&gt;0,(O50-X50),"")</f>
        <v/>
      </c>
      <c r="BX50" s="106">
        <f>IF(AB50&gt;0,(O50-AB50),"")</f>
        <v/>
      </c>
      <c r="BY50" s="106">
        <f>IF(AF50&gt;0,(O50-AF50),"")</f>
        <v/>
      </c>
      <c r="BZ50" s="106">
        <f>IF(AJ50&gt;0,(O50-AJ50),"")</f>
        <v/>
      </c>
      <c r="CA50" s="106">
        <f>IF(AN50&gt;0,(O50-AN50),"")</f>
        <v/>
      </c>
      <c r="CB50" s="106">
        <f>COUNT(BV50:CA50)</f>
        <v/>
      </c>
      <c r="CC50" s="464">
        <f>IF(CB50=0,0,IF(CB50=1,0,1/(CB50*(CB50-1))))</f>
        <v/>
      </c>
      <c r="CD50" s="136">
        <f>IF(R50&gt;0,(BV50^2),"")</f>
        <v/>
      </c>
      <c r="CE50" s="136">
        <f>IF(X50&gt;0,(BW50^2),"")</f>
        <v/>
      </c>
      <c r="CF50" s="136">
        <f>IF(AB50&gt;0,(BX50^2),"")</f>
        <v/>
      </c>
      <c r="CG50" s="136">
        <f>IF(AF50&gt;0,(BY50^2),"")</f>
        <v/>
      </c>
      <c r="CH50" s="136">
        <f>IF(AJ50&gt;0,(BZ50^2),"")</f>
        <v/>
      </c>
      <c r="CI50" s="136">
        <f>IF(AN50&gt;0,(CA50^2),"")</f>
        <v/>
      </c>
    </row>
    <row r="51" ht="18.75" customHeight="1" s="444">
      <c r="A51" s="340" t="inlineStr">
        <is>
          <t>252/04</t>
        </is>
      </c>
      <c r="B51" s="65" t="inlineStr">
        <is>
          <t>E7</t>
        </is>
      </c>
      <c r="C51" s="78" t="inlineStr">
        <is>
          <t>Calandratura</t>
        </is>
      </c>
      <c r="D51" s="83" t="inlineStr">
        <is>
          <t>/</t>
        </is>
      </c>
      <c r="E51" s="83" t="inlineStr">
        <is>
          <t>/</t>
        </is>
      </c>
      <c r="F51" s="192" t="inlineStr">
        <is>
          <t>Calandratura</t>
        </is>
      </c>
      <c r="G51" s="71" t="n">
        <v>45996</v>
      </c>
      <c r="H51" s="77" t="inlineStr">
        <is>
          <t>Compito</t>
        </is>
      </c>
      <c r="I51" s="77">
        <f>IF((V51-R51)&gt;3,"SI","")</f>
        <v/>
      </c>
      <c r="J51" s="77" t="inlineStr">
        <is>
          <t>SI</t>
        </is>
      </c>
      <c r="K51" s="77" t="n"/>
      <c r="L51" s="77" t="n"/>
      <c r="M51" s="137">
        <f>IF(R51&gt;0,(SQRT(CC51*(SUM(CD51:CI51)))),"")</f>
        <v/>
      </c>
      <c r="N51" s="4">
        <f>IF(T51&gt;0,(MAX(T51,Z51,AD51,AH51,AL51,AP51))+SQRT(1.2^2+1^2),"")</f>
        <v/>
      </c>
      <c r="O51" s="3">
        <f>IF(R51="",0,10*LOG10(SUM(BP51:BU51)/(COUNT(R51,X51,AB51,AF51,AJ51,AN51))))</f>
        <v/>
      </c>
      <c r="P51" s="5">
        <f>IF(AND(Y51="",AC51="",AG51="",AK51="",AO51=""),S51,AVERAGE(S51,Y51,AC51,AG51,AK51,AO51)+STDEV(S51,Y51,AC51,AG51,AK51,AO51))</f>
        <v/>
      </c>
      <c r="Q51" s="14" t="n">
        <v>300</v>
      </c>
      <c r="R51" s="11" t="n">
        <v>85.5</v>
      </c>
      <c r="S51" s="12" t="n">
        <v>85.3</v>
      </c>
      <c r="T51" s="13" t="n">
        <v>101.9</v>
      </c>
      <c r="U51" s="79" t="n">
        <v>85.59999999999999</v>
      </c>
      <c r="V51" s="79" t="n">
        <v>87</v>
      </c>
      <c r="W51" s="10" t="n">
        <v>300</v>
      </c>
      <c r="X51" s="11" t="n">
        <v>80.90000000000001</v>
      </c>
      <c r="Y51" s="12" t="n">
        <v>81.8</v>
      </c>
      <c r="Z51" s="13" t="n">
        <v>99.5</v>
      </c>
      <c r="AA51" s="10" t="n">
        <v>300</v>
      </c>
      <c r="AB51" s="11" t="n">
        <v>85.2</v>
      </c>
      <c r="AC51" s="12" t="n">
        <v>85.09999999999999</v>
      </c>
      <c r="AD51" s="13" t="n">
        <v>105.3</v>
      </c>
      <c r="AE51" s="14" t="n">
        <v>300</v>
      </c>
      <c r="AF51" s="11" t="n">
        <v>85.7</v>
      </c>
      <c r="AG51" s="12" t="n">
        <v>85.2</v>
      </c>
      <c r="AH51" s="13" t="n">
        <v>102.5</v>
      </c>
      <c r="AI51" s="10" t="n">
        <v>300</v>
      </c>
      <c r="AJ51" s="11" t="n">
        <v>84.90000000000001</v>
      </c>
      <c r="AK51" s="12" t="n">
        <v>84.59999999999999</v>
      </c>
      <c r="AL51" s="13" t="n">
        <v>99.5</v>
      </c>
      <c r="AM51" s="10" t="n">
        <v>300</v>
      </c>
      <c r="AN51" s="11" t="n">
        <v>83.09999999999999</v>
      </c>
      <c r="AO51" s="12" t="n">
        <v>83.59999999999999</v>
      </c>
      <c r="AP51" s="13" t="n">
        <v>107.8</v>
      </c>
      <c r="AQ51" s="6">
        <f>IF(AND((O51)&lt;85,N51&lt;137),"NO","SI")</f>
        <v/>
      </c>
      <c r="AR51" s="7">
        <f>IF((480*(10^(7.95-(O51/10))))&lt;480,480*(10^(7.95-(O51/10))),480)</f>
        <v/>
      </c>
      <c r="AS51" s="8">
        <f>IF((480*(10^(8.45-(O51/10))))&lt;480,480*(10^(8.45-(O51/10))),480)</f>
        <v/>
      </c>
      <c r="AT51" s="9">
        <f>IF((480*(10^(8.65-(O51/10))))&lt;480,480*(10^(8.65-(O51/10))),480)</f>
        <v/>
      </c>
      <c r="AU51" s="111">
        <f>IF(O51&lt;80,"0",IF((P51-O51)&lt;=2,('DPI art.191'!$G$3-(('DPI art.191'!$F$3-'DPI art.191'!$G$3)/4)*(P51-O51-2)),('DPI art.191'!$G$3-(('DPI art.191'!$G$3-'DPI art.191'!$H$3)/8)*(P51-O51-2))))</f>
        <v/>
      </c>
      <c r="AV51" s="24">
        <f>O51-AU51</f>
        <v/>
      </c>
      <c r="AW51" s="24">
        <f>IF(N51&lt;135,N51,N51-'DPI art.191'!$I$3)</f>
        <v/>
      </c>
      <c r="AX51" s="111">
        <f>IF(O51&lt;80,"0",IF((P51-O51)&lt;=2,('DPI art.191'!$G$5-(('DPI art.191'!$F$5-'DPI art.191'!$G$5)/4)*(P51-O51-2)),('DPI art.191'!$G$5-(('DPI art.191'!$G$5-'DPI art.191'!$H$5)/8)*(P51-O51-2))))</f>
        <v/>
      </c>
      <c r="AY51" s="24">
        <f>O51-AX51</f>
        <v/>
      </c>
      <c r="AZ51" s="24">
        <f>IF(N51&lt;135,N51,N51-'DPI art.191'!$I$5)</f>
        <v/>
      </c>
      <c r="BA51" s="111">
        <f>IF(O51&lt;80,"0",IF((P51-O51)&lt;=2,('DPI art.191'!$G$7-(('DPI art.191'!$F$7-'DPI art.191'!$G$7)/4)*(P51-O51-2)),('DPI art.191'!$G$7-(('DPI art.191'!$G$7-'DPI art.191'!$H$7)/8)*(P51-O51-2))))</f>
        <v/>
      </c>
      <c r="BB51" s="24">
        <f>O51-BA51</f>
        <v/>
      </c>
      <c r="BC51" s="24">
        <f>IF(N51&lt;135,N51,N51-'DPI art.191'!$I$7)</f>
        <v/>
      </c>
      <c r="BD51" s="111">
        <f>IF(O51&lt;80,"0",IF((P51-O51)&lt;=2,('DPI art.191'!$G$9-(('DPI art.191'!$F$9-'DPI art.191'!$G$9)/4)*(O51-P51-2)),('DPI art.191'!$G$9-(('DPI art.191'!$G$9-'DPI art.191'!$H$9)/8)*(P51-O51-2))))</f>
        <v/>
      </c>
      <c r="BE51" s="24">
        <f>O51-BD51</f>
        <v/>
      </c>
      <c r="BF51" s="24">
        <f>IF(N51&lt;135,N51,N51-'DPI art.191'!$I$9)</f>
        <v/>
      </c>
      <c r="BG51" s="111">
        <f>IF(O51&lt;80,"0",IF((P51-O51)&lt;=2,('DPI art.191'!$G$11-(('DPI art.191'!$F$11-'DPI art.191'!$G$11)/4)*(P51-O51-2)),('DPI art.191'!$G$11-(('DPI art.191'!$G$11-'DPI art.191'!$H$11)/8)*(P51-O51-2))))</f>
        <v/>
      </c>
      <c r="BH51" s="24">
        <f>O51-BG51</f>
        <v/>
      </c>
      <c r="BI51" s="24">
        <f>IF(T51&lt;135,T51,T51-'DPI art.191'!$I$11)</f>
        <v/>
      </c>
      <c r="BJ51" s="111">
        <f>IF(O51&lt;80,"0",IF((P51-O51)&lt;=2,('DPI art.191'!$G$13-(('DPI art.191'!$F$13-'DPI art.191'!$G$13)/4)*(P51-O51-2)),('DPI art.191'!$G$13-(('DPI art.191'!$G$13-'DPI art.191'!$H$13)/8)*(P51-O51-2))))</f>
        <v/>
      </c>
      <c r="BK51" s="24">
        <f>O51-BJ51</f>
        <v/>
      </c>
      <c r="BL51" s="24">
        <f>IF(T51&lt;135,T51,T51-'DPI art.191'!$I$13)</f>
        <v/>
      </c>
      <c r="BM51" s="111">
        <f>IF(O51&lt;80,"0",IF((P51-O51)&lt;=2,('DPI art.191'!$G$15-(('DPI art.191'!$F$15-'DPI art.191'!$G$15)/4)*(P51-O51-2)),('DPI art.191'!$G$15-(('DPI art.191'!$G$15-'DPI art.191'!$H$15)/8)*(P51-O51-2))))</f>
        <v/>
      </c>
      <c r="BN51" s="24">
        <f>O51-BM51</f>
        <v/>
      </c>
      <c r="BO51" s="24">
        <f>IF(Z51&lt;135,Z51,Z51-'DPI art.191'!$I$15)</f>
        <v/>
      </c>
      <c r="BP51" s="108">
        <f>10^(0.1*R51)</f>
        <v/>
      </c>
      <c r="BQ51" s="108">
        <f>10^(0.1*X51)</f>
        <v/>
      </c>
      <c r="BR51" s="108">
        <f>10^(0.1*AB51)</f>
        <v/>
      </c>
      <c r="BS51" s="108">
        <f>10^(0.1*AF51)</f>
        <v/>
      </c>
      <c r="BT51" s="108">
        <f>10^(0.1*AJ51)</f>
        <v/>
      </c>
      <c r="BU51" s="108">
        <f>10^(0.1*AN51)</f>
        <v/>
      </c>
      <c r="BV51" s="106">
        <f>IF(R51&gt;0,(O51-R51),"")</f>
        <v/>
      </c>
      <c r="BW51" s="106">
        <f>IF(X51&gt;0,(O51-X51),"")</f>
        <v/>
      </c>
      <c r="BX51" s="106">
        <f>IF(AB51&gt;0,(O51-AB51),"")</f>
        <v/>
      </c>
      <c r="BY51" s="106">
        <f>IF(AF51&gt;0,(O51-AF51),"")</f>
        <v/>
      </c>
      <c r="BZ51" s="106">
        <f>IF(AJ51&gt;0,(O51-AJ51),"")</f>
        <v/>
      </c>
      <c r="CA51" s="106">
        <f>IF(AN51&gt;0,(O51-AN51),"")</f>
        <v/>
      </c>
      <c r="CB51" s="106">
        <f>COUNT(BV51:CA51)</f>
        <v/>
      </c>
      <c r="CC51" s="464">
        <f>IF(CB51=0,0,IF(CB51=1,0,1/(CB51*(CB51-1))))</f>
        <v/>
      </c>
      <c r="CD51" s="136">
        <f>IF(R51&gt;0,(BV51^2),"")</f>
        <v/>
      </c>
      <c r="CE51" s="136">
        <f>IF(X51&gt;0,(BW51^2),"")</f>
        <v/>
      </c>
      <c r="CF51" s="136">
        <f>IF(AB51&gt;0,(BX51^2),"")</f>
        <v/>
      </c>
      <c r="CG51" s="136">
        <f>IF(AF51&gt;0,(BY51^2),"")</f>
        <v/>
      </c>
      <c r="CH51" s="136">
        <f>IF(AJ51&gt;0,(BZ51^2),"")</f>
        <v/>
      </c>
      <c r="CI51" s="136">
        <f>IF(AN51&gt;0,(CA51^2),"")</f>
        <v/>
      </c>
    </row>
    <row r="52" ht="18.75" customHeight="1" s="444">
      <c r="A52" s="340" t="inlineStr">
        <is>
          <t>Gualdo 1</t>
        </is>
      </c>
      <c r="B52" s="65" t="inlineStr">
        <is>
          <t>E8</t>
        </is>
      </c>
      <c r="C52" s="78" t="inlineStr">
        <is>
          <t>Movimentazioni esterne</t>
        </is>
      </c>
      <c r="D52" s="83" t="inlineStr">
        <is>
          <t>/</t>
        </is>
      </c>
      <c r="E52" s="83" t="inlineStr">
        <is>
          <t>/</t>
        </is>
      </c>
      <c r="F52" s="78" t="inlineStr">
        <is>
          <t>Movimentazioni esterne</t>
        </is>
      </c>
      <c r="G52" s="71" t="n">
        <v>45996</v>
      </c>
      <c r="H52" s="77" t="inlineStr">
        <is>
          <t>Compito</t>
        </is>
      </c>
      <c r="I52" s="77">
        <f>IF((V52-R52)&gt;3,"SI","")</f>
        <v/>
      </c>
      <c r="J52" s="77" t="inlineStr">
        <is>
          <t>SI</t>
        </is>
      </c>
      <c r="K52" s="77" t="n"/>
      <c r="L52" s="77" t="n"/>
      <c r="M52" s="137">
        <f>IF(R52&gt;0,(SQRT(CC52*(SUM(CD52:CI52)))),"")</f>
        <v/>
      </c>
      <c r="N52" s="4">
        <f>IF(T52&gt;0,(MAX(T52,Z52,AD52,AH52,AL52,AP52))+SQRT(1.2^2+1^2),"")</f>
        <v/>
      </c>
      <c r="O52" s="3">
        <f>IF(R52="",0,10*LOG10(SUM(BP52:BU52)/(COUNT(R52,X52,AB52,AF52,AJ52,AN52))))</f>
        <v/>
      </c>
      <c r="P52" s="5">
        <f>IF(AND(Y52="",AC52="",AG52="",AK52="",AO52=""),S52,AVERAGE(S52,Y52,AC52,AG52,AK52,AO52)+STDEV(S52,Y52,AC52,AG52,AK52,AO52))</f>
        <v/>
      </c>
      <c r="Q52" s="14" t="n">
        <v>300</v>
      </c>
      <c r="R52" s="11" t="n">
        <v>66.59999999999999</v>
      </c>
      <c r="S52" s="12" t="n">
        <v>78.8</v>
      </c>
      <c r="T52" s="13" t="n">
        <v>101.7</v>
      </c>
      <c r="U52" s="79" t="n">
        <v>66.7</v>
      </c>
      <c r="V52" s="79" t="n">
        <v>68.7</v>
      </c>
      <c r="W52" s="10" t="n">
        <v>300</v>
      </c>
      <c r="X52" s="11" t="n">
        <v>62.9</v>
      </c>
      <c r="Y52" s="12" t="n">
        <v>74.09999999999999</v>
      </c>
      <c r="Z52" s="13" t="n">
        <v>95.40000000000001</v>
      </c>
      <c r="AA52" s="10" t="n">
        <v>300</v>
      </c>
      <c r="AB52" s="11" t="n">
        <v>60.5</v>
      </c>
      <c r="AC52" s="12" t="n">
        <v>71.59999999999999</v>
      </c>
      <c r="AD52" s="13" t="n">
        <v>93.8</v>
      </c>
      <c r="AE52" s="14" t="n">
        <v>300</v>
      </c>
      <c r="AF52" s="11" t="n">
        <v>61.8</v>
      </c>
      <c r="AG52" s="12" t="n">
        <v>74.7</v>
      </c>
      <c r="AH52" s="13" t="n">
        <v>96.09999999999999</v>
      </c>
      <c r="AI52" s="10" t="n">
        <v>300</v>
      </c>
      <c r="AJ52" s="11" t="n">
        <v>59.5</v>
      </c>
      <c r="AK52" s="12" t="n">
        <v>73.2</v>
      </c>
      <c r="AL52" s="13" t="n">
        <v>92.8</v>
      </c>
      <c r="AM52" s="10" t="n">
        <v>300</v>
      </c>
      <c r="AN52" s="11" t="n">
        <v>61.3</v>
      </c>
      <c r="AO52" s="12" t="n">
        <v>75.40000000000001</v>
      </c>
      <c r="AP52" s="13" t="n">
        <v>95.90000000000001</v>
      </c>
      <c r="AQ52" s="6">
        <f>IF(AND((O52)&lt;85,N52&lt;137),"NO","SI")</f>
        <v/>
      </c>
      <c r="AR52" s="7">
        <f>IF((480*(10^(7.95-(O52/10))))&lt;480,480*(10^(7.95-(O52/10))),480)</f>
        <v/>
      </c>
      <c r="AS52" s="8">
        <f>IF((480*(10^(8.45-(O52/10))))&lt;480,480*(10^(8.45-(O52/10))),480)</f>
        <v/>
      </c>
      <c r="AT52" s="9">
        <f>IF((480*(10^(8.65-(O52/10))))&lt;480,480*(10^(8.65-(O52/10))),480)</f>
        <v/>
      </c>
      <c r="AU52" s="111">
        <f>IF(O52&lt;80,"0",IF((P52-O52)&lt;=2,('DPI art.191'!$G$3-(('DPI art.191'!$F$3-'DPI art.191'!$G$3)/4)*(P52-O52-2)),('DPI art.191'!$G$3-(('DPI art.191'!$G$3-'DPI art.191'!$H$3)/8)*(P52-O52-2))))</f>
        <v/>
      </c>
      <c r="AV52" s="24">
        <f>O52-AU52</f>
        <v/>
      </c>
      <c r="AW52" s="24">
        <f>IF(N52&lt;135,N52,N52-'DPI art.191'!$I$3)</f>
        <v/>
      </c>
      <c r="AX52" s="111">
        <f>IF(O52&lt;80,"0",IF((P52-O52)&lt;=2,('DPI art.191'!$G$5-(('DPI art.191'!$F$5-'DPI art.191'!$G$5)/4)*(P52-O52-2)),('DPI art.191'!$G$5-(('DPI art.191'!$G$5-'DPI art.191'!$H$5)/8)*(P52-O52-2))))</f>
        <v/>
      </c>
      <c r="AY52" s="24">
        <f>O52-AX52</f>
        <v/>
      </c>
      <c r="AZ52" s="24">
        <f>IF(N52&lt;135,N52,N52-'DPI art.191'!$I$5)</f>
        <v/>
      </c>
      <c r="BA52" s="111">
        <f>IF(O52&lt;80,"0",IF((P52-O52)&lt;=2,('DPI art.191'!$G$7-(('DPI art.191'!$F$7-'DPI art.191'!$G$7)/4)*(P52-O52-2)),('DPI art.191'!$G$7-(('DPI art.191'!$G$7-'DPI art.191'!$H$7)/8)*(P52-O52-2))))</f>
        <v/>
      </c>
      <c r="BB52" s="24">
        <f>O52-BA52</f>
        <v/>
      </c>
      <c r="BC52" s="24">
        <f>IF(N52&lt;135,N52,N52-'DPI art.191'!$I$7)</f>
        <v/>
      </c>
      <c r="BD52" s="111">
        <f>IF(O52&lt;80,"0",IF((P52-O52)&lt;=2,('DPI art.191'!$G$9-(('DPI art.191'!$F$9-'DPI art.191'!$G$9)/4)*(O52-P52-2)),('DPI art.191'!$G$9-(('DPI art.191'!$G$9-'DPI art.191'!$H$9)/8)*(P52-O52-2))))</f>
        <v/>
      </c>
      <c r="BE52" s="24">
        <f>O52-BD52</f>
        <v/>
      </c>
      <c r="BF52" s="24">
        <f>IF(N52&lt;135,N52,N52-'DPI art.191'!$I$9)</f>
        <v/>
      </c>
      <c r="BG52" s="111">
        <f>IF(O52&lt;80,"0",IF((P52-O52)&lt;=2,('DPI art.191'!$G$11-(('DPI art.191'!$F$11-'DPI art.191'!$G$11)/4)*(P52-O52-2)),('DPI art.191'!$G$11-(('DPI art.191'!$G$11-'DPI art.191'!$H$11)/8)*(P52-O52-2))))</f>
        <v/>
      </c>
      <c r="BH52" s="24">
        <f>O52-BG52</f>
        <v/>
      </c>
      <c r="BI52" s="24">
        <f>IF(T52&lt;135,T52,T52-'DPI art.191'!$I$11)</f>
        <v/>
      </c>
      <c r="BJ52" s="111">
        <f>IF(O52&lt;80,"0",IF((P52-O52)&lt;=2,('DPI art.191'!$G$13-(('DPI art.191'!$F$13-'DPI art.191'!$G$13)/4)*(P52-O52-2)),('DPI art.191'!$G$13-(('DPI art.191'!$G$13-'DPI art.191'!$H$13)/8)*(P52-O52-2))))</f>
        <v/>
      </c>
      <c r="BK52" s="24">
        <f>O52-BJ52</f>
        <v/>
      </c>
      <c r="BL52" s="24">
        <f>IF(T52&lt;135,T52,T52-'DPI art.191'!$I$13)</f>
        <v/>
      </c>
      <c r="BM52" s="111">
        <f>IF(O52&lt;80,"0",IF((P52-O52)&lt;=2,('DPI art.191'!$G$15-(('DPI art.191'!$F$15-'DPI art.191'!$G$15)/4)*(P52-O52-2)),('DPI art.191'!$G$15-(('DPI art.191'!$G$15-'DPI art.191'!$H$15)/8)*(P52-O52-2))))</f>
        <v/>
      </c>
      <c r="BN52" s="24">
        <f>O52-BM52</f>
        <v/>
      </c>
      <c r="BO52" s="24">
        <f>IF(Z52&lt;135,Z52,Z52-'DPI art.191'!$I$15)</f>
        <v/>
      </c>
      <c r="BP52" s="108">
        <f>10^(0.1*R52)</f>
        <v/>
      </c>
      <c r="BQ52" s="108">
        <f>10^(0.1*X52)</f>
        <v/>
      </c>
      <c r="BR52" s="108">
        <f>10^(0.1*AB52)</f>
        <v/>
      </c>
      <c r="BS52" s="108">
        <f>10^(0.1*AF52)</f>
        <v/>
      </c>
      <c r="BT52" s="108">
        <f>10^(0.1*AJ52)</f>
        <v/>
      </c>
      <c r="BU52" s="108">
        <f>10^(0.1*AN52)</f>
        <v/>
      </c>
      <c r="BV52" s="106">
        <f>IF(R52&gt;0,(O52-R52),"")</f>
        <v/>
      </c>
      <c r="BW52" s="106">
        <f>IF(X52&gt;0,(O52-X52),"")</f>
        <v/>
      </c>
      <c r="BX52" s="106">
        <f>IF(AB52&gt;0,(O52-AB52),"")</f>
        <v/>
      </c>
      <c r="BY52" s="106">
        <f>IF(AF52&gt;0,(O52-AF52),"")</f>
        <v/>
      </c>
      <c r="BZ52" s="106">
        <f>IF(AJ52&gt;0,(O52-AJ52),"")</f>
        <v/>
      </c>
      <c r="CA52" s="106">
        <f>IF(AN52&gt;0,(O52-AN52),"")</f>
        <v/>
      </c>
      <c r="CB52" s="106">
        <f>COUNT(BV52:CA52)</f>
        <v/>
      </c>
      <c r="CC52" s="464">
        <f>IF(CB52=0,0,IF(CB52=1,0,1/(CB52*(CB52-1))))</f>
        <v/>
      </c>
      <c r="CD52" s="136">
        <f>IF(R52&gt;0,(BV52^2),"")</f>
        <v/>
      </c>
      <c r="CE52" s="136">
        <f>IF(X52&gt;0,(BW52^2),"")</f>
        <v/>
      </c>
      <c r="CF52" s="136">
        <f>IF(AB52&gt;0,(BX52^2),"")</f>
        <v/>
      </c>
      <c r="CG52" s="136">
        <f>IF(AF52&gt;0,(BY52^2),"")</f>
        <v/>
      </c>
      <c r="CH52" s="136">
        <f>IF(AJ52&gt;0,(BZ52^2),"")</f>
        <v/>
      </c>
      <c r="CI52" s="136">
        <f>IF(AN52&gt;0,(CA52^2),"")</f>
        <v/>
      </c>
    </row>
    <row r="53" ht="18.75" customHeight="1" s="444">
      <c r="A53" s="340" t="inlineStr">
        <is>
          <t>Gualdo 1</t>
        </is>
      </c>
      <c r="B53" s="65" t="inlineStr">
        <is>
          <t>E9</t>
        </is>
      </c>
      <c r="C53" s="78" t="inlineStr">
        <is>
          <t>Attività di ufficio</t>
        </is>
      </c>
      <c r="D53" s="83" t="inlineStr">
        <is>
          <t>/</t>
        </is>
      </c>
      <c r="E53" s="83" t="inlineStr">
        <is>
          <t>/</t>
        </is>
      </c>
      <c r="F53" s="192" t="inlineStr">
        <is>
          <t>Attività di ufficio</t>
        </is>
      </c>
      <c r="G53" s="71" t="n">
        <v>45996</v>
      </c>
      <c r="H53" s="77" t="inlineStr">
        <is>
          <t>Compito</t>
        </is>
      </c>
      <c r="I53" s="77">
        <f>IF((V53-R53)&gt;3,"SI","")</f>
        <v/>
      </c>
      <c r="J53" s="77">
        <f>IF((U53-R53)&gt;3,"SI","")</f>
        <v/>
      </c>
      <c r="K53" s="77" t="n"/>
      <c r="L53" s="77" t="n"/>
      <c r="M53" s="137">
        <f>IF(R53&gt;0,(SQRT(CC53*(SUM(CD53:CI53)))),"")</f>
        <v/>
      </c>
      <c r="N53" s="4">
        <f>IF(T53&gt;0,(MAX(T53,Z53,AD53,AH53,AL53,AP53))+SQRT(1.2^2+1^2),"")</f>
        <v/>
      </c>
      <c r="O53" s="3">
        <f>IF(R53="",0,10*LOG10(SUM(BP53:BU53)/(COUNT(R53,X53,AB53,AF53,AJ53,AN53))))</f>
        <v/>
      </c>
      <c r="P53" s="5">
        <f>IF(AND(Y53="",AC53="",AG53="",AK53="",AO53=""),S53,AVERAGE(S53,Y53,AC53,AG53,AK53,AO53)+STDEV(S53,Y53,AC53,AG53,AK53,AO53))</f>
        <v/>
      </c>
      <c r="Q53" s="14" t="n">
        <v>300</v>
      </c>
      <c r="R53" s="11" t="n">
        <v>61.3</v>
      </c>
      <c r="S53" s="12" t="n">
        <v>65.59999999999999</v>
      </c>
      <c r="T53" s="13" t="n">
        <v>95</v>
      </c>
      <c r="U53" s="79" t="n">
        <v>61.4</v>
      </c>
      <c r="V53" s="79" t="n">
        <v>68.3</v>
      </c>
      <c r="W53" s="10" t="n">
        <v>300</v>
      </c>
      <c r="X53" s="11" t="n">
        <v>53</v>
      </c>
      <c r="Y53" s="12" t="n">
        <v>62</v>
      </c>
      <c r="Z53" s="13" t="n">
        <v>90.5</v>
      </c>
      <c r="AA53" s="10" t="n">
        <v>300</v>
      </c>
      <c r="AB53" s="11" t="n">
        <v>46.2</v>
      </c>
      <c r="AC53" s="12" t="n">
        <v>58.2</v>
      </c>
      <c r="AD53" s="13" t="n">
        <v>81.90000000000001</v>
      </c>
      <c r="AE53" s="14" t="n">
        <v>300</v>
      </c>
      <c r="AF53" s="11" t="n">
        <v>50.1</v>
      </c>
      <c r="AG53" s="12" t="n">
        <v>57.5</v>
      </c>
      <c r="AH53" s="13" t="n">
        <v>85.90000000000001</v>
      </c>
      <c r="AI53" s="10" t="n">
        <v>300</v>
      </c>
      <c r="AJ53" s="11" t="n">
        <v>53</v>
      </c>
      <c r="AK53" s="12" t="n">
        <v>59.8</v>
      </c>
      <c r="AL53" s="13" t="n">
        <v>88.40000000000001</v>
      </c>
      <c r="AM53" s="10" t="n">
        <v>300</v>
      </c>
      <c r="AN53" s="11" t="n">
        <v>53.2</v>
      </c>
      <c r="AO53" s="12" t="n">
        <v>63.2</v>
      </c>
      <c r="AP53" s="13" t="n">
        <v>93.5</v>
      </c>
      <c r="AQ53" s="6">
        <f>IF(AND((O53)&lt;85,N53&lt;137),"NO","SI")</f>
        <v/>
      </c>
      <c r="AR53" s="7">
        <f>IF((480*(10^(7.95-(O53/10))))&lt;480,480*(10^(7.95-(O53/10))),480)</f>
        <v/>
      </c>
      <c r="AS53" s="8">
        <f>IF((480*(10^(8.45-(O53/10))))&lt;480,480*(10^(8.45-(O53/10))),480)</f>
        <v/>
      </c>
      <c r="AT53" s="9">
        <f>IF((480*(10^(8.65-(O53/10))))&lt;480,480*(10^(8.65-(O53/10))),480)</f>
        <v/>
      </c>
      <c r="AU53" s="111">
        <f>IF(O53&lt;80,"0",IF((P53-O53)&lt;=2,('DPI art.191'!$G$3-(('DPI art.191'!$F$3-'DPI art.191'!$G$3)/4)*(P53-O53-2)),('DPI art.191'!$G$3-(('DPI art.191'!$G$3-'DPI art.191'!$H$3)/8)*(P53-O53-2))))</f>
        <v/>
      </c>
      <c r="AV53" s="24">
        <f>O53-AU53</f>
        <v/>
      </c>
      <c r="AW53" s="24">
        <f>IF(N53&lt;135,N53,N53-'DPI art.191'!$I$3)</f>
        <v/>
      </c>
      <c r="AX53" s="111">
        <f>IF(O53&lt;80,"0",IF((P53-O53)&lt;=2,('DPI art.191'!$G$5-(('DPI art.191'!$F$5-'DPI art.191'!$G$5)/4)*(P53-O53-2)),('DPI art.191'!$G$5-(('DPI art.191'!$G$5-'DPI art.191'!$H$5)/8)*(P53-O53-2))))</f>
        <v/>
      </c>
      <c r="AY53" s="24">
        <f>O53-AX53</f>
        <v/>
      </c>
      <c r="AZ53" s="24">
        <f>IF(N53&lt;135,N53,N53-'DPI art.191'!$I$5)</f>
        <v/>
      </c>
      <c r="BA53" s="111">
        <f>IF(O53&lt;80,"0",IF((P53-O53)&lt;=2,('DPI art.191'!$G$7-(('DPI art.191'!$F$7-'DPI art.191'!$G$7)/4)*(P53-O53-2)),('DPI art.191'!$G$7-(('DPI art.191'!$G$7-'DPI art.191'!$H$7)/8)*(P53-O53-2))))</f>
        <v/>
      </c>
      <c r="BB53" s="24">
        <f>O53-BA53</f>
        <v/>
      </c>
      <c r="BC53" s="24">
        <f>IF(N53&lt;135,N53,N53-'DPI art.191'!$I$7)</f>
        <v/>
      </c>
      <c r="BD53" s="111">
        <f>IF(O53&lt;80,"0",IF((P53-O53)&lt;=2,('DPI art.191'!$G$9-(('DPI art.191'!$F$9-'DPI art.191'!$G$9)/4)*(O53-P53-2)),('DPI art.191'!$G$9-(('DPI art.191'!$G$9-'DPI art.191'!$H$9)/8)*(P53-O53-2))))</f>
        <v/>
      </c>
      <c r="BE53" s="24">
        <f>O53-BD53</f>
        <v/>
      </c>
      <c r="BF53" s="24">
        <f>IF(N53&lt;135,N53,N53-'DPI art.191'!$I$9)</f>
        <v/>
      </c>
      <c r="BG53" s="111">
        <f>IF(O53&lt;80,"0",IF((P53-O53)&lt;=2,('DPI art.191'!$G$11-(('DPI art.191'!$F$11-'DPI art.191'!$G$11)/4)*(P53-O53-2)),('DPI art.191'!$G$11-(('DPI art.191'!$G$11-'DPI art.191'!$H$11)/8)*(P53-O53-2))))</f>
        <v/>
      </c>
      <c r="BH53" s="24">
        <f>O53-BG53</f>
        <v/>
      </c>
      <c r="BI53" s="24">
        <f>IF(T53&lt;135,T53,T53-'DPI art.191'!$I$11)</f>
        <v/>
      </c>
      <c r="BJ53" s="111">
        <f>IF(O53&lt;80,"0",IF((P53-O53)&lt;=2,('DPI art.191'!$G$13-(('DPI art.191'!$F$13-'DPI art.191'!$G$13)/4)*(P53-O53-2)),('DPI art.191'!$G$13-(('DPI art.191'!$G$13-'DPI art.191'!$H$13)/8)*(P53-O53-2))))</f>
        <v/>
      </c>
      <c r="BK53" s="24">
        <f>O53-BJ53</f>
        <v/>
      </c>
      <c r="BL53" s="24">
        <f>IF(T53&lt;135,T53,T53-'DPI art.191'!$I$13)</f>
        <v/>
      </c>
      <c r="BM53" s="111">
        <f>IF(O53&lt;80,"0",IF((P53-O53)&lt;=2,('DPI art.191'!$G$15-(('DPI art.191'!$F$15-'DPI art.191'!$G$15)/4)*(P53-O53-2)),('DPI art.191'!$G$15-(('DPI art.191'!$G$15-'DPI art.191'!$H$15)/8)*(P53-O53-2))))</f>
        <v/>
      </c>
      <c r="BN53" s="24">
        <f>O53-BM53</f>
        <v/>
      </c>
      <c r="BO53" s="24">
        <f>IF(Z53&lt;135,Z53,Z53-'DPI art.191'!$I$15)</f>
        <v/>
      </c>
      <c r="BP53" s="108">
        <f>10^(0.1*R53)</f>
        <v/>
      </c>
      <c r="BQ53" s="108">
        <f>10^(0.1*X53)</f>
        <v/>
      </c>
      <c r="BR53" s="108">
        <f>10^(0.1*AB53)</f>
        <v/>
      </c>
      <c r="BS53" s="108">
        <f>10^(0.1*AF53)</f>
        <v/>
      </c>
      <c r="BT53" s="108">
        <f>10^(0.1*AJ53)</f>
        <v/>
      </c>
      <c r="BU53" s="108">
        <f>10^(0.1*AN53)</f>
        <v/>
      </c>
      <c r="BV53" s="106">
        <f>IF(R53&gt;0,(O53-R53),"")</f>
        <v/>
      </c>
      <c r="BW53" s="106">
        <f>IF(X53&gt;0,(O53-X53),"")</f>
        <v/>
      </c>
      <c r="BX53" s="106">
        <f>IF(AB53&gt;0,(O53-AB53),"")</f>
        <v/>
      </c>
      <c r="BY53" s="106">
        <f>IF(AF53&gt;0,(O53-AF53),"")</f>
        <v/>
      </c>
      <c r="BZ53" s="106">
        <f>IF(AJ53&gt;0,(O53-AJ53),"")</f>
        <v/>
      </c>
      <c r="CA53" s="106">
        <f>IF(AN53&gt;0,(O53-AN53),"")</f>
        <v/>
      </c>
      <c r="CB53" s="106">
        <f>COUNT(BV53:CA53)</f>
        <v/>
      </c>
      <c r="CC53" s="464">
        <f>IF(CB53=0,0,IF(CB53=1,0,1/(CB53*(CB53-1))))</f>
        <v/>
      </c>
      <c r="CD53" s="136">
        <f>IF(R53&gt;0,(BV53^2),"")</f>
        <v/>
      </c>
      <c r="CE53" s="136">
        <f>IF(X53&gt;0,(BW53^2),"")</f>
        <v/>
      </c>
      <c r="CF53" s="136">
        <f>IF(AB53&gt;0,(BX53^2),"")</f>
        <v/>
      </c>
      <c r="CG53" s="136">
        <f>IF(AF53&gt;0,(BY53^2),"")</f>
        <v/>
      </c>
      <c r="CH53" s="136">
        <f>IF(AJ53&gt;0,(BZ53^2),"")</f>
        <v/>
      </c>
      <c r="CI53" s="136">
        <f>IF(AN53&gt;0,(CA53^2),"")</f>
        <v/>
      </c>
    </row>
    <row r="54" ht="18.75" customHeight="1" s="444">
      <c r="A54" s="340" t="inlineStr">
        <is>
          <t>Gualdo 1</t>
        </is>
      </c>
      <c r="B54" s="65" t="inlineStr">
        <is>
          <t>E10</t>
        </is>
      </c>
      <c r="C54" s="78" t="inlineStr">
        <is>
          <t>Controllo impianti tecnici</t>
        </is>
      </c>
      <c r="D54" s="83" t="inlineStr">
        <is>
          <t>/</t>
        </is>
      </c>
      <c r="E54" s="83" t="inlineStr">
        <is>
          <t>/</t>
        </is>
      </c>
      <c r="F54" s="192" t="inlineStr">
        <is>
          <t>Controllo impianti tecnici</t>
        </is>
      </c>
      <c r="G54" s="71" t="n">
        <v>45996</v>
      </c>
      <c r="H54" s="77" t="inlineStr">
        <is>
          <t>Compito</t>
        </is>
      </c>
      <c r="I54" s="77">
        <f>IF((V54-R54)&gt;3,"SI","")</f>
        <v/>
      </c>
      <c r="J54" s="77" t="inlineStr">
        <is>
          <t>SI</t>
        </is>
      </c>
      <c r="K54" s="77" t="n"/>
      <c r="L54" s="77" t="n"/>
      <c r="M54" s="137">
        <f>IF(R54&gt;0,(SQRT(CC54*(SUM(CD54:CI54)))),"")</f>
        <v/>
      </c>
      <c r="N54" s="4">
        <f>IF(T54&gt;0,(MAX(T54,Z54,AD54,AH54,AL54,AP54))+SQRT(1.2^2+1^2),"")</f>
        <v/>
      </c>
      <c r="O54" s="3">
        <f>IF(R54="",0,10*LOG10(SUM(BP54:BU54)/(COUNT(R54,X54,AB54,AF54,AJ54,AN54))))</f>
        <v/>
      </c>
      <c r="P54" s="5">
        <f>IF(AND(Y54="",AC54="",AG54="",AK54="",AO54=""),S54,AVERAGE(S54,Y54,AC54,AG54,AK54,AO54)+STDEV(S54,Y54,AC54,AG54,AK54,AO54))</f>
        <v/>
      </c>
      <c r="Q54" s="14" t="n">
        <v>300</v>
      </c>
      <c r="R54" s="11" t="n">
        <v>74.90000000000001</v>
      </c>
      <c r="S54" s="12" t="n">
        <v>79.40000000000001</v>
      </c>
      <c r="T54" s="13" t="n">
        <v>94.8</v>
      </c>
      <c r="U54" s="79" t="n">
        <v>74.90000000000001</v>
      </c>
      <c r="V54" s="79" t="n">
        <v>76</v>
      </c>
      <c r="W54" s="10" t="n">
        <v>300</v>
      </c>
      <c r="X54" s="11" t="n">
        <v>74.8</v>
      </c>
      <c r="Y54" s="12" t="n">
        <v>79.3</v>
      </c>
      <c r="Z54" s="13" t="n">
        <v>93.5</v>
      </c>
      <c r="AA54" s="10" t="n">
        <v>300</v>
      </c>
      <c r="AB54" s="11" t="n">
        <v>76.2</v>
      </c>
      <c r="AC54" s="12" t="n">
        <v>79.8</v>
      </c>
      <c r="AD54" s="13" t="n">
        <v>95.5</v>
      </c>
      <c r="AE54" s="14" t="n">
        <v>300</v>
      </c>
      <c r="AF54" s="11" t="n">
        <v>75.5</v>
      </c>
      <c r="AG54" s="12" t="n">
        <v>79.8</v>
      </c>
      <c r="AH54" s="13" t="n">
        <v>98.59999999999999</v>
      </c>
      <c r="AI54" s="10" t="n">
        <v>300</v>
      </c>
      <c r="AJ54" s="11" t="n">
        <v>75</v>
      </c>
      <c r="AK54" s="12" t="n">
        <v>79.7</v>
      </c>
      <c r="AL54" s="13" t="n">
        <v>94.5</v>
      </c>
      <c r="AM54" s="10" t="n">
        <v>300</v>
      </c>
      <c r="AN54" s="11" t="n">
        <v>75.2</v>
      </c>
      <c r="AO54" s="12" t="n">
        <v>79.5</v>
      </c>
      <c r="AP54" s="13" t="n">
        <v>95.2</v>
      </c>
      <c r="AQ54" s="6">
        <f>IF(AND((O54)&lt;85,N54&lt;137),"NO","SI")</f>
        <v/>
      </c>
      <c r="AR54" s="7">
        <f>IF((480*(10^(7.95-(O54/10))))&lt;480,480*(10^(7.95-(O54/10))),480)</f>
        <v/>
      </c>
      <c r="AS54" s="8">
        <f>IF((480*(10^(8.45-(O54/10))))&lt;480,480*(10^(8.45-(O54/10))),480)</f>
        <v/>
      </c>
      <c r="AT54" s="9">
        <f>IF((480*(10^(8.65-(O54/10))))&lt;480,480*(10^(8.65-(O54/10))),480)</f>
        <v/>
      </c>
      <c r="AU54" s="111">
        <f>IF(O54&lt;80,"0",IF((P54-O54)&lt;=2,('DPI art.191'!$G$3-(('DPI art.191'!$F$3-'DPI art.191'!$G$3)/4)*(P54-O54-2)),('DPI art.191'!$G$3-(('DPI art.191'!$G$3-'DPI art.191'!$H$3)/8)*(P54-O54-2))))</f>
        <v/>
      </c>
      <c r="AV54" s="24">
        <f>O54-AU54</f>
        <v/>
      </c>
      <c r="AW54" s="24">
        <f>IF(N54&lt;135,N54,N54-'DPI art.191'!$I$3)</f>
        <v/>
      </c>
      <c r="AX54" s="111">
        <f>IF(O54&lt;80,"0",IF((P54-O54)&lt;=2,('DPI art.191'!$G$5-(('DPI art.191'!$F$5-'DPI art.191'!$G$5)/4)*(P54-O54-2)),('DPI art.191'!$G$5-(('DPI art.191'!$G$5-'DPI art.191'!$H$5)/8)*(P54-O54-2))))</f>
        <v/>
      </c>
      <c r="AY54" s="24">
        <f>O54-AX54</f>
        <v/>
      </c>
      <c r="AZ54" s="24">
        <f>IF(N54&lt;135,N54,N54-'DPI art.191'!$I$5)</f>
        <v/>
      </c>
      <c r="BA54" s="111">
        <f>IF(O54&lt;80,"0",IF((P54-O54)&lt;=2,('DPI art.191'!$G$7-(('DPI art.191'!$F$7-'DPI art.191'!$G$7)/4)*(P54-O54-2)),('DPI art.191'!$G$7-(('DPI art.191'!$G$7-'DPI art.191'!$H$7)/8)*(P54-O54-2))))</f>
        <v/>
      </c>
      <c r="BB54" s="24">
        <f>O54-BA54</f>
        <v/>
      </c>
      <c r="BC54" s="24">
        <f>IF(N54&lt;135,N54,N54-'DPI art.191'!$I$7)</f>
        <v/>
      </c>
      <c r="BD54" s="111">
        <f>IF(O54&lt;80,"0",IF((P54-O54)&lt;=2,('DPI art.191'!$G$9-(('DPI art.191'!$F$9-'DPI art.191'!$G$9)/4)*(O54-P54-2)),('DPI art.191'!$G$9-(('DPI art.191'!$G$9-'DPI art.191'!$H$9)/8)*(P54-O54-2))))</f>
        <v/>
      </c>
      <c r="BE54" s="24">
        <f>O54-BD54</f>
        <v/>
      </c>
      <c r="BF54" s="24">
        <f>IF(N54&lt;135,N54,N54-'DPI art.191'!$I$9)</f>
        <v/>
      </c>
      <c r="BG54" s="111">
        <f>IF(O54&lt;80,"0",IF((P54-O54)&lt;=2,('DPI art.191'!$G$11-(('DPI art.191'!$F$11-'DPI art.191'!$G$11)/4)*(P54-O54-2)),('DPI art.191'!$G$11-(('DPI art.191'!$G$11-'DPI art.191'!$H$11)/8)*(P54-O54-2))))</f>
        <v/>
      </c>
      <c r="BH54" s="24">
        <f>O54-BG54</f>
        <v/>
      </c>
      <c r="BI54" s="24">
        <f>IF(T54&lt;135,T54,T54-'DPI art.191'!$I$11)</f>
        <v/>
      </c>
      <c r="BJ54" s="111">
        <f>IF(O54&lt;80,"0",IF((P54-O54)&lt;=2,('DPI art.191'!$G$13-(('DPI art.191'!$F$13-'DPI art.191'!$G$13)/4)*(P54-O54-2)),('DPI art.191'!$G$13-(('DPI art.191'!$G$13-'DPI art.191'!$H$13)/8)*(P54-O54-2))))</f>
        <v/>
      </c>
      <c r="BK54" s="24">
        <f>O54-BJ54</f>
        <v/>
      </c>
      <c r="BL54" s="24">
        <f>IF(T54&lt;135,T54,T54-'DPI art.191'!$I$13)</f>
        <v/>
      </c>
      <c r="BM54" s="111">
        <f>IF(O54&lt;80,"0",IF((P54-O54)&lt;=2,('DPI art.191'!$G$15-(('DPI art.191'!$F$15-'DPI art.191'!$G$15)/4)*(P54-O54-2)),('DPI art.191'!$G$15-(('DPI art.191'!$G$15-'DPI art.191'!$H$15)/8)*(P54-O54-2))))</f>
        <v/>
      </c>
      <c r="BN54" s="24">
        <f>O54-BM54</f>
        <v/>
      </c>
      <c r="BO54" s="24">
        <f>IF(Z54&lt;135,Z54,Z54-'DPI art.191'!$I$15)</f>
        <v/>
      </c>
      <c r="BP54" s="108">
        <f>10^(0.1*R54)</f>
        <v/>
      </c>
      <c r="BQ54" s="108">
        <f>10^(0.1*X54)</f>
        <v/>
      </c>
      <c r="BR54" s="108">
        <f>10^(0.1*AB54)</f>
        <v/>
      </c>
      <c r="BS54" s="108">
        <f>10^(0.1*AF54)</f>
        <v/>
      </c>
      <c r="BT54" s="108">
        <f>10^(0.1*AJ54)</f>
        <v/>
      </c>
      <c r="BU54" s="108">
        <f>10^(0.1*AN54)</f>
        <v/>
      </c>
      <c r="BV54" s="106">
        <f>IF(R54&gt;0,(O54-R54),"")</f>
        <v/>
      </c>
      <c r="BW54" s="106">
        <f>IF(X54&gt;0,(O54-X54),"")</f>
        <v/>
      </c>
      <c r="BX54" s="106">
        <f>IF(AB54&gt;0,(O54-AB54),"")</f>
        <v/>
      </c>
      <c r="BY54" s="106">
        <f>IF(AF54&gt;0,(O54-AF54),"")</f>
        <v/>
      </c>
      <c r="BZ54" s="106">
        <f>IF(AJ54&gt;0,(O54-AJ54),"")</f>
        <v/>
      </c>
      <c r="CA54" s="106">
        <f>IF(AN54&gt;0,(O54-AN54),"")</f>
        <v/>
      </c>
      <c r="CB54" s="106">
        <f>COUNT(BV54:CA54)</f>
        <v/>
      </c>
      <c r="CC54" s="464">
        <f>IF(CB54=0,0,IF(CB54=1,0,1/(CB54*(CB54-1))))</f>
        <v/>
      </c>
      <c r="CD54" s="136">
        <f>IF(R54&gt;0,(BV54^2),"")</f>
        <v/>
      </c>
      <c r="CE54" s="136">
        <f>IF(X54&gt;0,(BW54^2),"")</f>
        <v/>
      </c>
      <c r="CF54" s="136">
        <f>IF(AB54&gt;0,(BX54^2),"")</f>
        <v/>
      </c>
      <c r="CG54" s="136">
        <f>IF(AF54&gt;0,(BY54^2),"")</f>
        <v/>
      </c>
      <c r="CH54" s="136">
        <f>IF(AJ54&gt;0,(BZ54^2),"")</f>
        <v/>
      </c>
      <c r="CI54" s="136">
        <f>IF(AN54&gt;0,(CA54^2),"")</f>
        <v/>
      </c>
    </row>
    <row r="55" ht="25.5" customHeight="1" s="444">
      <c r="A55" s="340" t="inlineStr">
        <is>
          <t>Gualdo 2</t>
        </is>
      </c>
      <c r="B55" s="65" t="inlineStr">
        <is>
          <t>E11</t>
        </is>
      </c>
      <c r="C55" s="78" t="inlineStr">
        <is>
          <t>Attività di officina con indotto molatura</t>
        </is>
      </c>
      <c r="D55" s="83" t="inlineStr">
        <is>
          <t>/</t>
        </is>
      </c>
      <c r="E55" s="83" t="inlineStr">
        <is>
          <t>/</t>
        </is>
      </c>
      <c r="F55" s="192" t="inlineStr">
        <is>
          <t>Attività di officina con indotto molatura</t>
        </is>
      </c>
      <c r="G55" s="71" t="n">
        <v>46003</v>
      </c>
      <c r="H55" s="77" t="inlineStr">
        <is>
          <t>Compito</t>
        </is>
      </c>
      <c r="I55" s="77">
        <f>IF((V55-R55)&gt;3,"SI","")</f>
        <v/>
      </c>
      <c r="J55" s="77" t="inlineStr">
        <is>
          <t>SI</t>
        </is>
      </c>
      <c r="K55" s="77" t="n"/>
      <c r="L55" s="77" t="n"/>
      <c r="M55" s="137">
        <f>IF(R55&gt;0,(SQRT(CC55*(SUM(CD55:CI55)))),"")</f>
        <v/>
      </c>
      <c r="N55" s="4">
        <f>IF(T55&gt;0,(MAX(T55,Z55,AD55,AH55,AL55,AP55))+SQRT(1.2^2+1^2),"")</f>
        <v/>
      </c>
      <c r="O55" s="3">
        <f>IF(R55="",0,10*LOG10(SUM(BP55:BU55)/(COUNT(R55,X55,AB55,AF55,AJ55,AN55))))</f>
        <v/>
      </c>
      <c r="P55" s="5">
        <f>IF(AND(Y55="",AC55="",AG55="",AK55="",AO55=""),S55,AVERAGE(S55,Y55,AC55,AG55,AK55,AO55)+STDEV(S55,Y55,AC55,AG55,AK55,AO55))</f>
        <v/>
      </c>
      <c r="Q55" s="14" t="n">
        <v>300</v>
      </c>
      <c r="R55" s="11" t="n">
        <v>80</v>
      </c>
      <c r="S55" s="12" t="n">
        <v>78.8</v>
      </c>
      <c r="T55" s="13" t="n">
        <v>102.8</v>
      </c>
      <c r="U55" s="79" t="n">
        <v>80</v>
      </c>
      <c r="V55" s="79" t="n">
        <v>81.40000000000001</v>
      </c>
      <c r="W55" s="10" t="n">
        <v>300</v>
      </c>
      <c r="X55" s="11" t="n">
        <v>80.3</v>
      </c>
      <c r="Y55" s="12" t="n">
        <v>79</v>
      </c>
      <c r="Z55" s="13" t="n">
        <v>101.5</v>
      </c>
      <c r="AA55" s="10" t="n">
        <v>300</v>
      </c>
      <c r="AB55" s="11" t="n">
        <v>79.40000000000001</v>
      </c>
      <c r="AC55" s="12" t="n">
        <v>78</v>
      </c>
      <c r="AD55" s="13" t="n">
        <v>101.2</v>
      </c>
      <c r="AE55" s="14" t="n">
        <v>300</v>
      </c>
      <c r="AF55" s="11" t="n">
        <v>76.5</v>
      </c>
      <c r="AG55" s="12" t="n">
        <v>75.2</v>
      </c>
      <c r="AH55" s="13" t="n">
        <v>101.8</v>
      </c>
      <c r="AI55" s="10" t="n">
        <v>300</v>
      </c>
      <c r="AJ55" s="11" t="n">
        <v>77</v>
      </c>
      <c r="AK55" s="12" t="n">
        <v>75.59999999999999</v>
      </c>
      <c r="AL55" s="13" t="n">
        <v>98.3</v>
      </c>
      <c r="AM55" s="10" t="n">
        <v>300</v>
      </c>
      <c r="AN55" s="11" t="n">
        <v>65.8</v>
      </c>
      <c r="AO55" s="12" t="n">
        <v>66.2</v>
      </c>
      <c r="AP55" s="13" t="n">
        <v>97.09999999999999</v>
      </c>
      <c r="AQ55" s="6">
        <f>IF(AND((O55)&lt;85,N55&lt;137),"NO","SI")</f>
        <v/>
      </c>
      <c r="AR55" s="7">
        <f>IF((480*(10^(7.95-(O55/10))))&lt;480,480*(10^(7.95-(O55/10))),480)</f>
        <v/>
      </c>
      <c r="AS55" s="8">
        <f>IF((480*(10^(8.45-(O55/10))))&lt;480,480*(10^(8.45-(O55/10))),480)</f>
        <v/>
      </c>
      <c r="AT55" s="9">
        <f>IF((480*(10^(8.65-(O55/10))))&lt;480,480*(10^(8.65-(O55/10))),480)</f>
        <v/>
      </c>
      <c r="AU55" s="111">
        <f>IF(O55&lt;80,"0",IF((P55-O55)&lt;=2,('DPI art.191'!$G$3-(('DPI art.191'!$F$3-'DPI art.191'!$G$3)/4)*(P55-O55-2)),('DPI art.191'!$G$3-(('DPI art.191'!$G$3-'DPI art.191'!$H$3)/8)*(P55-O55-2))))</f>
        <v/>
      </c>
      <c r="AV55" s="24">
        <f>O55-AU55</f>
        <v/>
      </c>
      <c r="AW55" s="24">
        <f>IF(N55&lt;135,N55,N55-'DPI art.191'!$I$3)</f>
        <v/>
      </c>
      <c r="AX55" s="111">
        <f>IF(O55&lt;80,"0",IF((P55-O55)&lt;=2,('DPI art.191'!$G$5-(('DPI art.191'!$F$5-'DPI art.191'!$G$5)/4)*(P55-O55-2)),('DPI art.191'!$G$5-(('DPI art.191'!$G$5-'DPI art.191'!$H$5)/8)*(P55-O55-2))))</f>
        <v/>
      </c>
      <c r="AY55" s="24">
        <f>O55-AX55</f>
        <v/>
      </c>
      <c r="AZ55" s="24">
        <f>IF(N55&lt;135,N55,N55-'DPI art.191'!$I$5)</f>
        <v/>
      </c>
      <c r="BA55" s="111">
        <f>IF(O55&lt;80,"0",IF((P55-O55)&lt;=2,('DPI art.191'!$G$7-(('DPI art.191'!$F$7-'DPI art.191'!$G$7)/4)*(P55-O55-2)),('DPI art.191'!$G$7-(('DPI art.191'!$G$7-'DPI art.191'!$H$7)/8)*(P55-O55-2))))</f>
        <v/>
      </c>
      <c r="BB55" s="24">
        <f>O55-BA55</f>
        <v/>
      </c>
      <c r="BC55" s="24">
        <f>IF(N55&lt;135,N55,N55-'DPI art.191'!$I$7)</f>
        <v/>
      </c>
      <c r="BD55" s="111">
        <f>IF(O55&lt;80,"0",IF((P55-O55)&lt;=2,('DPI art.191'!$G$9-(('DPI art.191'!$F$9-'DPI art.191'!$G$9)/4)*(O55-P55-2)),('DPI art.191'!$G$9-(('DPI art.191'!$G$9-'DPI art.191'!$H$9)/8)*(P55-O55-2))))</f>
        <v/>
      </c>
      <c r="BE55" s="24">
        <f>O55-BD55</f>
        <v/>
      </c>
      <c r="BF55" s="24">
        <f>IF(N55&lt;135,N55,N55-'DPI art.191'!$I$9)</f>
        <v/>
      </c>
      <c r="BG55" s="111">
        <f>IF(O55&lt;80,"0",IF((P55-O55)&lt;=2,('DPI art.191'!$G$11-(('DPI art.191'!$F$11-'DPI art.191'!$G$11)/4)*(P55-O55-2)),('DPI art.191'!$G$11-(('DPI art.191'!$G$11-'DPI art.191'!$H$11)/8)*(P55-O55-2))))</f>
        <v/>
      </c>
      <c r="BH55" s="24">
        <f>O55-BG55</f>
        <v/>
      </c>
      <c r="BI55" s="24">
        <f>IF(T55&lt;135,T55,T55-'DPI art.191'!$I$11)</f>
        <v/>
      </c>
      <c r="BJ55" s="111">
        <f>IF(O55&lt;80,"0",IF((P55-O55)&lt;=2,('DPI art.191'!$G$13-(('DPI art.191'!$F$13-'DPI art.191'!$G$13)/4)*(P55-O55-2)),('DPI art.191'!$G$13-(('DPI art.191'!$G$13-'DPI art.191'!$H$13)/8)*(P55-O55-2))))</f>
        <v/>
      </c>
      <c r="BK55" s="24">
        <f>O55-BJ55</f>
        <v/>
      </c>
      <c r="BL55" s="24">
        <f>IF(T55&lt;135,T55,T55-'DPI art.191'!$I$13)</f>
        <v/>
      </c>
      <c r="BM55" s="111">
        <f>IF(O55&lt;80,"0",IF((P55-O55)&lt;=2,('DPI art.191'!$G$15-(('DPI art.191'!$F$15-'DPI art.191'!$G$15)/4)*(P55-O55-2)),('DPI art.191'!$G$15-(('DPI art.191'!$G$15-'DPI art.191'!$H$15)/8)*(P55-O55-2))))</f>
        <v/>
      </c>
      <c r="BN55" s="24">
        <f>O55-BM55</f>
        <v/>
      </c>
      <c r="BO55" s="24">
        <f>IF(Z55&lt;135,Z55,Z55-'DPI art.191'!$I$15)</f>
        <v/>
      </c>
      <c r="BP55" s="108">
        <f>10^(0.1*R55)</f>
        <v/>
      </c>
      <c r="BQ55" s="108">
        <f>10^(0.1*X55)</f>
        <v/>
      </c>
      <c r="BR55" s="108">
        <f>10^(0.1*AB55)</f>
        <v/>
      </c>
      <c r="BS55" s="108">
        <f>10^(0.1*AF55)</f>
        <v/>
      </c>
      <c r="BT55" s="108">
        <f>10^(0.1*AJ55)</f>
        <v/>
      </c>
      <c r="BU55" s="108">
        <f>10^(0.1*AN55)</f>
        <v/>
      </c>
      <c r="BV55" s="106">
        <f>IF(R55&gt;0,(O55-R55),"")</f>
        <v/>
      </c>
      <c r="BW55" s="106">
        <f>IF(X55&gt;0,(O55-X55),"")</f>
        <v/>
      </c>
      <c r="BX55" s="106">
        <f>IF(AB55&gt;0,(O55-AB55),"")</f>
        <v/>
      </c>
      <c r="BY55" s="106">
        <f>IF(AF55&gt;0,(O55-AF55),"")</f>
        <v/>
      </c>
      <c r="BZ55" s="106">
        <f>IF(AJ55&gt;0,(O55-AJ55),"")</f>
        <v/>
      </c>
      <c r="CA55" s="106">
        <f>IF(AN55&gt;0,(O55-AN55),"")</f>
        <v/>
      </c>
      <c r="CB55" s="106">
        <f>COUNT(BV55:CA55)</f>
        <v/>
      </c>
      <c r="CC55" s="464">
        <f>IF(CB55=0,0,IF(CB55=1,0,1/(CB55*(CB55-1))))</f>
        <v/>
      </c>
      <c r="CD55" s="136">
        <f>IF(R55&gt;0,(BV55^2),"")</f>
        <v/>
      </c>
      <c r="CE55" s="136">
        <f>IF(X55&gt;0,(BW55^2),"")</f>
        <v/>
      </c>
      <c r="CF55" s="136">
        <f>IF(AB55&gt;0,(BX55^2),"")</f>
        <v/>
      </c>
      <c r="CG55" s="136">
        <f>IF(AF55&gt;0,(BY55^2),"")</f>
        <v/>
      </c>
      <c r="CH55" s="136">
        <f>IF(AJ55&gt;0,(BZ55^2),"")</f>
        <v/>
      </c>
      <c r="CI55" s="136">
        <f>IF(AN55&gt;0,(CA55^2),"")</f>
        <v/>
      </c>
    </row>
    <row r="56" ht="25.5" customHeight="1" s="444">
      <c r="A56" s="340" t="inlineStr">
        <is>
          <t>Gualdo 2</t>
        </is>
      </c>
      <c r="B56" s="65" t="inlineStr">
        <is>
          <t>E12</t>
        </is>
      </c>
      <c r="C56" s="78" t="inlineStr">
        <is>
          <t>Attività di officina con indotto molatura</t>
        </is>
      </c>
      <c r="D56" s="83" t="inlineStr">
        <is>
          <t>/</t>
        </is>
      </c>
      <c r="E56" s="83" t="inlineStr">
        <is>
          <t>/</t>
        </is>
      </c>
      <c r="F56" s="192" t="inlineStr">
        <is>
          <t>Attività di officina con indotto molatura</t>
        </is>
      </c>
      <c r="G56" s="71" t="n">
        <v>46003</v>
      </c>
      <c r="H56" s="77" t="inlineStr">
        <is>
          <t>Compito</t>
        </is>
      </c>
      <c r="I56" s="77">
        <f>IF((V56-R56)&gt;3,"SI","")</f>
        <v/>
      </c>
      <c r="J56" s="77">
        <f>IF((U56-R56)&gt;3,"SI","")</f>
        <v/>
      </c>
      <c r="K56" s="77" t="n"/>
      <c r="L56" s="77" t="n"/>
      <c r="M56" s="137">
        <f>IF(R56&gt;0,(SQRT(CC56*(SUM(CD56:CI56)))),"")</f>
        <v/>
      </c>
      <c r="N56" s="4">
        <f>IF(T56&gt;0,(MAX(T56,Z56,AD56,AH56,AL56,AP56))+SQRT(1.2^2+1^2),"")</f>
        <v/>
      </c>
      <c r="O56" s="3">
        <f>IF(R56="",0,10*LOG10(SUM(BP56:BU56)/(COUNT(R56,X56,AB56,AF56,AJ56,AN56))))</f>
        <v/>
      </c>
      <c r="P56" s="5">
        <f>IF(AND(Y56="",AC56="",AG56="",AK56="",AO56=""),S56,AVERAGE(S56,Y56,AC56,AG56,AK56,AO56)+STDEV(S56,Y56,AC56,AG56,AK56,AO56))</f>
        <v/>
      </c>
      <c r="Q56" s="14" t="n">
        <v>300</v>
      </c>
      <c r="R56" s="11" t="n">
        <v>67.40000000000001</v>
      </c>
      <c r="S56" s="12" t="n">
        <v>75.7</v>
      </c>
      <c r="T56" s="13" t="n">
        <v>96.3</v>
      </c>
      <c r="U56" s="79" t="n">
        <v>67.3</v>
      </c>
      <c r="V56" s="79" t="n">
        <v>70.5</v>
      </c>
      <c r="W56" s="10" t="n">
        <v>300</v>
      </c>
      <c r="X56" s="11" t="n">
        <v>66.59999999999999</v>
      </c>
      <c r="Y56" s="12" t="n">
        <v>69.7</v>
      </c>
      <c r="Z56" s="13" t="n">
        <v>95.09999999999999</v>
      </c>
      <c r="AA56" s="10" t="n">
        <v>300</v>
      </c>
      <c r="AB56" s="11" t="n">
        <v>73</v>
      </c>
      <c r="AC56" s="12" t="n">
        <v>73.40000000000001</v>
      </c>
      <c r="AD56" s="13" t="n">
        <v>99.59999999999999</v>
      </c>
      <c r="AE56" s="14" t="n">
        <v>300</v>
      </c>
      <c r="AF56" s="11" t="n">
        <v>68.59999999999999</v>
      </c>
      <c r="AG56" s="12" t="n">
        <v>77.7</v>
      </c>
      <c r="AH56" s="13" t="n">
        <v>92.8</v>
      </c>
      <c r="AI56" s="10" t="n">
        <v>300</v>
      </c>
      <c r="AJ56" s="11" t="n">
        <v>68.59999999999999</v>
      </c>
      <c r="AK56" s="12" t="n">
        <v>74.7</v>
      </c>
      <c r="AL56" s="13" t="n">
        <v>99.2</v>
      </c>
      <c r="AM56" s="10" t="n">
        <v>300</v>
      </c>
      <c r="AN56" s="11" t="n">
        <v>68.7</v>
      </c>
      <c r="AO56" s="12" t="n">
        <v>68.09999999999999</v>
      </c>
      <c r="AP56" s="13" t="n">
        <v>113.7</v>
      </c>
      <c r="AQ56" s="6">
        <f>IF(AND((O56)&lt;85,N56&lt;137),"NO","SI")</f>
        <v/>
      </c>
      <c r="AR56" s="7">
        <f>IF((480*(10^(7.95-(O56/10))))&lt;480,480*(10^(7.95-(O56/10))),480)</f>
        <v/>
      </c>
      <c r="AS56" s="8">
        <f>IF((480*(10^(8.45-(O56/10))))&lt;480,480*(10^(8.45-(O56/10))),480)</f>
        <v/>
      </c>
      <c r="AT56" s="9">
        <f>IF((480*(10^(8.65-(O56/10))))&lt;480,480*(10^(8.65-(O56/10))),480)</f>
        <v/>
      </c>
      <c r="AU56" s="111">
        <f>IF(O56&lt;80,"0",IF((P56-O56)&lt;=2,('DPI art.191'!$G$3-(('DPI art.191'!$F$3-'DPI art.191'!$G$3)/4)*(P56-O56-2)),('DPI art.191'!$G$3-(('DPI art.191'!$G$3-'DPI art.191'!$H$3)/8)*(P56-O56-2))))</f>
        <v/>
      </c>
      <c r="AV56" s="24">
        <f>O56-AU56</f>
        <v/>
      </c>
      <c r="AW56" s="24">
        <f>IF(N56&lt;135,N56,N56-'DPI art.191'!$I$3)</f>
        <v/>
      </c>
      <c r="AX56" s="111">
        <f>IF(O56&lt;80,"0",IF((P56-O56)&lt;=2,('DPI art.191'!$G$5-(('DPI art.191'!$F$5-'DPI art.191'!$G$5)/4)*(P56-O56-2)),('DPI art.191'!$G$5-(('DPI art.191'!$G$5-'DPI art.191'!$H$5)/8)*(P56-O56-2))))</f>
        <v/>
      </c>
      <c r="AY56" s="24">
        <f>O56-AX56</f>
        <v/>
      </c>
      <c r="AZ56" s="24">
        <f>IF(N56&lt;135,N56,N56-'DPI art.191'!$I$5)</f>
        <v/>
      </c>
      <c r="BA56" s="111">
        <f>IF(O56&lt;80,"0",IF((P56-O56)&lt;=2,('DPI art.191'!$G$7-(('DPI art.191'!$F$7-'DPI art.191'!$G$7)/4)*(P56-O56-2)),('DPI art.191'!$G$7-(('DPI art.191'!$G$7-'DPI art.191'!$H$7)/8)*(P56-O56-2))))</f>
        <v/>
      </c>
      <c r="BB56" s="24">
        <f>O56-BA56</f>
        <v/>
      </c>
      <c r="BC56" s="24">
        <f>IF(N56&lt;135,N56,N56-'DPI art.191'!$I$7)</f>
        <v/>
      </c>
      <c r="BD56" s="111">
        <f>IF(O56&lt;80,"0",IF((P56-O56)&lt;=2,('DPI art.191'!$G$9-(('DPI art.191'!$F$9-'DPI art.191'!$G$9)/4)*(O56-P56-2)),('DPI art.191'!$G$9-(('DPI art.191'!$G$9-'DPI art.191'!$H$9)/8)*(P56-O56-2))))</f>
        <v/>
      </c>
      <c r="BE56" s="24">
        <f>O56-BD56</f>
        <v/>
      </c>
      <c r="BF56" s="24">
        <f>IF(N56&lt;135,N56,N56-'DPI art.191'!$I$9)</f>
        <v/>
      </c>
      <c r="BG56" s="111">
        <f>IF(O56&lt;80,"0",IF((P56-O56)&lt;=2,('DPI art.191'!$G$11-(('DPI art.191'!$F$11-'DPI art.191'!$G$11)/4)*(P56-O56-2)),('DPI art.191'!$G$11-(('DPI art.191'!$G$11-'DPI art.191'!$H$11)/8)*(P56-O56-2))))</f>
        <v/>
      </c>
      <c r="BH56" s="24">
        <f>O56-BG56</f>
        <v/>
      </c>
      <c r="BI56" s="24">
        <f>IF(T56&lt;135,T56,T56-'DPI art.191'!$I$11)</f>
        <v/>
      </c>
      <c r="BJ56" s="111">
        <f>IF(O56&lt;80,"0",IF((P56-O56)&lt;=2,('DPI art.191'!$G$13-(('DPI art.191'!$F$13-'DPI art.191'!$G$13)/4)*(P56-O56-2)),('DPI art.191'!$G$13-(('DPI art.191'!$G$13-'DPI art.191'!$H$13)/8)*(P56-O56-2))))</f>
        <v/>
      </c>
      <c r="BK56" s="24">
        <f>O56-BJ56</f>
        <v/>
      </c>
      <c r="BL56" s="24">
        <f>IF(T56&lt;135,T56,T56-'DPI art.191'!$I$13)</f>
        <v/>
      </c>
      <c r="BM56" s="111">
        <f>IF(O56&lt;80,"0",IF((P56-O56)&lt;=2,('DPI art.191'!$G$15-(('DPI art.191'!$F$15-'DPI art.191'!$G$15)/4)*(P56-O56-2)),('DPI art.191'!$G$15-(('DPI art.191'!$G$15-'DPI art.191'!$H$15)/8)*(P56-O56-2))))</f>
        <v/>
      </c>
      <c r="BN56" s="24">
        <f>O56-BM56</f>
        <v/>
      </c>
      <c r="BO56" s="24">
        <f>IF(Z56&lt;135,Z56,Z56-'DPI art.191'!$I$15)</f>
        <v/>
      </c>
      <c r="BP56" s="108">
        <f>10^(0.1*R56)</f>
        <v/>
      </c>
      <c r="BQ56" s="108">
        <f>10^(0.1*X56)</f>
        <v/>
      </c>
      <c r="BR56" s="108">
        <f>10^(0.1*AB56)</f>
        <v/>
      </c>
      <c r="BS56" s="108">
        <f>10^(0.1*AF56)</f>
        <v/>
      </c>
      <c r="BT56" s="108">
        <f>10^(0.1*AJ56)</f>
        <v/>
      </c>
      <c r="BU56" s="108">
        <f>10^(0.1*AN56)</f>
        <v/>
      </c>
      <c r="BV56" s="106">
        <f>IF(R56&gt;0,(O56-R56),"")</f>
        <v/>
      </c>
      <c r="BW56" s="106">
        <f>IF(X56&gt;0,(O56-X56),"")</f>
        <v/>
      </c>
      <c r="BX56" s="106">
        <f>IF(AB56&gt;0,(O56-AB56),"")</f>
        <v/>
      </c>
      <c r="BY56" s="106">
        <f>IF(AF56&gt;0,(O56-AF56),"")</f>
        <v/>
      </c>
      <c r="BZ56" s="106">
        <f>IF(AJ56&gt;0,(O56-AJ56),"")</f>
        <v/>
      </c>
      <c r="CA56" s="106">
        <f>IF(AN56&gt;0,(O56-AN56),"")</f>
        <v/>
      </c>
      <c r="CB56" s="106">
        <f>COUNT(BV56:CA56)</f>
        <v/>
      </c>
      <c r="CC56" s="464">
        <f>IF(CB56=0,0,IF(CB56=1,0,1/(CB56*(CB56-1))))</f>
        <v/>
      </c>
      <c r="CD56" s="136">
        <f>IF(R56&gt;0,(BV56^2),"")</f>
        <v/>
      </c>
      <c r="CE56" s="136">
        <f>IF(X56&gt;0,(BW56^2),"")</f>
        <v/>
      </c>
      <c r="CF56" s="136">
        <f>IF(AB56&gt;0,(BX56^2),"")</f>
        <v/>
      </c>
      <c r="CG56" s="136">
        <f>IF(AF56&gt;0,(BY56^2),"")</f>
        <v/>
      </c>
      <c r="CH56" s="136">
        <f>IF(AJ56&gt;0,(BZ56^2),"")</f>
        <v/>
      </c>
      <c r="CI56" s="136">
        <f>IF(AN56&gt;0,(CA56^2),"")</f>
        <v/>
      </c>
    </row>
    <row r="57" ht="25.5" customHeight="1" s="444">
      <c r="A57" s="340" t="inlineStr">
        <is>
          <t>Gualdo 2</t>
        </is>
      </c>
      <c r="B57" s="65" t="inlineStr">
        <is>
          <t>E13</t>
        </is>
      </c>
      <c r="C57" s="78" t="inlineStr">
        <is>
          <t>Attività di officina con indotto movimentazioni</t>
        </is>
      </c>
      <c r="D57" s="83" t="inlineStr">
        <is>
          <t>/</t>
        </is>
      </c>
      <c r="E57" s="83" t="inlineStr">
        <is>
          <t>/</t>
        </is>
      </c>
      <c r="F57" s="192" t="inlineStr">
        <is>
          <t>Attività di officina con indotto movimentazioni</t>
        </is>
      </c>
      <c r="G57" s="71" t="n">
        <v>46003</v>
      </c>
      <c r="H57" s="77" t="inlineStr">
        <is>
          <t>Compito</t>
        </is>
      </c>
      <c r="I57" s="77">
        <f>IF((V57-R57)&gt;3,"SI","")</f>
        <v/>
      </c>
      <c r="J57" s="77">
        <f>IF((U57-R57)&gt;3,"SI","")</f>
        <v/>
      </c>
      <c r="K57" s="77" t="n"/>
      <c r="L57" s="77" t="n"/>
      <c r="M57" s="137">
        <f>IF(R57&gt;0,(SQRT(CC57*(SUM(CD57:CI57)))),"")</f>
        <v/>
      </c>
      <c r="N57" s="4">
        <f>IF(T57&gt;0,(MAX(T57,Z57,AD57,AH57,AL57,AP57))+SQRT(1.2^2+1^2),"")</f>
        <v/>
      </c>
      <c r="O57" s="3">
        <f>IF(R57="",0,10*LOG10(SUM(BP57:BU57)/(COUNT(R57,X57,AB57,AF57,AJ57,AN57))))</f>
        <v/>
      </c>
      <c r="P57" s="5">
        <f>IF(AND(Y57="",AC57="",AG57="",AK57="",AO57=""),S57,AVERAGE(S57,Y57,AC57,AG57,AK57,AO57)+STDEV(S57,Y57,AC57,AG57,AK57,AO57))</f>
        <v/>
      </c>
      <c r="Q57" s="14" t="n">
        <v>300</v>
      </c>
      <c r="R57" s="11" t="n">
        <v>56.2</v>
      </c>
      <c r="S57" s="12" t="n">
        <v>61.5</v>
      </c>
      <c r="T57" s="13" t="n">
        <v>86.8</v>
      </c>
      <c r="U57" s="79" t="n">
        <v>56.2</v>
      </c>
      <c r="V57" s="79" t="n">
        <v>61</v>
      </c>
      <c r="W57" s="10" t="n">
        <v>300</v>
      </c>
      <c r="X57" s="11" t="n">
        <v>57.7</v>
      </c>
      <c r="Y57" s="12" t="n">
        <v>62.6</v>
      </c>
      <c r="Z57" s="13" t="n">
        <v>91.8</v>
      </c>
      <c r="AA57" s="10" t="n">
        <v>300</v>
      </c>
      <c r="AB57" s="11" t="n">
        <v>56.3</v>
      </c>
      <c r="AC57" s="12" t="n">
        <v>61.8</v>
      </c>
      <c r="AD57" s="13" t="n">
        <v>82.3</v>
      </c>
      <c r="AE57" s="14" t="n">
        <v>300</v>
      </c>
      <c r="AF57" s="11" t="n">
        <v>58.8</v>
      </c>
      <c r="AG57" s="12" t="n">
        <v>62.6</v>
      </c>
      <c r="AH57" s="13" t="n">
        <v>88.7</v>
      </c>
      <c r="AI57" s="10" t="n">
        <v>300</v>
      </c>
      <c r="AJ57" s="11" t="n">
        <v>53.7</v>
      </c>
      <c r="AK57" s="12" t="n">
        <v>60.6</v>
      </c>
      <c r="AL57" s="13" t="n">
        <v>77</v>
      </c>
      <c r="AM57" s="10" t="n">
        <v>300</v>
      </c>
      <c r="AN57" s="11" t="n">
        <v>64.40000000000001</v>
      </c>
      <c r="AO57" s="12" t="n">
        <v>64.5</v>
      </c>
      <c r="AP57" s="13" t="n">
        <v>90.8</v>
      </c>
      <c r="AQ57" s="6">
        <f>IF(AND((O57)&lt;85,N57&lt;137),"NO","SI")</f>
        <v/>
      </c>
      <c r="AR57" s="7">
        <f>IF((480*(10^(7.95-(O57/10))))&lt;480,480*(10^(7.95-(O57/10))),480)</f>
        <v/>
      </c>
      <c r="AS57" s="8">
        <f>IF((480*(10^(8.45-(O57/10))))&lt;480,480*(10^(8.45-(O57/10))),480)</f>
        <v/>
      </c>
      <c r="AT57" s="9">
        <f>IF((480*(10^(8.65-(O57/10))))&lt;480,480*(10^(8.65-(O57/10))),480)</f>
        <v/>
      </c>
      <c r="AU57" s="111">
        <f>IF(O57&lt;80,"0",IF((P57-O57)&lt;=2,('DPI art.191'!$G$3-(('DPI art.191'!$F$3-'DPI art.191'!$G$3)/4)*(P57-O57-2)),('DPI art.191'!$G$3-(('DPI art.191'!$G$3-'DPI art.191'!$H$3)/8)*(P57-O57-2))))</f>
        <v/>
      </c>
      <c r="AV57" s="24">
        <f>O57-AU57</f>
        <v/>
      </c>
      <c r="AW57" s="24">
        <f>IF(N57&lt;135,N57,N57-'DPI art.191'!$I$3)</f>
        <v/>
      </c>
      <c r="AX57" s="111">
        <f>IF(O57&lt;80,"0",IF((P57-O57)&lt;=2,('DPI art.191'!$G$5-(('DPI art.191'!$F$5-'DPI art.191'!$G$5)/4)*(P57-O57-2)),('DPI art.191'!$G$5-(('DPI art.191'!$G$5-'DPI art.191'!$H$5)/8)*(P57-O57-2))))</f>
        <v/>
      </c>
      <c r="AY57" s="24">
        <f>O57-AX57</f>
        <v/>
      </c>
      <c r="AZ57" s="24">
        <f>IF(N57&lt;135,N57,N57-'DPI art.191'!$I$5)</f>
        <v/>
      </c>
      <c r="BA57" s="111">
        <f>IF(O57&lt;80,"0",IF((P57-O57)&lt;=2,('DPI art.191'!$G$7-(('DPI art.191'!$F$7-'DPI art.191'!$G$7)/4)*(P57-O57-2)),('DPI art.191'!$G$7-(('DPI art.191'!$G$7-'DPI art.191'!$H$7)/8)*(P57-O57-2))))</f>
        <v/>
      </c>
      <c r="BB57" s="24">
        <f>O57-BA57</f>
        <v/>
      </c>
      <c r="BC57" s="24">
        <f>IF(N57&lt;135,N57,N57-'DPI art.191'!$I$7)</f>
        <v/>
      </c>
      <c r="BD57" s="111">
        <f>IF(O57&lt;80,"0",IF((P57-O57)&lt;=2,('DPI art.191'!$G$9-(('DPI art.191'!$F$9-'DPI art.191'!$G$9)/4)*(O57-P57-2)),('DPI art.191'!$G$9-(('DPI art.191'!$G$9-'DPI art.191'!$H$9)/8)*(P57-O57-2))))</f>
        <v/>
      </c>
      <c r="BE57" s="24">
        <f>O57-BD57</f>
        <v/>
      </c>
      <c r="BF57" s="24">
        <f>IF(N57&lt;135,N57,N57-'DPI art.191'!$I$9)</f>
        <v/>
      </c>
      <c r="BG57" s="111">
        <f>IF(O57&lt;80,"0",IF((P57-O57)&lt;=2,('DPI art.191'!$G$11-(('DPI art.191'!$F$11-'DPI art.191'!$G$11)/4)*(P57-O57-2)),('DPI art.191'!$G$11-(('DPI art.191'!$G$11-'DPI art.191'!$H$11)/8)*(P57-O57-2))))</f>
        <v/>
      </c>
      <c r="BH57" s="24">
        <f>O57-BG57</f>
        <v/>
      </c>
      <c r="BI57" s="24">
        <f>IF(T57&lt;135,T57,T57-'DPI art.191'!$I$11)</f>
        <v/>
      </c>
      <c r="BJ57" s="111">
        <f>IF(O57&lt;80,"0",IF((P57-O57)&lt;=2,('DPI art.191'!$G$13-(('DPI art.191'!$F$13-'DPI art.191'!$G$13)/4)*(P57-O57-2)),('DPI art.191'!$G$13-(('DPI art.191'!$G$13-'DPI art.191'!$H$13)/8)*(P57-O57-2))))</f>
        <v/>
      </c>
      <c r="BK57" s="24">
        <f>O57-BJ57</f>
        <v/>
      </c>
      <c r="BL57" s="24">
        <f>IF(T57&lt;135,T57,T57-'DPI art.191'!$I$13)</f>
        <v/>
      </c>
      <c r="BM57" s="111">
        <f>IF(O57&lt;80,"0",IF((P57-O57)&lt;=2,('DPI art.191'!$G$15-(('DPI art.191'!$F$15-'DPI art.191'!$G$15)/4)*(P57-O57-2)),('DPI art.191'!$G$15-(('DPI art.191'!$G$15-'DPI art.191'!$H$15)/8)*(P57-O57-2))))</f>
        <v/>
      </c>
      <c r="BN57" s="24">
        <f>O57-BM57</f>
        <v/>
      </c>
      <c r="BO57" s="24">
        <f>IF(Z57&lt;135,Z57,Z57-'DPI art.191'!$I$15)</f>
        <v/>
      </c>
      <c r="BP57" s="108">
        <f>10^(0.1*R57)</f>
        <v/>
      </c>
      <c r="BQ57" s="108">
        <f>10^(0.1*X57)</f>
        <v/>
      </c>
      <c r="BR57" s="108">
        <f>10^(0.1*AB57)</f>
        <v/>
      </c>
      <c r="BS57" s="108">
        <f>10^(0.1*AF57)</f>
        <v/>
      </c>
      <c r="BT57" s="108">
        <f>10^(0.1*AJ57)</f>
        <v/>
      </c>
      <c r="BU57" s="108">
        <f>10^(0.1*AN57)</f>
        <v/>
      </c>
      <c r="BV57" s="106">
        <f>IF(R57&gt;0,(O57-R57),"")</f>
        <v/>
      </c>
      <c r="BW57" s="106">
        <f>IF(X57&gt;0,(O57-X57),"")</f>
        <v/>
      </c>
      <c r="BX57" s="106">
        <f>IF(AB57&gt;0,(O57-AB57),"")</f>
        <v/>
      </c>
      <c r="BY57" s="106">
        <f>IF(AF57&gt;0,(O57-AF57),"")</f>
        <v/>
      </c>
      <c r="BZ57" s="106">
        <f>IF(AJ57&gt;0,(O57-AJ57),"")</f>
        <v/>
      </c>
      <c r="CA57" s="106">
        <f>IF(AN57&gt;0,(O57-AN57),"")</f>
        <v/>
      </c>
      <c r="CB57" s="106">
        <f>COUNT(BV57:CA57)</f>
        <v/>
      </c>
      <c r="CC57" s="464">
        <f>IF(CB57=0,0,IF(CB57=1,0,1/(CB57*(CB57-1))))</f>
        <v/>
      </c>
      <c r="CD57" s="136">
        <f>IF(R57&gt;0,(BV57^2),"")</f>
        <v/>
      </c>
      <c r="CE57" s="136">
        <f>IF(X57&gt;0,(BW57^2),"")</f>
        <v/>
      </c>
      <c r="CF57" s="136">
        <f>IF(AB57&gt;0,(BX57^2),"")</f>
        <v/>
      </c>
      <c r="CG57" s="136">
        <f>IF(AF57&gt;0,(BY57^2),"")</f>
        <v/>
      </c>
      <c r="CH57" s="136">
        <f>IF(AJ57&gt;0,(BZ57^2),"")</f>
        <v/>
      </c>
      <c r="CI57" s="136">
        <f>IF(AN57&gt;0,(CA57^2),"")</f>
        <v/>
      </c>
    </row>
    <row r="58" ht="25.5" customHeight="1" s="444">
      <c r="A58" s="340" t="inlineStr">
        <is>
          <t>Gauado 1 - capannone B</t>
        </is>
      </c>
      <c r="B58" s="65" t="inlineStr">
        <is>
          <t>E14</t>
        </is>
      </c>
      <c r="C58" s="78" t="inlineStr">
        <is>
          <t>Montaggio - preparazione e movimentazione pezzi</t>
        </is>
      </c>
      <c r="D58" s="83" t="inlineStr">
        <is>
          <t>/</t>
        </is>
      </c>
      <c r="E58" s="83" t="inlineStr">
        <is>
          <t>/</t>
        </is>
      </c>
      <c r="F58" s="78" t="inlineStr">
        <is>
          <t>Montaggio - preparazione e movimentazione pezzi</t>
        </is>
      </c>
      <c r="G58" s="71" t="n">
        <v>46003</v>
      </c>
      <c r="H58" s="77" t="inlineStr">
        <is>
          <t>Compito</t>
        </is>
      </c>
      <c r="I58" s="77">
        <f>IF((V58-R58)&gt;3,"SI","")</f>
        <v/>
      </c>
      <c r="J58" s="77">
        <f>IF((U58-R58)&gt;3,"SI","")</f>
        <v/>
      </c>
      <c r="K58" s="77" t="n"/>
      <c r="L58" s="77" t="n"/>
      <c r="M58" s="137">
        <f>IF(R58&gt;0,(SQRT(CC58*(SUM(CD58:CI58)))),"")</f>
        <v/>
      </c>
      <c r="N58" s="4">
        <f>IF(T58&gt;0,(MAX(T58,Z58,AD58,AH58,AL58,AP58))+SQRT(1.2^2+1^2),"")</f>
        <v/>
      </c>
      <c r="O58" s="3">
        <f>IF(R58="",0,10*LOG10(SUM(BP58:BU58)/(COUNT(R58,X58,AB58,AF58,AJ58,AN58))))</f>
        <v/>
      </c>
      <c r="P58" s="5">
        <f>IF(AND(Y58="",AC58="",AG58="",AK58="",AO58=""),S58,AVERAGE(S58,Y58,AC58,AG58,AK58,AO58)+STDEV(S58,Y58,AC58,AG58,AK58,AO58))</f>
        <v/>
      </c>
      <c r="Q58" s="14" t="n">
        <v>300</v>
      </c>
      <c r="R58" s="11" t="n">
        <v>76.90000000000001</v>
      </c>
      <c r="S58" s="12" t="n">
        <v>79.8</v>
      </c>
      <c r="T58" s="13" t="n">
        <v>101.9</v>
      </c>
      <c r="U58" s="79" t="n">
        <v>77</v>
      </c>
      <c r="V58" s="79" t="n">
        <v>80.90000000000001</v>
      </c>
      <c r="W58" s="10" t="n">
        <v>300</v>
      </c>
      <c r="X58" s="11" t="n">
        <v>78.7</v>
      </c>
      <c r="Y58" s="12" t="n">
        <v>80.59999999999999</v>
      </c>
      <c r="Z58" s="13" t="n">
        <v>107.3</v>
      </c>
      <c r="AA58" s="10" t="n">
        <v>300</v>
      </c>
      <c r="AB58" s="11" t="n">
        <v>75.7</v>
      </c>
      <c r="AC58" s="12" t="n">
        <v>77.2</v>
      </c>
      <c r="AD58" s="13" t="n">
        <v>104.6</v>
      </c>
      <c r="AE58" s="14" t="n">
        <v>300</v>
      </c>
      <c r="AF58" s="11" t="n">
        <v>85.2</v>
      </c>
      <c r="AG58" s="12" t="n">
        <v>85.5</v>
      </c>
      <c r="AH58" s="13" t="n">
        <v>116.6</v>
      </c>
      <c r="AI58" s="10" t="n">
        <v>300</v>
      </c>
      <c r="AJ58" s="11" t="n">
        <v>86.8</v>
      </c>
      <c r="AK58" s="12" t="n">
        <v>86.2</v>
      </c>
      <c r="AL58" s="13" t="n">
        <v>121.3</v>
      </c>
      <c r="AM58" s="10" t="n">
        <v>300</v>
      </c>
      <c r="AN58" s="11" t="n">
        <v>85.5</v>
      </c>
      <c r="AO58" s="12" t="n">
        <v>84.8</v>
      </c>
      <c r="AP58" s="13" t="n">
        <v>109</v>
      </c>
      <c r="AQ58" s="6">
        <f>IF(AND((O58)&lt;85,N58&lt;137),"NO","SI")</f>
        <v/>
      </c>
      <c r="AR58" s="7">
        <f>IF((480*(10^(7.95-(O58/10))))&lt;480,480*(10^(7.95-(O58/10))),480)</f>
        <v/>
      </c>
      <c r="AS58" s="8">
        <f>IF((480*(10^(8.45-(O58/10))))&lt;480,480*(10^(8.45-(O58/10))),480)</f>
        <v/>
      </c>
      <c r="AT58" s="9">
        <f>IF((480*(10^(8.65-(O58/10))))&lt;480,480*(10^(8.65-(O58/10))),480)</f>
        <v/>
      </c>
      <c r="AU58" s="111">
        <f>IF(O58&lt;80,"0",IF((P58-O58)&lt;=2,('DPI art.191'!$G$3-(('DPI art.191'!$F$3-'DPI art.191'!$G$3)/4)*(P58-O58-2)),('DPI art.191'!$G$3-(('DPI art.191'!$G$3-'DPI art.191'!$H$3)/8)*(P58-O58-2))))</f>
        <v/>
      </c>
      <c r="AV58" s="24">
        <f>O58-AU58</f>
        <v/>
      </c>
      <c r="AW58" s="24">
        <f>IF(N58&lt;135,N58,N58-'DPI art.191'!$I$3)</f>
        <v/>
      </c>
      <c r="AX58" s="111">
        <f>IF(O58&lt;80,"0",IF((P58-O58)&lt;=2,('DPI art.191'!$G$5-(('DPI art.191'!$F$5-'DPI art.191'!$G$5)/4)*(P58-O58-2)),('DPI art.191'!$G$5-(('DPI art.191'!$G$5-'DPI art.191'!$H$5)/8)*(P58-O58-2))))</f>
        <v/>
      </c>
      <c r="AY58" s="24">
        <f>O58-AX58</f>
        <v/>
      </c>
      <c r="AZ58" s="24">
        <f>IF(N58&lt;135,N58,N58-'DPI art.191'!$I$5)</f>
        <v/>
      </c>
      <c r="BA58" s="111">
        <f>IF(O58&lt;80,"0",IF((P58-O58)&lt;=2,('DPI art.191'!$G$7-(('DPI art.191'!$F$7-'DPI art.191'!$G$7)/4)*(P58-O58-2)),('DPI art.191'!$G$7-(('DPI art.191'!$G$7-'DPI art.191'!$H$7)/8)*(P58-O58-2))))</f>
        <v/>
      </c>
      <c r="BB58" s="24">
        <f>O58-BA58</f>
        <v/>
      </c>
      <c r="BC58" s="24">
        <f>IF(N58&lt;135,N58,N58-'DPI art.191'!$I$7)</f>
        <v/>
      </c>
      <c r="BD58" s="111">
        <f>IF(O58&lt;80,"0",IF((P58-O58)&lt;=2,('DPI art.191'!$G$9-(('DPI art.191'!$F$9-'DPI art.191'!$G$9)/4)*(O58-P58-2)),('DPI art.191'!$G$9-(('DPI art.191'!$G$9-'DPI art.191'!$H$9)/8)*(P58-O58-2))))</f>
        <v/>
      </c>
      <c r="BE58" s="24">
        <f>O58-BD58</f>
        <v/>
      </c>
      <c r="BF58" s="24">
        <f>IF(N58&lt;135,N58,N58-'DPI art.191'!$I$9)</f>
        <v/>
      </c>
      <c r="BG58" s="111">
        <f>IF(O58&lt;80,"0",IF((P58-O58)&lt;=2,('DPI art.191'!$G$11-(('DPI art.191'!$F$11-'DPI art.191'!$G$11)/4)*(P58-O58-2)),('DPI art.191'!$G$11-(('DPI art.191'!$G$11-'DPI art.191'!$H$11)/8)*(P58-O58-2))))</f>
        <v/>
      </c>
      <c r="BH58" s="24">
        <f>O58-BG58</f>
        <v/>
      </c>
      <c r="BI58" s="24">
        <f>IF(T58&lt;135,T58,T58-'DPI art.191'!$I$11)</f>
        <v/>
      </c>
      <c r="BJ58" s="111">
        <f>IF(O58&lt;80,"0",IF((P58-O58)&lt;=2,('DPI art.191'!$G$13-(('DPI art.191'!$F$13-'DPI art.191'!$G$13)/4)*(P58-O58-2)),('DPI art.191'!$G$13-(('DPI art.191'!$G$13-'DPI art.191'!$H$13)/8)*(P58-O58-2))))</f>
        <v/>
      </c>
      <c r="BK58" s="24">
        <f>O58-BJ58</f>
        <v/>
      </c>
      <c r="BL58" s="24">
        <f>IF(T58&lt;135,T58,T58-'DPI art.191'!$I$13)</f>
        <v/>
      </c>
      <c r="BM58" s="111">
        <f>IF(O58&lt;80,"0",IF((P58-O58)&lt;=2,('DPI art.191'!$G$15-(('DPI art.191'!$F$15-'DPI art.191'!$G$15)/4)*(P58-O58-2)),('DPI art.191'!$G$15-(('DPI art.191'!$G$15-'DPI art.191'!$H$15)/8)*(P58-O58-2))))</f>
        <v/>
      </c>
      <c r="BN58" s="24">
        <f>O58-BM58</f>
        <v/>
      </c>
      <c r="BO58" s="24">
        <f>IF(Z58&lt;135,Z58,Z58-'DPI art.191'!$I$15)</f>
        <v/>
      </c>
      <c r="BP58" s="108">
        <f>10^(0.1*R58)</f>
        <v/>
      </c>
      <c r="BQ58" s="108">
        <f>10^(0.1*X58)</f>
        <v/>
      </c>
      <c r="BR58" s="108">
        <f>10^(0.1*AB58)</f>
        <v/>
      </c>
      <c r="BS58" s="108">
        <f>10^(0.1*AF58)</f>
        <v/>
      </c>
      <c r="BT58" s="108">
        <f>10^(0.1*AJ58)</f>
        <v/>
      </c>
      <c r="BU58" s="108">
        <f>10^(0.1*AN58)</f>
        <v/>
      </c>
      <c r="BV58" s="106">
        <f>IF(R58&gt;0,(O58-R58),"")</f>
        <v/>
      </c>
      <c r="BW58" s="106">
        <f>IF(X58&gt;0,(O58-X58),"")</f>
        <v/>
      </c>
      <c r="BX58" s="106">
        <f>IF(AB58&gt;0,(O58-AB58),"")</f>
        <v/>
      </c>
      <c r="BY58" s="106">
        <f>IF(AF58&gt;0,(O58-AF58),"")</f>
        <v/>
      </c>
      <c r="BZ58" s="106">
        <f>IF(AJ58&gt;0,(O58-AJ58),"")</f>
        <v/>
      </c>
      <c r="CA58" s="106">
        <f>IF(AN58&gt;0,(O58-AN58),"")</f>
        <v/>
      </c>
      <c r="CB58" s="106">
        <f>COUNT(BV58:CA58)</f>
        <v/>
      </c>
      <c r="CC58" s="464">
        <f>IF(CB58=0,0,IF(CB58=1,0,1/(CB58*(CB58-1))))</f>
        <v/>
      </c>
      <c r="CD58" s="136">
        <f>IF(R58&gt;0,(BV58^2),"")</f>
        <v/>
      </c>
      <c r="CE58" s="136">
        <f>IF(X58&gt;0,(BW58^2),"")</f>
        <v/>
      </c>
      <c r="CF58" s="136">
        <f>IF(AB58&gt;0,(BX58^2),"")</f>
        <v/>
      </c>
      <c r="CG58" s="136">
        <f>IF(AF58&gt;0,(BY58^2),"")</f>
        <v/>
      </c>
      <c r="CH58" s="136">
        <f>IF(AJ58&gt;0,(BZ58^2),"")</f>
        <v/>
      </c>
      <c r="CI58" s="136">
        <f>IF(AN58&gt;0,(CA58^2),"")</f>
        <v/>
      </c>
    </row>
    <row r="59" ht="25.5" customHeight="1" s="444">
      <c r="A59" s="340" t="inlineStr">
        <is>
          <t>E15</t>
        </is>
      </c>
      <c r="B59" s="65" t="inlineStr">
        <is>
          <t>E15</t>
        </is>
      </c>
      <c r="C59" s="78" t="inlineStr">
        <is>
          <t>Montaggio-smontaggio con avvitatore pneumatico</t>
        </is>
      </c>
      <c r="D59" s="83" t="inlineStr">
        <is>
          <t>/</t>
        </is>
      </c>
      <c r="E59" s="83" t="inlineStr">
        <is>
          <t>/</t>
        </is>
      </c>
      <c r="F59" s="78" t="inlineStr">
        <is>
          <t>Montaggio-smontaggio con avvitaore pneumatico</t>
        </is>
      </c>
      <c r="G59" s="71" t="n">
        <v>46003</v>
      </c>
      <c r="H59" s="77" t="inlineStr">
        <is>
          <t>Compito</t>
        </is>
      </c>
      <c r="I59" s="77">
        <f>IF((V59-R59)&gt;3,"SI","")</f>
        <v/>
      </c>
      <c r="J59" s="77">
        <f>IF((U59-R59)&gt;3,"SI","")</f>
        <v/>
      </c>
      <c r="K59" s="77" t="n"/>
      <c r="L59" s="77" t="n"/>
      <c r="M59" s="137">
        <f>IF(R59&gt;0,(SQRT(CC59*(SUM(CD59:CI59)))),"")</f>
        <v/>
      </c>
      <c r="N59" s="4">
        <f>IF(T59&gt;0,(MAX(T59,Z59,AD59,AH59,AL59,AP59))+SQRT(1.2^2+1^2),"")</f>
        <v/>
      </c>
      <c r="O59" s="3">
        <f>IF(R59="",0,10*LOG10(SUM(BP59:BU59)/(COUNT(R59,X59,AB59,AF59,AJ59,AN59))))</f>
        <v/>
      </c>
      <c r="P59" s="5">
        <f>IF(AND(Y59="",AC59="",AG59="",AK59="",AO59=""),S59,AVERAGE(S59,Y59,AC59,AG59,AK59,AO59)+STDEV(S59,Y59,AC59,AG59,AK59,AO59))</f>
        <v/>
      </c>
      <c r="Q59" s="14" t="n">
        <v>300</v>
      </c>
      <c r="R59" s="11" t="n">
        <v>94</v>
      </c>
      <c r="S59" s="12" t="n">
        <v>92.90000000000001</v>
      </c>
      <c r="T59" s="13" t="n">
        <v>126.6</v>
      </c>
      <c r="U59" s="79" t="n">
        <v>94</v>
      </c>
      <c r="V59" s="79" t="n">
        <v>101.4</v>
      </c>
      <c r="W59" s="10" t="n">
        <v>300</v>
      </c>
      <c r="X59" s="11" t="n">
        <v>92.3</v>
      </c>
      <c r="Y59" s="12" t="n">
        <v>91.09999999999999</v>
      </c>
      <c r="Z59" s="13" t="n">
        <v>121.4</v>
      </c>
      <c r="AA59" s="10" t="n">
        <v>300</v>
      </c>
      <c r="AB59" s="11" t="n">
        <v>89.5</v>
      </c>
      <c r="AC59" s="12" t="n">
        <v>88.40000000000001</v>
      </c>
      <c r="AD59" s="13" t="n">
        <v>119.8</v>
      </c>
      <c r="AE59" s="14" t="n">
        <v>300</v>
      </c>
      <c r="AF59" s="11" t="n">
        <v>94.3</v>
      </c>
      <c r="AG59" s="12" t="n">
        <v>93.3</v>
      </c>
      <c r="AH59" s="13" t="n">
        <v>127.2</v>
      </c>
      <c r="AI59" s="10" t="n">
        <v>300</v>
      </c>
      <c r="AJ59" s="11" t="n">
        <v>92.5</v>
      </c>
      <c r="AK59" s="12" t="n">
        <v>91.40000000000001</v>
      </c>
      <c r="AL59" s="13" t="n">
        <v>122.1</v>
      </c>
      <c r="AM59" s="10" t="n">
        <v>300</v>
      </c>
      <c r="AN59" s="11" t="n">
        <v>93.40000000000001</v>
      </c>
      <c r="AO59" s="12" t="n">
        <v>92.5</v>
      </c>
      <c r="AP59" s="13" t="n">
        <v>132.5</v>
      </c>
      <c r="AQ59" s="6">
        <f>IF(AND((O59)&lt;85,N59&lt;137),"NO","SI")</f>
        <v/>
      </c>
      <c r="AR59" s="7">
        <f>IF((480*(10^(7.95-(O59/10))))&lt;480,480*(10^(7.95-(O59/10))),480)</f>
        <v/>
      </c>
      <c r="AS59" s="8">
        <f>IF((480*(10^(8.45-(O59/10))))&lt;480,480*(10^(8.45-(O59/10))),480)</f>
        <v/>
      </c>
      <c r="AT59" s="9">
        <f>IF((480*(10^(8.65-(O59/10))))&lt;480,480*(10^(8.65-(O59/10))),480)</f>
        <v/>
      </c>
      <c r="AU59" s="111">
        <f>IF(O59&lt;80,"0",IF((P59-O59)&lt;=2,('DPI art.191'!$G$3-(('DPI art.191'!$F$3-'DPI art.191'!$G$3)/4)*(P59-O59-2)),('DPI art.191'!$G$3-(('DPI art.191'!$G$3-'DPI art.191'!$H$3)/8)*(P59-O59-2))))</f>
        <v/>
      </c>
      <c r="AV59" s="24">
        <f>O59-AU59</f>
        <v/>
      </c>
      <c r="AW59" s="24">
        <f>IF(N59&lt;135,N59,N59-'DPI art.191'!$I$3)</f>
        <v/>
      </c>
      <c r="AX59" s="111">
        <f>IF(O59&lt;80,"0",IF((P59-O59)&lt;=2,('DPI art.191'!$G$5-(('DPI art.191'!$F$5-'DPI art.191'!$G$5)/4)*(P59-O59-2)),('DPI art.191'!$G$5-(('DPI art.191'!$G$5-'DPI art.191'!$H$5)/8)*(P59-O59-2))))</f>
        <v/>
      </c>
      <c r="AY59" s="24">
        <f>O59-AX59</f>
        <v/>
      </c>
      <c r="AZ59" s="24">
        <f>IF(N59&lt;135,N59,N59-'DPI art.191'!$I$5)</f>
        <v/>
      </c>
      <c r="BA59" s="111">
        <f>IF(O59&lt;80,"0",IF((P59-O59)&lt;=2,('DPI art.191'!$G$7-(('DPI art.191'!$F$7-'DPI art.191'!$G$7)/4)*(P59-O59-2)),('DPI art.191'!$G$7-(('DPI art.191'!$G$7-'DPI art.191'!$H$7)/8)*(P59-O59-2))))</f>
        <v/>
      </c>
      <c r="BB59" s="24">
        <f>O59-BA59</f>
        <v/>
      </c>
      <c r="BC59" s="24">
        <f>IF(N59&lt;135,N59,N59-'DPI art.191'!$I$7)</f>
        <v/>
      </c>
      <c r="BD59" s="111">
        <f>IF(O59&lt;80,"0",IF((P59-O59)&lt;=2,('DPI art.191'!$G$9-(('DPI art.191'!$F$9-'DPI art.191'!$G$9)/4)*(O59-P59-2)),('DPI art.191'!$G$9-(('DPI art.191'!$G$9-'DPI art.191'!$H$9)/8)*(P59-O59-2))))</f>
        <v/>
      </c>
      <c r="BE59" s="24">
        <f>O59-BD59</f>
        <v/>
      </c>
      <c r="BF59" s="24">
        <f>IF(N59&lt;135,N59,N59-'DPI art.191'!$I$9)</f>
        <v/>
      </c>
      <c r="BG59" s="111">
        <f>IF(O59&lt;80,"0",IF((P59-O59)&lt;=2,('DPI art.191'!$G$11-(('DPI art.191'!$F$11-'DPI art.191'!$G$11)/4)*(P59-O59-2)),('DPI art.191'!$G$11-(('DPI art.191'!$G$11-'DPI art.191'!$H$11)/8)*(P59-O59-2))))</f>
        <v/>
      </c>
      <c r="BH59" s="24">
        <f>O59-BG59</f>
        <v/>
      </c>
      <c r="BI59" s="24">
        <f>IF(T59&lt;135,T59,T59-'DPI art.191'!$I$11)</f>
        <v/>
      </c>
      <c r="BJ59" s="111">
        <f>IF(O59&lt;80,"0",IF((P59-O59)&lt;=2,('DPI art.191'!$G$13-(('DPI art.191'!$F$13-'DPI art.191'!$G$13)/4)*(P59-O59-2)),('DPI art.191'!$G$13-(('DPI art.191'!$G$13-'DPI art.191'!$H$13)/8)*(P59-O59-2))))</f>
        <v/>
      </c>
      <c r="BK59" s="24">
        <f>O59-BJ59</f>
        <v/>
      </c>
      <c r="BL59" s="24">
        <f>IF(T59&lt;135,T59,T59-'DPI art.191'!$I$13)</f>
        <v/>
      </c>
      <c r="BM59" s="111">
        <f>IF(O59&lt;80,"0",IF((P59-O59)&lt;=2,('DPI art.191'!$G$15-(('DPI art.191'!$F$15-'DPI art.191'!$G$15)/4)*(P59-O59-2)),('DPI art.191'!$G$15-(('DPI art.191'!$G$15-'DPI art.191'!$H$15)/8)*(P59-O59-2))))</f>
        <v/>
      </c>
      <c r="BN59" s="24">
        <f>O59-BM59</f>
        <v/>
      </c>
      <c r="BO59" s="24">
        <f>IF(Z59&lt;135,Z59,Z59-'DPI art.191'!$I$15)</f>
        <v/>
      </c>
      <c r="BP59" s="108">
        <f>10^(0.1*R59)</f>
        <v/>
      </c>
      <c r="BQ59" s="108">
        <f>10^(0.1*X59)</f>
        <v/>
      </c>
      <c r="BR59" s="108">
        <f>10^(0.1*AB59)</f>
        <v/>
      </c>
      <c r="BS59" s="108">
        <f>10^(0.1*AF59)</f>
        <v/>
      </c>
      <c r="BT59" s="108">
        <f>10^(0.1*AJ59)</f>
        <v/>
      </c>
      <c r="BU59" s="108">
        <f>10^(0.1*AN59)</f>
        <v/>
      </c>
      <c r="BV59" s="106">
        <f>IF(R59&gt;0,(O59-R59),"")</f>
        <v/>
      </c>
      <c r="BW59" s="106">
        <f>IF(X59&gt;0,(O59-X59),"")</f>
        <v/>
      </c>
      <c r="BX59" s="106">
        <f>IF(AB59&gt;0,(O59-AB59),"")</f>
        <v/>
      </c>
      <c r="BY59" s="106">
        <f>IF(AF59&gt;0,(O59-AF59),"")</f>
        <v/>
      </c>
      <c r="BZ59" s="106">
        <f>IF(AJ59&gt;0,(O59-AJ59),"")</f>
        <v/>
      </c>
      <c r="CA59" s="106">
        <f>IF(AN59&gt;0,(O59-AN59),"")</f>
        <v/>
      </c>
      <c r="CB59" s="106">
        <f>COUNT(BV59:CA59)</f>
        <v/>
      </c>
      <c r="CC59" s="464">
        <f>IF(CB59=0,0,IF(CB59=1,0,1/(CB59*(CB59-1))))</f>
        <v/>
      </c>
      <c r="CD59" s="136">
        <f>IF(R59&gt;0,(BV59^2),"")</f>
        <v/>
      </c>
      <c r="CE59" s="136">
        <f>IF(X59&gt;0,(BW59^2),"")</f>
        <v/>
      </c>
      <c r="CF59" s="136">
        <f>IF(AB59&gt;0,(BX59^2),"")</f>
        <v/>
      </c>
      <c r="CG59" s="136">
        <f>IF(AF59&gt;0,(BY59^2),"")</f>
        <v/>
      </c>
      <c r="CH59" s="136">
        <f>IF(AJ59&gt;0,(BZ59^2),"")</f>
        <v/>
      </c>
      <c r="CI59" s="136">
        <f>IF(AN59&gt;0,(CA59^2),"")</f>
        <v/>
      </c>
    </row>
    <row r="60" ht="18.75" customHeight="1" s="444">
      <c r="A60" s="340" t="inlineStr">
        <is>
          <t>024/B/PRS747</t>
        </is>
      </c>
      <c r="B60" s="65" t="inlineStr">
        <is>
          <t>E16</t>
        </is>
      </c>
      <c r="C60" s="78" t="inlineStr">
        <is>
          <t>Saldatura</t>
        </is>
      </c>
      <c r="D60" s="83" t="inlineStr">
        <is>
          <t>/</t>
        </is>
      </c>
      <c r="E60" s="83" t="inlineStr">
        <is>
          <t>/</t>
        </is>
      </c>
      <c r="F60" s="192" t="inlineStr">
        <is>
          <t>Saldatura</t>
        </is>
      </c>
      <c r="G60" s="71" t="n">
        <v>46003</v>
      </c>
      <c r="H60" s="77" t="inlineStr">
        <is>
          <t>Compito</t>
        </is>
      </c>
      <c r="I60" s="77">
        <f>IF((V60-R60)&gt;3,"SI","")</f>
        <v/>
      </c>
      <c r="J60" s="77" t="inlineStr">
        <is>
          <t>SI</t>
        </is>
      </c>
      <c r="K60" s="77" t="n"/>
      <c r="L60" s="77" t="n"/>
      <c r="M60" s="137">
        <f>IF(R60&gt;0,(SQRT(CC60*(SUM(CD60:CI60)))),"")</f>
        <v/>
      </c>
      <c r="N60" s="4">
        <f>IF(T60&gt;0,(MAX(T60,Z60,AD60,AH60,AL60,AP60))+SQRT(1.2^2+1^2),"")</f>
        <v/>
      </c>
      <c r="O60" s="3">
        <f>IF(R60="",0,10*LOG10(SUM(BP60:BU60)/(COUNT(R60,X60,AB60,AF60,AJ60,AN60))))</f>
        <v/>
      </c>
      <c r="P60" s="5">
        <f>IF(AND(Y60="",AC60="",AG60="",AK60="",AO60=""),S60,AVERAGE(S60,Y60,AC60,AG60,AK60,AO60)+STDEV(S60,Y60,AC60,AG60,AK60,AO60))</f>
        <v/>
      </c>
      <c r="Q60" s="14" t="n">
        <v>300</v>
      </c>
      <c r="R60" s="11" t="n">
        <v>97.40000000000001</v>
      </c>
      <c r="S60" s="12" t="n">
        <v>95.8</v>
      </c>
      <c r="T60" s="13" t="n">
        <v>121.1</v>
      </c>
      <c r="U60" s="79" t="n">
        <v>97.2</v>
      </c>
      <c r="V60" s="79" t="n">
        <v>99.7</v>
      </c>
      <c r="W60" s="10" t="n">
        <v>300</v>
      </c>
      <c r="X60" s="11" t="n">
        <v>94.59999999999999</v>
      </c>
      <c r="Y60" s="12" t="n">
        <v>93.09999999999999</v>
      </c>
      <c r="Z60" s="13" t="n">
        <v>121.4</v>
      </c>
      <c r="AA60" s="10" t="n">
        <v>300</v>
      </c>
      <c r="AB60" s="11" t="n">
        <v>78.5</v>
      </c>
      <c r="AC60" s="12" t="n">
        <v>80.5</v>
      </c>
      <c r="AD60" s="13" t="n">
        <v>112.8</v>
      </c>
      <c r="AE60" s="14" t="n">
        <v>300</v>
      </c>
      <c r="AF60" s="11" t="n">
        <v>93.40000000000001</v>
      </c>
      <c r="AG60" s="12" t="n">
        <v>91.90000000000001</v>
      </c>
      <c r="AH60" s="13" t="n">
        <v>116.9</v>
      </c>
      <c r="AI60" s="10" t="n">
        <v>300</v>
      </c>
      <c r="AJ60" s="11" t="n">
        <v>90.90000000000001</v>
      </c>
      <c r="AK60" s="12" t="n">
        <v>89.7</v>
      </c>
      <c r="AL60" s="13" t="n">
        <v>113</v>
      </c>
      <c r="AM60" s="10" t="n">
        <v>300</v>
      </c>
      <c r="AN60" s="11" t="n">
        <v>85.3</v>
      </c>
      <c r="AO60" s="12" t="n">
        <v>85.09999999999999</v>
      </c>
      <c r="AP60" s="13" t="n">
        <v>118.2</v>
      </c>
      <c r="AQ60" s="6">
        <f>IF(AND((O60)&lt;85,N60&lt;137),"NO","SI")</f>
        <v/>
      </c>
      <c r="AR60" s="7">
        <f>IF((480*(10^(7.95-(O60/10))))&lt;480,480*(10^(7.95-(O60/10))),480)</f>
        <v/>
      </c>
      <c r="AS60" s="8">
        <f>IF((480*(10^(8.45-(O60/10))))&lt;480,480*(10^(8.45-(O60/10))),480)</f>
        <v/>
      </c>
      <c r="AT60" s="9">
        <f>IF((480*(10^(8.65-(O60/10))))&lt;480,480*(10^(8.65-(O60/10))),480)</f>
        <v/>
      </c>
      <c r="AU60" s="111">
        <f>IF(O60&lt;80,"0",IF((P60-O60)&lt;=2,('DPI art.191'!$G$3-(('DPI art.191'!$F$3-'DPI art.191'!$G$3)/4)*(P60-O60-2)),('DPI art.191'!$G$3-(('DPI art.191'!$G$3-'DPI art.191'!$H$3)/8)*(P60-O60-2))))</f>
        <v/>
      </c>
      <c r="AV60" s="24">
        <f>O60-AU60</f>
        <v/>
      </c>
      <c r="AW60" s="24">
        <f>IF(N60&lt;135,N60,N60-'DPI art.191'!$I$3)</f>
        <v/>
      </c>
      <c r="AX60" s="111">
        <f>IF(O60&lt;80,"0",IF((P60-O60)&lt;=2,('DPI art.191'!$G$5-(('DPI art.191'!$F$5-'DPI art.191'!$G$5)/4)*(P60-O60-2)),('DPI art.191'!$G$5-(('DPI art.191'!$G$5-'DPI art.191'!$H$5)/8)*(P60-O60-2))))</f>
        <v/>
      </c>
      <c r="AY60" s="24">
        <f>O60-AX60</f>
        <v/>
      </c>
      <c r="AZ60" s="24">
        <f>IF(N60&lt;135,N60,N60-'DPI art.191'!$I$5)</f>
        <v/>
      </c>
      <c r="BA60" s="111">
        <f>IF(O60&lt;80,"0",IF((P60-O60)&lt;=2,('DPI art.191'!$G$7-(('DPI art.191'!$F$7-'DPI art.191'!$G$7)/4)*(P60-O60-2)),('DPI art.191'!$G$7-(('DPI art.191'!$G$7-'DPI art.191'!$H$7)/8)*(P60-O60-2))))</f>
        <v/>
      </c>
      <c r="BB60" s="24">
        <f>O60-BA60</f>
        <v/>
      </c>
      <c r="BC60" s="24">
        <f>IF(N60&lt;135,N60,N60-'DPI art.191'!$I$7)</f>
        <v/>
      </c>
      <c r="BD60" s="111">
        <f>IF(O60&lt;80,"0",IF((P60-O60)&lt;=2,('DPI art.191'!$G$9-(('DPI art.191'!$F$9-'DPI art.191'!$G$9)/4)*(O60-P60-2)),('DPI art.191'!$G$9-(('DPI art.191'!$G$9-'DPI art.191'!$H$9)/8)*(P60-O60-2))))</f>
        <v/>
      </c>
      <c r="BE60" s="24">
        <f>O60-BD60</f>
        <v/>
      </c>
      <c r="BF60" s="24">
        <f>IF(N60&lt;135,N60,N60-'DPI art.191'!$I$9)</f>
        <v/>
      </c>
      <c r="BG60" s="111">
        <f>IF(O60&lt;80,"0",IF((P60-O60)&lt;=2,('DPI art.191'!$G$11-(('DPI art.191'!$F$11-'DPI art.191'!$G$11)/4)*(P60-O60-2)),('DPI art.191'!$G$11-(('DPI art.191'!$G$11-'DPI art.191'!$H$11)/8)*(P60-O60-2))))</f>
        <v/>
      </c>
      <c r="BH60" s="24">
        <f>O60-BG60</f>
        <v/>
      </c>
      <c r="BI60" s="24">
        <f>IF(T60&lt;135,T60,T60-'DPI art.191'!$I$11)</f>
        <v/>
      </c>
      <c r="BJ60" s="111">
        <f>IF(O60&lt;80,"0",IF((P60-O60)&lt;=2,('DPI art.191'!$G$13-(('DPI art.191'!$F$13-'DPI art.191'!$G$13)/4)*(P60-O60-2)),('DPI art.191'!$G$13-(('DPI art.191'!$G$13-'DPI art.191'!$H$13)/8)*(P60-O60-2))))</f>
        <v/>
      </c>
      <c r="BK60" s="24">
        <f>O60-BJ60</f>
        <v/>
      </c>
      <c r="BL60" s="24">
        <f>IF(T60&lt;135,T60,T60-'DPI art.191'!$I$13)</f>
        <v/>
      </c>
      <c r="BM60" s="111">
        <f>IF(O60&lt;80,"0",IF((P60-O60)&lt;=2,('DPI art.191'!$G$15-(('DPI art.191'!$F$15-'DPI art.191'!$G$15)/4)*(P60-O60-2)),('DPI art.191'!$G$15-(('DPI art.191'!$G$15-'DPI art.191'!$H$15)/8)*(P60-O60-2))))</f>
        <v/>
      </c>
      <c r="BN60" s="24">
        <f>O60-BM60</f>
        <v/>
      </c>
      <c r="BO60" s="24">
        <f>IF(Z60&lt;135,Z60,Z60-'DPI art.191'!$I$15)</f>
        <v/>
      </c>
      <c r="BP60" s="108">
        <f>10^(0.1*R60)</f>
        <v/>
      </c>
      <c r="BQ60" s="108">
        <f>10^(0.1*X60)</f>
        <v/>
      </c>
      <c r="BR60" s="108">
        <f>10^(0.1*AB60)</f>
        <v/>
      </c>
      <c r="BS60" s="108">
        <f>10^(0.1*AF60)</f>
        <v/>
      </c>
      <c r="BT60" s="108">
        <f>10^(0.1*AJ60)</f>
        <v/>
      </c>
      <c r="BU60" s="108">
        <f>10^(0.1*AN60)</f>
        <v/>
      </c>
      <c r="BV60" s="106">
        <f>IF(R60&gt;0,(O60-R60),"")</f>
        <v/>
      </c>
      <c r="BW60" s="106">
        <f>IF(X60&gt;0,(O60-X60),"")</f>
        <v/>
      </c>
      <c r="BX60" s="106">
        <f>IF(AB60&gt;0,(O60-AB60),"")</f>
        <v/>
      </c>
      <c r="BY60" s="106">
        <f>IF(AF60&gt;0,(O60-AF60),"")</f>
        <v/>
      </c>
      <c r="BZ60" s="106">
        <f>IF(AJ60&gt;0,(O60-AJ60),"")</f>
        <v/>
      </c>
      <c r="CA60" s="106">
        <f>IF(AN60&gt;0,(O60-AN60),"")</f>
        <v/>
      </c>
      <c r="CB60" s="106">
        <f>COUNT(BV60:CA60)</f>
        <v/>
      </c>
      <c r="CC60" s="464">
        <f>IF(CB60=0,0,IF(CB60=1,0,1/(CB60*(CB60-1))))</f>
        <v/>
      </c>
      <c r="CD60" s="136">
        <f>IF(R60&gt;0,(BV60^2),"")</f>
        <v/>
      </c>
      <c r="CE60" s="136">
        <f>IF(X60&gt;0,(BW60^2),"")</f>
        <v/>
      </c>
      <c r="CF60" s="136">
        <f>IF(AB60&gt;0,(BX60^2),"")</f>
        <v/>
      </c>
      <c r="CG60" s="136">
        <f>IF(AF60&gt;0,(BY60^2),"")</f>
        <v/>
      </c>
      <c r="CH60" s="136">
        <f>IF(AJ60&gt;0,(BZ60^2),"")</f>
        <v/>
      </c>
      <c r="CI60" s="136">
        <f>IF(AN60&gt;0,(CA60^2),"")</f>
        <v/>
      </c>
    </row>
    <row r="61" ht="25.5" customHeight="1" s="444">
      <c r="A61" s="340" t="inlineStr">
        <is>
          <t>Verniciatura</t>
        </is>
      </c>
      <c r="B61" s="65" t="inlineStr">
        <is>
          <t>E17</t>
        </is>
      </c>
      <c r="C61" s="78" t="inlineStr">
        <is>
          <t>Miscelazione per preparazione vernici</t>
        </is>
      </c>
      <c r="D61" s="83" t="inlineStr">
        <is>
          <t>/</t>
        </is>
      </c>
      <c r="E61" s="83" t="inlineStr">
        <is>
          <t>/</t>
        </is>
      </c>
      <c r="F61" s="78" t="inlineStr">
        <is>
          <t>Miscelazione per preparazione vernici</t>
        </is>
      </c>
      <c r="G61" s="71" t="n">
        <v>46003</v>
      </c>
      <c r="H61" s="77" t="inlineStr">
        <is>
          <t>Compito</t>
        </is>
      </c>
      <c r="I61" s="77">
        <f>IF((V61-R61)&gt;3,"SI","")</f>
        <v/>
      </c>
      <c r="J61" s="77" t="inlineStr">
        <is>
          <t>SI</t>
        </is>
      </c>
      <c r="K61" s="77" t="n"/>
      <c r="L61" s="77" t="n"/>
      <c r="M61" s="137">
        <f>IF(R61&gt;0,(SQRT(CC61*(SUM(CD61:CI61)))),"")</f>
        <v/>
      </c>
      <c r="N61" s="4">
        <f>IF(T61&gt;0,(MAX(T61,Z61,AD61,AH61,AL61,AP61))+SQRT(1.2^2+1^2),"")</f>
        <v/>
      </c>
      <c r="O61" s="3">
        <f>IF(R61="",0,10*LOG10(SUM(BP61:BU61)/(COUNT(R61,X61,AB61,AF61,AJ61,AN61))))</f>
        <v/>
      </c>
      <c r="P61" s="5">
        <f>IF(AND(Y61="",AC61="",AG61="",AK61="",AO61=""),S61,AVERAGE(S61,Y61,AC61,AG61,AK61,AO61)+STDEV(S61,Y61,AC61,AG61,AK61,AO61))</f>
        <v/>
      </c>
      <c r="Q61" s="14" t="n">
        <v>300</v>
      </c>
      <c r="R61" s="11" t="n">
        <v>77.3</v>
      </c>
      <c r="S61" s="12" t="n">
        <v>77.59999999999999</v>
      </c>
      <c r="T61" s="13" t="n">
        <v>96.09999999999999</v>
      </c>
      <c r="U61" s="79" t="n">
        <v>77.3</v>
      </c>
      <c r="V61" s="79" t="n">
        <v>80.09999999999999</v>
      </c>
      <c r="W61" s="10" t="n">
        <v>300</v>
      </c>
      <c r="X61" s="11" t="n">
        <v>79.7</v>
      </c>
      <c r="Y61" s="12" t="n">
        <v>79.7</v>
      </c>
      <c r="Z61" s="13" t="n">
        <v>97.3</v>
      </c>
      <c r="AA61" s="10" t="n">
        <v>300</v>
      </c>
      <c r="AB61" s="11" t="n">
        <v>80.3</v>
      </c>
      <c r="AC61" s="12" t="n">
        <v>80.09999999999999</v>
      </c>
      <c r="AD61" s="13" t="n">
        <v>97.2</v>
      </c>
      <c r="AE61" s="14" t="n">
        <v>300</v>
      </c>
      <c r="AF61" s="11" t="n">
        <v>77.09999999999999</v>
      </c>
      <c r="AG61" s="12" t="n">
        <v>78.5</v>
      </c>
      <c r="AH61" s="13" t="n">
        <v>105.5</v>
      </c>
      <c r="AI61" s="10" t="n">
        <v>300</v>
      </c>
      <c r="AJ61" s="11" t="n">
        <v>72.7</v>
      </c>
      <c r="AK61" s="12" t="n">
        <v>74.90000000000001</v>
      </c>
      <c r="AL61" s="13" t="n">
        <v>92.2</v>
      </c>
      <c r="AM61" s="10" t="n">
        <v>300</v>
      </c>
      <c r="AN61" s="11" t="n">
        <v>78</v>
      </c>
      <c r="AO61" s="12" t="n">
        <v>80</v>
      </c>
      <c r="AP61" s="13" t="n">
        <v>98.8</v>
      </c>
      <c r="AQ61" s="6">
        <f>IF(AND((O61)&lt;85,N61&lt;137),"NO","SI")</f>
        <v/>
      </c>
      <c r="AR61" s="7">
        <f>IF((480*(10^(7.95-(O61/10))))&lt;480,480*(10^(7.95-(O61/10))),480)</f>
        <v/>
      </c>
      <c r="AS61" s="8">
        <f>IF((480*(10^(8.45-(O61/10))))&lt;480,480*(10^(8.45-(O61/10))),480)</f>
        <v/>
      </c>
      <c r="AT61" s="9">
        <f>IF((480*(10^(8.65-(O61/10))))&lt;480,480*(10^(8.65-(O61/10))),480)</f>
        <v/>
      </c>
      <c r="AU61" s="111">
        <f>IF(O61&lt;80,"0",IF((P61-O61)&lt;=2,('DPI art.191'!$G$3-(('DPI art.191'!$F$3-'DPI art.191'!$G$3)/4)*(P61-O61-2)),('DPI art.191'!$G$3-(('DPI art.191'!$G$3-'DPI art.191'!$H$3)/8)*(P61-O61-2))))</f>
        <v/>
      </c>
      <c r="AV61" s="24">
        <f>O61-AU61</f>
        <v/>
      </c>
      <c r="AW61" s="24">
        <f>IF(N61&lt;135,N61,N61-'DPI art.191'!$I$3)</f>
        <v/>
      </c>
      <c r="AX61" s="111">
        <f>IF(O61&lt;80,"0",IF((P61-O61)&lt;=2,('DPI art.191'!$G$5-(('DPI art.191'!$F$5-'DPI art.191'!$G$5)/4)*(P61-O61-2)),('DPI art.191'!$G$5-(('DPI art.191'!$G$5-'DPI art.191'!$H$5)/8)*(P61-O61-2))))</f>
        <v/>
      </c>
      <c r="AY61" s="24">
        <f>O61-AX61</f>
        <v/>
      </c>
      <c r="AZ61" s="24">
        <f>IF(N61&lt;135,N61,N61-'DPI art.191'!$I$5)</f>
        <v/>
      </c>
      <c r="BA61" s="111">
        <f>IF(O61&lt;80,"0",IF((P61-O61)&lt;=2,('DPI art.191'!$G$7-(('DPI art.191'!$F$7-'DPI art.191'!$G$7)/4)*(P61-O61-2)),('DPI art.191'!$G$7-(('DPI art.191'!$G$7-'DPI art.191'!$H$7)/8)*(P61-O61-2))))</f>
        <v/>
      </c>
      <c r="BB61" s="24">
        <f>O61-BA61</f>
        <v/>
      </c>
      <c r="BC61" s="24">
        <f>IF(N61&lt;135,N61,N61-'DPI art.191'!$I$7)</f>
        <v/>
      </c>
      <c r="BD61" s="111">
        <f>IF(O61&lt;80,"0",IF((P61-O61)&lt;=2,('DPI art.191'!$G$9-(('DPI art.191'!$F$9-'DPI art.191'!$G$9)/4)*(O61-P61-2)),('DPI art.191'!$G$9-(('DPI art.191'!$G$9-'DPI art.191'!$H$9)/8)*(P61-O61-2))))</f>
        <v/>
      </c>
      <c r="BE61" s="24">
        <f>O61-BD61</f>
        <v/>
      </c>
      <c r="BF61" s="24">
        <f>IF(N61&lt;135,N61,N61-'DPI art.191'!$I$9)</f>
        <v/>
      </c>
      <c r="BG61" s="111">
        <f>IF(O61&lt;80,"0",IF((P61-O61)&lt;=2,('DPI art.191'!$G$11-(('DPI art.191'!$F$11-'DPI art.191'!$G$11)/4)*(P61-O61-2)),('DPI art.191'!$G$11-(('DPI art.191'!$G$11-'DPI art.191'!$H$11)/8)*(P61-O61-2))))</f>
        <v/>
      </c>
      <c r="BH61" s="24">
        <f>O61-BG61</f>
        <v/>
      </c>
      <c r="BI61" s="24">
        <f>IF(T61&lt;135,T61,T61-'DPI art.191'!$I$11)</f>
        <v/>
      </c>
      <c r="BJ61" s="111">
        <f>IF(O61&lt;80,"0",IF((P61-O61)&lt;=2,('DPI art.191'!$G$13-(('DPI art.191'!$F$13-'DPI art.191'!$G$13)/4)*(P61-O61-2)),('DPI art.191'!$G$13-(('DPI art.191'!$G$13-'DPI art.191'!$H$13)/8)*(P61-O61-2))))</f>
        <v/>
      </c>
      <c r="BK61" s="24">
        <f>O61-BJ61</f>
        <v/>
      </c>
      <c r="BL61" s="24">
        <f>IF(T61&lt;135,T61,T61-'DPI art.191'!$I$13)</f>
        <v/>
      </c>
      <c r="BM61" s="111">
        <f>IF(O61&lt;80,"0",IF((P61-O61)&lt;=2,('DPI art.191'!$G$15-(('DPI art.191'!$F$15-'DPI art.191'!$G$15)/4)*(P61-O61-2)),('DPI art.191'!$G$15-(('DPI art.191'!$G$15-'DPI art.191'!$H$15)/8)*(P61-O61-2))))</f>
        <v/>
      </c>
      <c r="BN61" s="24">
        <f>O61-BM61</f>
        <v/>
      </c>
      <c r="BO61" s="24">
        <f>IF(Z61&lt;135,Z61,Z61-'DPI art.191'!$I$15)</f>
        <v/>
      </c>
      <c r="BP61" s="108">
        <f>10^(0.1*R61)</f>
        <v/>
      </c>
      <c r="BQ61" s="108">
        <f>10^(0.1*X61)</f>
        <v/>
      </c>
      <c r="BR61" s="108">
        <f>10^(0.1*AB61)</f>
        <v/>
      </c>
      <c r="BS61" s="108">
        <f>10^(0.1*AF61)</f>
        <v/>
      </c>
      <c r="BT61" s="108">
        <f>10^(0.1*AJ61)</f>
        <v/>
      </c>
      <c r="BU61" s="108">
        <f>10^(0.1*AN61)</f>
        <v/>
      </c>
      <c r="BV61" s="106">
        <f>IF(R61&gt;0,(O61-R61),"")</f>
        <v/>
      </c>
      <c r="BW61" s="106">
        <f>IF(X61&gt;0,(O61-X61),"")</f>
        <v/>
      </c>
      <c r="BX61" s="106">
        <f>IF(AB61&gt;0,(O61-AB61),"")</f>
        <v/>
      </c>
      <c r="BY61" s="106">
        <f>IF(AF61&gt;0,(O61-AF61),"")</f>
        <v/>
      </c>
      <c r="BZ61" s="106">
        <f>IF(AJ61&gt;0,(O61-AJ61),"")</f>
        <v/>
      </c>
      <c r="CA61" s="106">
        <f>IF(AN61&gt;0,(O61-AN61),"")</f>
        <v/>
      </c>
      <c r="CB61" s="106">
        <f>COUNT(BV61:CA61)</f>
        <v/>
      </c>
      <c r="CC61" s="464">
        <f>IF(CB61=0,0,IF(CB61=1,0,1/(CB61*(CB61-1))))</f>
        <v/>
      </c>
      <c r="CD61" s="136">
        <f>IF(R61&gt;0,(BV61^2),"")</f>
        <v/>
      </c>
      <c r="CE61" s="136">
        <f>IF(X61&gt;0,(BW61^2),"")</f>
        <v/>
      </c>
      <c r="CF61" s="136">
        <f>IF(AB61&gt;0,(BX61^2),"")</f>
        <v/>
      </c>
      <c r="CG61" s="136">
        <f>IF(AF61&gt;0,(BY61^2),"")</f>
        <v/>
      </c>
      <c r="CH61" s="136">
        <f>IF(AJ61&gt;0,(BZ61^2),"")</f>
        <v/>
      </c>
      <c r="CI61" s="136">
        <f>IF(AN61&gt;0,(CA61^2),"")</f>
        <v/>
      </c>
    </row>
    <row r="62" ht="38.25" customHeight="1" s="444">
      <c r="A62" s="340" t="inlineStr">
        <is>
          <t>E18</t>
        </is>
      </c>
      <c r="B62" s="65" t="inlineStr">
        <is>
          <t>E18</t>
        </is>
      </c>
      <c r="C62" s="78" t="inlineStr">
        <is>
          <t>Attività di supporto fasi di movimentazione in box piazzale esterno</t>
        </is>
      </c>
      <c r="D62" s="83" t="inlineStr">
        <is>
          <t>/</t>
        </is>
      </c>
      <c r="E62" s="83" t="inlineStr">
        <is>
          <t>/</t>
        </is>
      </c>
      <c r="F62" s="78" t="inlineStr">
        <is>
          <t>Attività di supporto fasi di movimentazione in box piazzale esterno</t>
        </is>
      </c>
      <c r="G62" s="71" t="n">
        <v>46003</v>
      </c>
      <c r="H62" s="77" t="inlineStr">
        <is>
          <t>Compito</t>
        </is>
      </c>
      <c r="I62" s="77">
        <f>IF((V62-R62)&gt;3,"SI","")</f>
        <v/>
      </c>
      <c r="J62" s="77">
        <f>IF((U62-R62)&gt;3,"SI","")</f>
        <v/>
      </c>
      <c r="K62" s="77" t="n"/>
      <c r="L62" s="77" t="n"/>
      <c r="M62" s="137">
        <f>IF(R62&gt;0,(SQRT(CC62*(SUM(CD62:CI62)))),"")</f>
        <v/>
      </c>
      <c r="N62" s="4">
        <f>IF(T62&gt;0,(MAX(T62,Z62,AD62,AH62,AL62,AP62))+SQRT(1.2^2+1^2),"")</f>
        <v/>
      </c>
      <c r="O62" s="3">
        <f>IF(R62="",0,10*LOG10(SUM(BP62:BU62)/(COUNT(R62,X62,AB62,AF62,AJ62,AN62))))</f>
        <v/>
      </c>
      <c r="P62" s="5">
        <f>IF(AND(Y62="",AC62="",AG62="",AK62="",AO62=""),S62,AVERAGE(S62,Y62,AC62,AG62,AK62,AO62)+STDEV(S62,Y62,AC62,AG62,AK62,AO62))</f>
        <v/>
      </c>
      <c r="Q62" s="14" t="n">
        <v>300</v>
      </c>
      <c r="R62" s="11" t="n">
        <v>62</v>
      </c>
      <c r="S62" s="12" t="n">
        <v>72.2</v>
      </c>
      <c r="T62" s="13" t="n">
        <v>107.9</v>
      </c>
      <c r="U62" s="79" t="n">
        <v>62</v>
      </c>
      <c r="V62" s="79" t="n">
        <v>71.3</v>
      </c>
      <c r="W62" s="10" t="n">
        <v>300</v>
      </c>
      <c r="X62" s="11" t="n">
        <v>62.8</v>
      </c>
      <c r="Y62" s="12" t="n">
        <v>78.09999999999999</v>
      </c>
      <c r="Z62" s="13" t="n">
        <v>110.6</v>
      </c>
      <c r="AA62" s="10" t="n">
        <v>300</v>
      </c>
      <c r="AB62" s="11" t="n">
        <v>61.1</v>
      </c>
      <c r="AC62" s="12" t="n">
        <v>73.09999999999999</v>
      </c>
      <c r="AD62" s="13" t="n">
        <v>106.9</v>
      </c>
      <c r="AE62" s="14" t="n">
        <v>300</v>
      </c>
      <c r="AF62" s="11" t="n">
        <v>65.09999999999999</v>
      </c>
      <c r="AG62" s="12" t="n">
        <v>74.8</v>
      </c>
      <c r="AH62" s="13" t="n">
        <v>108.7</v>
      </c>
      <c r="AI62" s="10" t="n">
        <v>300</v>
      </c>
      <c r="AJ62" s="11" t="n">
        <v>59.6</v>
      </c>
      <c r="AK62" s="12" t="n">
        <v>72.7</v>
      </c>
      <c r="AL62" s="13" t="n">
        <v>108.6</v>
      </c>
      <c r="AM62" s="10" t="n">
        <v>300</v>
      </c>
      <c r="AN62" s="11" t="n">
        <v>57.8</v>
      </c>
      <c r="AO62" s="12" t="n">
        <v>73.2</v>
      </c>
      <c r="AP62" s="13" t="n">
        <v>103.3</v>
      </c>
      <c r="AQ62" s="6">
        <f>IF(AND((O62)&lt;85,N62&lt;137),"NO","SI")</f>
        <v/>
      </c>
      <c r="AR62" s="7">
        <f>IF((480*(10^(7.95-(O62/10))))&lt;480,480*(10^(7.95-(O62/10))),480)</f>
        <v/>
      </c>
      <c r="AS62" s="8">
        <f>IF((480*(10^(8.45-(O62/10))))&lt;480,480*(10^(8.45-(O62/10))),480)</f>
        <v/>
      </c>
      <c r="AT62" s="9">
        <f>IF((480*(10^(8.65-(O62/10))))&lt;480,480*(10^(8.65-(O62/10))),480)</f>
        <v/>
      </c>
      <c r="AU62" s="111">
        <f>IF(O62&lt;80,"0",IF((P62-O62)&lt;=2,('DPI art.191'!$G$3-(('DPI art.191'!$F$3-'DPI art.191'!$G$3)/4)*(P62-O62-2)),('DPI art.191'!$G$3-(('DPI art.191'!$G$3-'DPI art.191'!$H$3)/8)*(P62-O62-2))))</f>
        <v/>
      </c>
      <c r="AV62" s="24">
        <f>O62-AU62</f>
        <v/>
      </c>
      <c r="AW62" s="24">
        <f>IF(N62&lt;135,N62,N62-'DPI art.191'!$I$3)</f>
        <v/>
      </c>
      <c r="AX62" s="111">
        <f>IF(O62&lt;80,"0",IF((P62-O62)&lt;=2,('DPI art.191'!$G$5-(('DPI art.191'!$F$5-'DPI art.191'!$G$5)/4)*(P62-O62-2)),('DPI art.191'!$G$5-(('DPI art.191'!$G$5-'DPI art.191'!$H$5)/8)*(P62-O62-2))))</f>
        <v/>
      </c>
      <c r="AY62" s="24">
        <f>O62-AX62</f>
        <v/>
      </c>
      <c r="AZ62" s="24">
        <f>IF(N62&lt;135,N62,N62-'DPI art.191'!$I$5)</f>
        <v/>
      </c>
      <c r="BA62" s="111">
        <f>IF(O62&lt;80,"0",IF((P62-O62)&lt;=2,('DPI art.191'!$G$7-(('DPI art.191'!$F$7-'DPI art.191'!$G$7)/4)*(P62-O62-2)),('DPI art.191'!$G$7-(('DPI art.191'!$G$7-'DPI art.191'!$H$7)/8)*(P62-O62-2))))</f>
        <v/>
      </c>
      <c r="BB62" s="24">
        <f>O62-BA62</f>
        <v/>
      </c>
      <c r="BC62" s="24">
        <f>IF(N62&lt;135,N62,N62-'DPI art.191'!$I$7)</f>
        <v/>
      </c>
      <c r="BD62" s="111">
        <f>IF(O62&lt;80,"0",IF((P62-O62)&lt;=2,('DPI art.191'!$G$9-(('DPI art.191'!$F$9-'DPI art.191'!$G$9)/4)*(O62-P62-2)),('DPI art.191'!$G$9-(('DPI art.191'!$G$9-'DPI art.191'!$H$9)/8)*(P62-O62-2))))</f>
        <v/>
      </c>
      <c r="BE62" s="24">
        <f>O62-BD62</f>
        <v/>
      </c>
      <c r="BF62" s="24">
        <f>IF(N62&lt;135,N62,N62-'DPI art.191'!$I$9)</f>
        <v/>
      </c>
      <c r="BG62" s="111">
        <f>IF(O62&lt;80,"0",IF((P62-O62)&lt;=2,('DPI art.191'!$G$11-(('DPI art.191'!$F$11-'DPI art.191'!$G$11)/4)*(P62-O62-2)),('DPI art.191'!$G$11-(('DPI art.191'!$G$11-'DPI art.191'!$H$11)/8)*(P62-O62-2))))</f>
        <v/>
      </c>
      <c r="BH62" s="24">
        <f>O62-BG62</f>
        <v/>
      </c>
      <c r="BI62" s="24">
        <f>IF(T62&lt;135,T62,T62-'DPI art.191'!$I$11)</f>
        <v/>
      </c>
      <c r="BJ62" s="111">
        <f>IF(O62&lt;80,"0",IF((P62-O62)&lt;=2,('DPI art.191'!$G$13-(('DPI art.191'!$F$13-'DPI art.191'!$G$13)/4)*(P62-O62-2)),('DPI art.191'!$G$13-(('DPI art.191'!$G$13-'DPI art.191'!$H$13)/8)*(P62-O62-2))))</f>
        <v/>
      </c>
      <c r="BK62" s="24">
        <f>O62-BJ62</f>
        <v/>
      </c>
      <c r="BL62" s="24">
        <f>IF(T62&lt;135,T62,T62-'DPI art.191'!$I$13)</f>
        <v/>
      </c>
      <c r="BM62" s="111">
        <f>IF(O62&lt;80,"0",IF((P62-O62)&lt;=2,('DPI art.191'!$G$15-(('DPI art.191'!$F$15-'DPI art.191'!$G$15)/4)*(P62-O62-2)),('DPI art.191'!$G$15-(('DPI art.191'!$G$15-'DPI art.191'!$H$15)/8)*(P62-O62-2))))</f>
        <v/>
      </c>
      <c r="BN62" s="24">
        <f>O62-BM62</f>
        <v/>
      </c>
      <c r="BO62" s="24">
        <f>IF(Z62&lt;135,Z62,Z62-'DPI art.191'!$I$15)</f>
        <v/>
      </c>
      <c r="BP62" s="108">
        <f>10^(0.1*R62)</f>
        <v/>
      </c>
      <c r="BQ62" s="108">
        <f>10^(0.1*X62)</f>
        <v/>
      </c>
      <c r="BR62" s="108">
        <f>10^(0.1*AB62)</f>
        <v/>
      </c>
      <c r="BS62" s="108">
        <f>10^(0.1*AF62)</f>
        <v/>
      </c>
      <c r="BT62" s="108">
        <f>10^(0.1*AJ62)</f>
        <v/>
      </c>
      <c r="BU62" s="108">
        <f>10^(0.1*AN62)</f>
        <v/>
      </c>
      <c r="BV62" s="106">
        <f>IF(R62&gt;0,(O62-R62),"")</f>
        <v/>
      </c>
      <c r="BW62" s="106">
        <f>IF(X62&gt;0,(O62-X62),"")</f>
        <v/>
      </c>
      <c r="BX62" s="106">
        <f>IF(AB62&gt;0,(O62-AB62),"")</f>
        <v/>
      </c>
      <c r="BY62" s="106">
        <f>IF(AF62&gt;0,(O62-AF62),"")</f>
        <v/>
      </c>
      <c r="BZ62" s="106">
        <f>IF(AJ62&gt;0,(O62-AJ62),"")</f>
        <v/>
      </c>
      <c r="CA62" s="106">
        <f>IF(AN62&gt;0,(O62-AN62),"")</f>
        <v/>
      </c>
      <c r="CB62" s="106">
        <f>COUNT(BV62:CA62)</f>
        <v/>
      </c>
      <c r="CC62" s="464">
        <f>IF(CB62=0,0,IF(CB62=1,0,1/(CB62*(CB62-1))))</f>
        <v/>
      </c>
      <c r="CD62" s="136">
        <f>IF(R62&gt;0,(BV62^2),"")</f>
        <v/>
      </c>
      <c r="CE62" s="136">
        <f>IF(X62&gt;0,(BW62^2),"")</f>
        <v/>
      </c>
      <c r="CF62" s="136">
        <f>IF(AB62&gt;0,(BX62^2),"")</f>
        <v/>
      </c>
      <c r="CG62" s="136">
        <f>IF(AF62&gt;0,(BY62^2),"")</f>
        <v/>
      </c>
      <c r="CH62" s="136">
        <f>IF(AJ62&gt;0,(BZ62^2),"")</f>
        <v/>
      </c>
      <c r="CI62" s="136">
        <f>IF(AN62&gt;0,(CA62^2),"")</f>
        <v/>
      </c>
    </row>
    <row r="63" ht="18.75" customHeight="1" s="444">
      <c r="A63" s="340" t="inlineStr">
        <is>
          <t>273/09</t>
        </is>
      </c>
      <c r="B63" s="65" t="inlineStr">
        <is>
          <t>F1</t>
        </is>
      </c>
      <c r="C63" s="78" t="inlineStr">
        <is>
          <t>Taglio con sega a nastro</t>
        </is>
      </c>
      <c r="D63" s="83" t="inlineStr">
        <is>
          <t>/</t>
        </is>
      </c>
      <c r="E63" s="83" t="inlineStr">
        <is>
          <t>/</t>
        </is>
      </c>
      <c r="F63" s="192" t="inlineStr">
        <is>
          <t>Taglio con sega a nastro</t>
        </is>
      </c>
      <c r="G63" s="71" t="n">
        <v>45996</v>
      </c>
      <c r="H63" s="77" t="inlineStr">
        <is>
          <t>Compito</t>
        </is>
      </c>
      <c r="I63" s="77">
        <f>IF((V63-R63)&gt;3,"SI","")</f>
        <v/>
      </c>
      <c r="J63" s="77" t="inlineStr">
        <is>
          <t>SI</t>
        </is>
      </c>
      <c r="K63" s="77" t="n"/>
      <c r="L63" s="77" t="n"/>
      <c r="M63" s="137">
        <f>IF(R63&gt;0,(SQRT(CC63*(SUM(CD63:CI63)))),"")</f>
        <v/>
      </c>
      <c r="N63" s="4">
        <f>IF(T63&gt;0,(MAX(T63,Z63,AD63,AH63,AL63,AP63))+SQRT(1.2^2+1^2),"")</f>
        <v/>
      </c>
      <c r="O63" s="3">
        <f>IF(R63="",0,10*LOG10(SUM(BP63:BU63)/(COUNT(R63,X63,AB63,AF63,AJ63,AN63))))</f>
        <v/>
      </c>
      <c r="P63" s="5">
        <f>IF(AND(Y63="",AC63="",AG63="",AK63="",AO63=""),S63,AVERAGE(S63,Y63,AC63,AG63,AK63,AO63)+STDEV(S63,Y63,AC63,AG63,AK63,AO63))</f>
        <v/>
      </c>
      <c r="Q63" s="14" t="n">
        <v>300</v>
      </c>
      <c r="R63" s="11" t="n">
        <v>86.59999999999999</v>
      </c>
      <c r="S63" s="12" t="n">
        <v>86.2</v>
      </c>
      <c r="T63" s="13" t="n">
        <v>103.7</v>
      </c>
      <c r="U63" s="79" t="n">
        <v>86.59999999999999</v>
      </c>
      <c r="V63" s="79" t="n">
        <v>89.09999999999999</v>
      </c>
      <c r="W63" s="10" t="n">
        <v>300</v>
      </c>
      <c r="X63" s="11" t="n">
        <v>87</v>
      </c>
      <c r="Y63" s="12" t="n">
        <v>86.5</v>
      </c>
      <c r="Z63" s="13" t="n">
        <v>103.1</v>
      </c>
      <c r="AA63" s="10" t="n">
        <v>300</v>
      </c>
      <c r="AB63" s="11" t="n">
        <v>86.8</v>
      </c>
      <c r="AC63" s="12" t="n">
        <v>86.2</v>
      </c>
      <c r="AD63" s="13" t="n">
        <v>111.1</v>
      </c>
      <c r="AE63" s="14" t="n">
        <v>300</v>
      </c>
      <c r="AF63" s="11" t="n">
        <v>86.59999999999999</v>
      </c>
      <c r="AG63" s="12" t="n">
        <v>86.2</v>
      </c>
      <c r="AH63" s="13" t="n">
        <v>111.1</v>
      </c>
      <c r="AI63" s="10" t="n">
        <v>300</v>
      </c>
      <c r="AJ63" s="11" t="n">
        <v>86.8</v>
      </c>
      <c r="AK63" s="12" t="n">
        <v>86.09999999999999</v>
      </c>
      <c r="AL63" s="13" t="n">
        <v>111.1</v>
      </c>
      <c r="AM63" s="10" t="n">
        <v>300</v>
      </c>
      <c r="AN63" s="11" t="n">
        <v>75.90000000000001</v>
      </c>
      <c r="AO63" s="12" t="n">
        <v>77.7</v>
      </c>
      <c r="AP63" s="13" t="n">
        <v>97.7</v>
      </c>
      <c r="AQ63" s="6">
        <f>IF(AND((O63)&lt;85,N63&lt;137),"NO","SI")</f>
        <v/>
      </c>
      <c r="AR63" s="7">
        <f>IF((480*(10^(7.95-(O63/10))))&lt;480,480*(10^(7.95-(O63/10))),480)</f>
        <v/>
      </c>
      <c r="AS63" s="8">
        <f>IF((480*(10^(8.45-(O63/10))))&lt;480,480*(10^(8.45-(O63/10))),480)</f>
        <v/>
      </c>
      <c r="AT63" s="9">
        <f>IF((480*(10^(8.65-(O63/10))))&lt;480,480*(10^(8.65-(O63/10))),480)</f>
        <v/>
      </c>
      <c r="AU63" s="111">
        <f>IF(O63&lt;80,"0",IF((P63-O63)&lt;=2,('DPI art.191'!$G$3-(('DPI art.191'!$F$3-'DPI art.191'!$G$3)/4)*(P63-O63-2)),('DPI art.191'!$G$3-(('DPI art.191'!$G$3-'DPI art.191'!$H$3)/8)*(P63-O63-2))))</f>
        <v/>
      </c>
      <c r="AV63" s="24">
        <f>O63-AU63</f>
        <v/>
      </c>
      <c r="AW63" s="24">
        <f>IF(N63&lt;135,N63,N63-'DPI art.191'!$I$3)</f>
        <v/>
      </c>
      <c r="AX63" s="111">
        <f>IF(O63&lt;80,"0",IF((P63-O63)&lt;=2,('DPI art.191'!$G$5-(('DPI art.191'!$F$5-'DPI art.191'!$G$5)/4)*(P63-O63-2)),('DPI art.191'!$G$5-(('DPI art.191'!$G$5-'DPI art.191'!$H$5)/8)*(P63-O63-2))))</f>
        <v/>
      </c>
      <c r="AY63" s="24">
        <f>O63-AX63</f>
        <v/>
      </c>
      <c r="AZ63" s="24">
        <f>IF(N63&lt;135,N63,N63-'DPI art.191'!$I$5)</f>
        <v/>
      </c>
      <c r="BA63" s="111">
        <f>IF(O63&lt;80,"0",IF((P63-O63)&lt;=2,('DPI art.191'!$G$7-(('DPI art.191'!$F$7-'DPI art.191'!$G$7)/4)*(P63-O63-2)),('DPI art.191'!$G$7-(('DPI art.191'!$G$7-'DPI art.191'!$H$7)/8)*(P63-O63-2))))</f>
        <v/>
      </c>
      <c r="BB63" s="24">
        <f>O63-BA63</f>
        <v/>
      </c>
      <c r="BC63" s="24">
        <f>IF(N63&lt;135,N63,N63-'DPI art.191'!$I$7)</f>
        <v/>
      </c>
      <c r="BD63" s="111">
        <f>IF(O63&lt;80,"0",IF((P63-O63)&lt;=2,('DPI art.191'!$G$9-(('DPI art.191'!$F$9-'DPI art.191'!$G$9)/4)*(O63-P63-2)),('DPI art.191'!$G$9-(('DPI art.191'!$G$9-'DPI art.191'!$H$9)/8)*(P63-O63-2))))</f>
        <v/>
      </c>
      <c r="BE63" s="24">
        <f>O63-BD63</f>
        <v/>
      </c>
      <c r="BF63" s="24">
        <f>IF(N63&lt;135,N63,N63-'DPI art.191'!$I$9)</f>
        <v/>
      </c>
      <c r="BG63" s="111">
        <f>IF(O63&lt;80,"0",IF((P63-O63)&lt;=2,('DPI art.191'!$G$11-(('DPI art.191'!$F$11-'DPI art.191'!$G$11)/4)*(P63-O63-2)),('DPI art.191'!$G$11-(('DPI art.191'!$G$11-'DPI art.191'!$H$11)/8)*(P63-O63-2))))</f>
        <v/>
      </c>
      <c r="BH63" s="24">
        <f>O63-BG63</f>
        <v/>
      </c>
      <c r="BI63" s="24">
        <f>IF(T63&lt;135,T63,T63-'DPI art.191'!$I$11)</f>
        <v/>
      </c>
      <c r="BJ63" s="111">
        <f>IF(O63&lt;80,"0",IF((P63-O63)&lt;=2,('DPI art.191'!$G$13-(('DPI art.191'!$F$13-'DPI art.191'!$G$13)/4)*(P63-O63-2)),('DPI art.191'!$G$13-(('DPI art.191'!$G$13-'DPI art.191'!$H$13)/8)*(P63-O63-2))))</f>
        <v/>
      </c>
      <c r="BK63" s="24">
        <f>O63-BJ63</f>
        <v/>
      </c>
      <c r="BL63" s="24">
        <f>IF(T63&lt;135,T63,T63-'DPI art.191'!$I$13)</f>
        <v/>
      </c>
      <c r="BM63" s="111">
        <f>IF(O63&lt;80,"0",IF((P63-O63)&lt;=2,('DPI art.191'!$G$15-(('DPI art.191'!$F$15-'DPI art.191'!$G$15)/4)*(P63-O63-2)),('DPI art.191'!$G$15-(('DPI art.191'!$G$15-'DPI art.191'!$H$15)/8)*(P63-O63-2))))</f>
        <v/>
      </c>
      <c r="BN63" s="24">
        <f>O63-BM63</f>
        <v/>
      </c>
      <c r="BO63" s="24">
        <f>IF(Z63&lt;135,Z63,Z63-'DPI art.191'!$I$15)</f>
        <v/>
      </c>
      <c r="BP63" s="108">
        <f>10^(0.1*R63)</f>
        <v/>
      </c>
      <c r="BQ63" s="108">
        <f>10^(0.1*X63)</f>
        <v/>
      </c>
      <c r="BR63" s="108">
        <f>10^(0.1*AB63)</f>
        <v/>
      </c>
      <c r="BS63" s="108">
        <f>10^(0.1*AF63)</f>
        <v/>
      </c>
      <c r="BT63" s="108">
        <f>10^(0.1*AJ63)</f>
        <v/>
      </c>
      <c r="BU63" s="108">
        <f>10^(0.1*AN63)</f>
        <v/>
      </c>
      <c r="BV63" s="106">
        <f>IF(R63&gt;0,(O63-R63),"")</f>
        <v/>
      </c>
      <c r="BW63" s="106">
        <f>IF(X63&gt;0,(O63-X63),"")</f>
        <v/>
      </c>
      <c r="BX63" s="106">
        <f>IF(AB63&gt;0,(O63-AB63),"")</f>
        <v/>
      </c>
      <c r="BY63" s="106">
        <f>IF(AF63&gt;0,(O63-AF63),"")</f>
        <v/>
      </c>
      <c r="BZ63" s="106">
        <f>IF(AJ63&gt;0,(O63-AJ63),"")</f>
        <v/>
      </c>
      <c r="CA63" s="106">
        <f>IF(AN63&gt;0,(O63-AN63),"")</f>
        <v/>
      </c>
      <c r="CB63" s="106">
        <f>COUNT(BV63:CA63)</f>
        <v/>
      </c>
      <c r="CC63" s="464">
        <f>IF(CB63=0,0,IF(CB63=1,0,1/(CB63*(CB63-1))))</f>
        <v/>
      </c>
      <c r="CD63" s="136">
        <f>IF(R63&gt;0,(BV63^2),"")</f>
        <v/>
      </c>
      <c r="CE63" s="136">
        <f>IF(X63&gt;0,(BW63^2),"")</f>
        <v/>
      </c>
      <c r="CF63" s="136">
        <f>IF(AB63&gt;0,(BX63^2),"")</f>
        <v/>
      </c>
      <c r="CG63" s="136">
        <f>IF(AF63&gt;0,(BY63^2),"")</f>
        <v/>
      </c>
      <c r="CH63" s="136">
        <f>IF(AJ63&gt;0,(BZ63^2),"")</f>
        <v/>
      </c>
      <c r="CI63" s="136">
        <f>IF(AN63&gt;0,(CA63^2),"")</f>
        <v/>
      </c>
    </row>
    <row r="64" ht="18.75" customHeight="1" s="444">
      <c r="A64" s="340" t="inlineStr">
        <is>
          <t>273/19</t>
        </is>
      </c>
      <c r="B64" s="65" t="inlineStr">
        <is>
          <t>F2</t>
        </is>
      </c>
      <c r="C64" s="78" t="inlineStr">
        <is>
          <t>Taglio con sega a nastro</t>
        </is>
      </c>
      <c r="D64" s="83" t="inlineStr">
        <is>
          <t>/</t>
        </is>
      </c>
      <c r="E64" s="83" t="inlineStr">
        <is>
          <t>/</t>
        </is>
      </c>
      <c r="F64" s="192" t="inlineStr">
        <is>
          <t>Taglio con sega a nastro</t>
        </is>
      </c>
      <c r="G64" s="71" t="n">
        <v>45996</v>
      </c>
      <c r="H64" s="77" t="inlineStr">
        <is>
          <t>Compito</t>
        </is>
      </c>
      <c r="I64" s="77">
        <f>IF((V64-R64)&gt;3,"SI","")</f>
        <v/>
      </c>
      <c r="J64" s="77" t="inlineStr">
        <is>
          <t>SI</t>
        </is>
      </c>
      <c r="K64" s="77" t="n"/>
      <c r="L64" s="77" t="n"/>
      <c r="M64" s="137">
        <f>IF(R64&gt;0,(SQRT(CC64*(SUM(CD64:CI64)))),"")</f>
        <v/>
      </c>
      <c r="N64" s="4">
        <f>IF(T64&gt;0,(MAX(T64,Z64,AD64,AH64,AL64,AP64))+SQRT(1.2^2+1^2),"")</f>
        <v/>
      </c>
      <c r="O64" s="3">
        <f>IF(R64="",0,10*LOG10(SUM(BP64:BU64)/(COUNT(R64,X64,AB64,AF64,AJ64,AN64))))</f>
        <v/>
      </c>
      <c r="P64" s="5">
        <f>IF(AND(Y64="",AC64="",AG64="",AK64="",AO64=""),S64,AVERAGE(S64,Y64,AC64,AG64,AK64,AO64)+STDEV(S64,Y64,AC64,AG64,AK64,AO64))</f>
        <v/>
      </c>
      <c r="Q64" s="14" t="n">
        <v>300</v>
      </c>
      <c r="R64" s="11" t="n">
        <v>84.40000000000001</v>
      </c>
      <c r="S64" s="12" t="n">
        <v>83.7</v>
      </c>
      <c r="T64" s="13" t="n">
        <v>103.3</v>
      </c>
      <c r="U64" s="79" t="n">
        <v>84.40000000000001</v>
      </c>
      <c r="V64" s="79" t="n">
        <v>86.8</v>
      </c>
      <c r="W64" s="10" t="n">
        <v>300</v>
      </c>
      <c r="X64" s="11" t="n">
        <v>85.40000000000001</v>
      </c>
      <c r="Y64" s="12" t="n">
        <v>84.7</v>
      </c>
      <c r="Z64" s="13" t="n">
        <v>117.8</v>
      </c>
      <c r="AA64" s="10" t="n">
        <v>300</v>
      </c>
      <c r="AB64" s="11" t="n">
        <v>84.59999999999999</v>
      </c>
      <c r="AC64" s="12" t="n">
        <v>84</v>
      </c>
      <c r="AD64" s="13" t="n">
        <v>104.4</v>
      </c>
      <c r="AE64" s="14" t="n">
        <v>300</v>
      </c>
      <c r="AF64" s="11" t="n">
        <v>84.09999999999999</v>
      </c>
      <c r="AG64" s="12" t="n">
        <v>84.8</v>
      </c>
      <c r="AH64" s="13" t="n">
        <v>117.4</v>
      </c>
      <c r="AI64" s="10" t="n">
        <v>300</v>
      </c>
      <c r="AJ64" s="11" t="n">
        <v>80.3</v>
      </c>
      <c r="AK64" s="12" t="n">
        <v>79.90000000000001</v>
      </c>
      <c r="AL64" s="13" t="n">
        <v>103.2</v>
      </c>
      <c r="AM64" s="10" t="n">
        <v>300</v>
      </c>
      <c r="AN64" s="11" t="n">
        <v>78.8</v>
      </c>
      <c r="AO64" s="12" t="n">
        <v>78.2</v>
      </c>
      <c r="AP64" s="13" t="n">
        <v>103.8</v>
      </c>
      <c r="AQ64" s="6">
        <f>IF(AND((O64)&lt;85,N64&lt;137),"NO","SI")</f>
        <v/>
      </c>
      <c r="AR64" s="7">
        <f>IF((480*(10^(7.95-(O64/10))))&lt;480,480*(10^(7.95-(O64/10))),480)</f>
        <v/>
      </c>
      <c r="AS64" s="8">
        <f>IF((480*(10^(8.45-(O64/10))))&lt;480,480*(10^(8.45-(O64/10))),480)</f>
        <v/>
      </c>
      <c r="AT64" s="9">
        <f>IF((480*(10^(8.65-(O64/10))))&lt;480,480*(10^(8.65-(O64/10))),480)</f>
        <v/>
      </c>
      <c r="AU64" s="111">
        <f>IF(O64&lt;80,"0",IF((P64-O64)&lt;=2,('DPI art.191'!$G$3-(('DPI art.191'!$F$3-'DPI art.191'!$G$3)/4)*(P64-O64-2)),('DPI art.191'!$G$3-(('DPI art.191'!$G$3-'DPI art.191'!$H$3)/8)*(P64-O64-2))))</f>
        <v/>
      </c>
      <c r="AV64" s="24">
        <f>O64-AU64</f>
        <v/>
      </c>
      <c r="AW64" s="24">
        <f>IF(N64&lt;135,N64,N64-'DPI art.191'!$I$3)</f>
        <v/>
      </c>
      <c r="AX64" s="111">
        <f>IF(O64&lt;80,"0",IF((P64-O64)&lt;=2,('DPI art.191'!$G$5-(('DPI art.191'!$F$5-'DPI art.191'!$G$5)/4)*(P64-O64-2)),('DPI art.191'!$G$5-(('DPI art.191'!$G$5-'DPI art.191'!$H$5)/8)*(P64-O64-2))))</f>
        <v/>
      </c>
      <c r="AY64" s="24">
        <f>O64-AX64</f>
        <v/>
      </c>
      <c r="AZ64" s="24">
        <f>IF(N64&lt;135,N64,N64-'DPI art.191'!$I$5)</f>
        <v/>
      </c>
      <c r="BA64" s="111">
        <f>IF(O64&lt;80,"0",IF((P64-O64)&lt;=2,('DPI art.191'!$G$7-(('DPI art.191'!$F$7-'DPI art.191'!$G$7)/4)*(P64-O64-2)),('DPI art.191'!$G$7-(('DPI art.191'!$G$7-'DPI art.191'!$H$7)/8)*(P64-O64-2))))</f>
        <v/>
      </c>
      <c r="BB64" s="24">
        <f>O64-BA64</f>
        <v/>
      </c>
      <c r="BC64" s="24">
        <f>IF(N64&lt;135,N64,N64-'DPI art.191'!$I$7)</f>
        <v/>
      </c>
      <c r="BD64" s="111">
        <f>IF(O64&lt;80,"0",IF((P64-O64)&lt;=2,('DPI art.191'!$G$9-(('DPI art.191'!$F$9-'DPI art.191'!$G$9)/4)*(O64-P64-2)),('DPI art.191'!$G$9-(('DPI art.191'!$G$9-'DPI art.191'!$H$9)/8)*(P64-O64-2))))</f>
        <v/>
      </c>
      <c r="BE64" s="24">
        <f>O64-BD64</f>
        <v/>
      </c>
      <c r="BF64" s="24">
        <f>IF(N64&lt;135,N64,N64-'DPI art.191'!$I$9)</f>
        <v/>
      </c>
      <c r="BG64" s="111">
        <f>IF(O64&lt;80,"0",IF((P64-O64)&lt;=2,('DPI art.191'!$G$11-(('DPI art.191'!$F$11-'DPI art.191'!$G$11)/4)*(P64-O64-2)),('DPI art.191'!$G$11-(('DPI art.191'!$G$11-'DPI art.191'!$H$11)/8)*(P64-O64-2))))</f>
        <v/>
      </c>
      <c r="BH64" s="24">
        <f>O64-BG64</f>
        <v/>
      </c>
      <c r="BI64" s="24">
        <f>IF(T64&lt;135,T64,T64-'DPI art.191'!$I$11)</f>
        <v/>
      </c>
      <c r="BJ64" s="111">
        <f>IF(O64&lt;80,"0",IF((P64-O64)&lt;=2,('DPI art.191'!$G$13-(('DPI art.191'!$F$13-'DPI art.191'!$G$13)/4)*(P64-O64-2)),('DPI art.191'!$G$13-(('DPI art.191'!$G$13-'DPI art.191'!$H$13)/8)*(P64-O64-2))))</f>
        <v/>
      </c>
      <c r="BK64" s="24">
        <f>O64-BJ64</f>
        <v/>
      </c>
      <c r="BL64" s="24">
        <f>IF(T64&lt;135,T64,T64-'DPI art.191'!$I$13)</f>
        <v/>
      </c>
      <c r="BM64" s="111">
        <f>IF(O64&lt;80,"0",IF((P64-O64)&lt;=2,('DPI art.191'!$G$15-(('DPI art.191'!$F$15-'DPI art.191'!$G$15)/4)*(P64-O64-2)),('DPI art.191'!$G$15-(('DPI art.191'!$G$15-'DPI art.191'!$H$15)/8)*(P64-O64-2))))</f>
        <v/>
      </c>
      <c r="BN64" s="24">
        <f>O64-BM64</f>
        <v/>
      </c>
      <c r="BO64" s="24">
        <f>IF(Z64&lt;135,Z64,Z64-'DPI art.191'!$I$15)</f>
        <v/>
      </c>
      <c r="BP64" s="108">
        <f>10^(0.1*R64)</f>
        <v/>
      </c>
      <c r="BQ64" s="108">
        <f>10^(0.1*X64)</f>
        <v/>
      </c>
      <c r="BR64" s="108">
        <f>10^(0.1*AB64)</f>
        <v/>
      </c>
      <c r="BS64" s="108">
        <f>10^(0.1*AF64)</f>
        <v/>
      </c>
      <c r="BT64" s="108">
        <f>10^(0.1*AJ64)</f>
        <v/>
      </c>
      <c r="BU64" s="108">
        <f>10^(0.1*AN64)</f>
        <v/>
      </c>
      <c r="BV64" s="106">
        <f>IF(R64&gt;0,(O64-R64),"")</f>
        <v/>
      </c>
      <c r="BW64" s="106">
        <f>IF(X64&gt;0,(O64-X64),"")</f>
        <v/>
      </c>
      <c r="BX64" s="106">
        <f>IF(AB64&gt;0,(O64-AB64),"")</f>
        <v/>
      </c>
      <c r="BY64" s="106">
        <f>IF(AF64&gt;0,(O64-AF64),"")</f>
        <v/>
      </c>
      <c r="BZ64" s="106">
        <f>IF(AJ64&gt;0,(O64-AJ64),"")</f>
        <v/>
      </c>
      <c r="CA64" s="106">
        <f>IF(AN64&gt;0,(O64-AN64),"")</f>
        <v/>
      </c>
      <c r="CB64" s="106">
        <f>COUNT(BV64:CA64)</f>
        <v/>
      </c>
      <c r="CC64" s="464">
        <f>IF(CB64=0,0,IF(CB64=1,0,1/(CB64*(CB64-1))))</f>
        <v/>
      </c>
      <c r="CD64" s="136">
        <f>IF(R64&gt;0,(BV64^2),"")</f>
        <v/>
      </c>
      <c r="CE64" s="136">
        <f>IF(X64&gt;0,(BW64^2),"")</f>
        <v/>
      </c>
      <c r="CF64" s="136">
        <f>IF(AB64&gt;0,(BX64^2),"")</f>
        <v/>
      </c>
      <c r="CG64" s="136">
        <f>IF(AF64&gt;0,(BY64^2),"")</f>
        <v/>
      </c>
      <c r="CH64" s="136">
        <f>IF(AJ64&gt;0,(BZ64^2),"")</f>
        <v/>
      </c>
      <c r="CI64" s="136">
        <f>IF(AN64&gt;0,(CA64^2),"")</f>
        <v/>
      </c>
    </row>
    <row r="65" ht="18.75" customHeight="1" s="444">
      <c r="A65" s="340" t="inlineStr">
        <is>
          <t>Gualdo 1</t>
        </is>
      </c>
      <c r="B65" s="65" t="inlineStr">
        <is>
          <t>F3</t>
        </is>
      </c>
      <c r="C65" s="78" t="inlineStr">
        <is>
          <t>Movimentazioni interne</t>
        </is>
      </c>
      <c r="D65" s="83" t="inlineStr">
        <is>
          <t>/</t>
        </is>
      </c>
      <c r="E65" s="83" t="inlineStr">
        <is>
          <t>/</t>
        </is>
      </c>
      <c r="F65" s="78" t="inlineStr">
        <is>
          <t>Movimentazioni interne</t>
        </is>
      </c>
      <c r="G65" s="71" t="n">
        <v>45996</v>
      </c>
      <c r="H65" s="77" t="inlineStr">
        <is>
          <t>Compito</t>
        </is>
      </c>
      <c r="I65" s="77">
        <f>IF((V65-R65)&gt;3,"SI","")</f>
        <v/>
      </c>
      <c r="J65" s="77">
        <f>IF((U65-R65)&gt;3,"SI","")</f>
        <v/>
      </c>
      <c r="K65" s="77" t="n"/>
      <c r="L65" s="77" t="n"/>
      <c r="M65" s="137">
        <f>IF(R65&gt;0,(SQRT(CC65*(SUM(CD65:CI65)))),"")</f>
        <v/>
      </c>
      <c r="N65" s="4">
        <f>IF(T65&gt;0,(MAX(T65,Z65,AD65,AH65,AL65,AP65))+SQRT(1.2^2+1^2),"")</f>
        <v/>
      </c>
      <c r="O65" s="3">
        <f>IF(R65="",0,10*LOG10(SUM(BP65:BU65)/(COUNT(R65,X65,AB65,AF65,AJ65,AN65))))</f>
        <v/>
      </c>
      <c r="P65" s="5">
        <f>IF(AND(Y65="",AC65="",AG65="",AK65="",AO65=""),S65,AVERAGE(S65,Y65,AC65,AG65,AK65,AO65)+STDEV(S65,Y65,AC65,AG65,AK65,AO65))</f>
        <v/>
      </c>
      <c r="Q65" s="14" t="n">
        <v>300</v>
      </c>
      <c r="R65" s="11" t="n">
        <v>81.09999999999999</v>
      </c>
      <c r="S65" s="12" t="n">
        <v>83.90000000000001</v>
      </c>
      <c r="T65" s="13" t="n">
        <v>109.9</v>
      </c>
      <c r="U65" s="79" t="n">
        <v>81.2</v>
      </c>
      <c r="V65" s="79" t="n">
        <v>84.3</v>
      </c>
      <c r="W65" s="10" t="n">
        <v>300</v>
      </c>
      <c r="X65" s="11" t="n">
        <v>80.09999999999999</v>
      </c>
      <c r="Y65" s="12" t="n">
        <v>81.2</v>
      </c>
      <c r="Z65" s="13" t="n">
        <v>103.1</v>
      </c>
      <c r="AA65" s="10" t="n">
        <v>300</v>
      </c>
      <c r="AB65" s="11" t="n">
        <v>83.09999999999999</v>
      </c>
      <c r="AC65" s="12" t="n">
        <v>84.2</v>
      </c>
      <c r="AD65" s="13" t="n">
        <v>107.9</v>
      </c>
      <c r="AE65" s="14" t="n">
        <v>300</v>
      </c>
      <c r="AF65" s="11" t="n">
        <v>83.40000000000001</v>
      </c>
      <c r="AG65" s="12" t="n">
        <v>84.5</v>
      </c>
      <c r="AH65" s="13" t="n">
        <v>109.1</v>
      </c>
      <c r="AI65" s="10" t="n">
        <v>300</v>
      </c>
      <c r="AJ65" s="11" t="n">
        <v>81.2</v>
      </c>
      <c r="AK65" s="12" t="n">
        <v>81.8</v>
      </c>
      <c r="AL65" s="13" t="n">
        <v>108.5</v>
      </c>
      <c r="AM65" s="10" t="n">
        <v>300</v>
      </c>
      <c r="AN65" s="11" t="n">
        <v>82.59999999999999</v>
      </c>
      <c r="AO65" s="12" t="n">
        <v>83.8</v>
      </c>
      <c r="AP65" s="13" t="n">
        <v>111.2</v>
      </c>
      <c r="AQ65" s="6">
        <f>IF(AND((O65)&lt;85,N65&lt;137),"NO","SI")</f>
        <v/>
      </c>
      <c r="AR65" s="7">
        <f>IF((480*(10^(7.95-(O65/10))))&lt;480,480*(10^(7.95-(O65/10))),480)</f>
        <v/>
      </c>
      <c r="AS65" s="8">
        <f>IF((480*(10^(8.45-(O65/10))))&lt;480,480*(10^(8.45-(O65/10))),480)</f>
        <v/>
      </c>
      <c r="AT65" s="9">
        <f>IF((480*(10^(8.65-(O65/10))))&lt;480,480*(10^(8.65-(O65/10))),480)</f>
        <v/>
      </c>
      <c r="AU65" s="111">
        <f>IF(O65&lt;80,"0",IF((P65-O65)&lt;=2,('DPI art.191'!$G$3-(('DPI art.191'!$F$3-'DPI art.191'!$G$3)/4)*(P65-O65-2)),('DPI art.191'!$G$3-(('DPI art.191'!$G$3-'DPI art.191'!$H$3)/8)*(P65-O65-2))))</f>
        <v/>
      </c>
      <c r="AV65" s="24">
        <f>O65-AU65</f>
        <v/>
      </c>
      <c r="AW65" s="24">
        <f>IF(N65&lt;135,N65,N65-'DPI art.191'!$I$3)</f>
        <v/>
      </c>
      <c r="AX65" s="111">
        <f>IF(O65&lt;80,"0",IF((P65-O65)&lt;=2,('DPI art.191'!$G$5-(('DPI art.191'!$F$5-'DPI art.191'!$G$5)/4)*(P65-O65-2)),('DPI art.191'!$G$5-(('DPI art.191'!$G$5-'DPI art.191'!$H$5)/8)*(P65-O65-2))))</f>
        <v/>
      </c>
      <c r="AY65" s="24">
        <f>O65-AX65</f>
        <v/>
      </c>
      <c r="AZ65" s="24">
        <f>IF(N65&lt;135,N65,N65-'DPI art.191'!$I$5)</f>
        <v/>
      </c>
      <c r="BA65" s="111">
        <f>IF(O65&lt;80,"0",IF((P65-O65)&lt;=2,('DPI art.191'!$G$7-(('DPI art.191'!$F$7-'DPI art.191'!$G$7)/4)*(P65-O65-2)),('DPI art.191'!$G$7-(('DPI art.191'!$G$7-'DPI art.191'!$H$7)/8)*(P65-O65-2))))</f>
        <v/>
      </c>
      <c r="BB65" s="24">
        <f>O65-BA65</f>
        <v/>
      </c>
      <c r="BC65" s="24">
        <f>IF(N65&lt;135,N65,N65-'DPI art.191'!$I$7)</f>
        <v/>
      </c>
      <c r="BD65" s="111">
        <f>IF(O65&lt;80,"0",IF((P65-O65)&lt;=2,('DPI art.191'!$G$9-(('DPI art.191'!$F$9-'DPI art.191'!$G$9)/4)*(O65-P65-2)),('DPI art.191'!$G$9-(('DPI art.191'!$G$9-'DPI art.191'!$H$9)/8)*(P65-O65-2))))</f>
        <v/>
      </c>
      <c r="BE65" s="24">
        <f>O65-BD65</f>
        <v/>
      </c>
      <c r="BF65" s="24">
        <f>IF(N65&lt;135,N65,N65-'DPI art.191'!$I$9)</f>
        <v/>
      </c>
      <c r="BG65" s="111">
        <f>IF(O65&lt;80,"0",IF((P65-O65)&lt;=2,('DPI art.191'!$G$11-(('DPI art.191'!$F$11-'DPI art.191'!$G$11)/4)*(P65-O65-2)),('DPI art.191'!$G$11-(('DPI art.191'!$G$11-'DPI art.191'!$H$11)/8)*(P65-O65-2))))</f>
        <v/>
      </c>
      <c r="BH65" s="24">
        <f>O65-BG65</f>
        <v/>
      </c>
      <c r="BI65" s="24">
        <f>IF(T65&lt;135,T65,T65-'DPI art.191'!$I$11)</f>
        <v/>
      </c>
      <c r="BJ65" s="111">
        <f>IF(O65&lt;80,"0",IF((P65-O65)&lt;=2,('DPI art.191'!$G$13-(('DPI art.191'!$F$13-'DPI art.191'!$G$13)/4)*(P65-O65-2)),('DPI art.191'!$G$13-(('DPI art.191'!$G$13-'DPI art.191'!$H$13)/8)*(P65-O65-2))))</f>
        <v/>
      </c>
      <c r="BK65" s="24">
        <f>O65-BJ65</f>
        <v/>
      </c>
      <c r="BL65" s="24">
        <f>IF(T65&lt;135,T65,T65-'DPI art.191'!$I$13)</f>
        <v/>
      </c>
      <c r="BM65" s="111">
        <f>IF(O65&lt;80,"0",IF((P65-O65)&lt;=2,('DPI art.191'!$G$15-(('DPI art.191'!$F$15-'DPI art.191'!$G$15)/4)*(P65-O65-2)),('DPI art.191'!$G$15-(('DPI art.191'!$G$15-'DPI art.191'!$H$15)/8)*(P65-O65-2))))</f>
        <v/>
      </c>
      <c r="BN65" s="24">
        <f>O65-BM65</f>
        <v/>
      </c>
      <c r="BO65" s="24">
        <f>IF(Z65&lt;135,Z65,Z65-'DPI art.191'!$I$15)</f>
        <v/>
      </c>
      <c r="BP65" s="108">
        <f>10^(0.1*R65)</f>
        <v/>
      </c>
      <c r="BQ65" s="108">
        <f>10^(0.1*X65)</f>
        <v/>
      </c>
      <c r="BR65" s="108">
        <f>10^(0.1*AB65)</f>
        <v/>
      </c>
      <c r="BS65" s="108">
        <f>10^(0.1*AF65)</f>
        <v/>
      </c>
      <c r="BT65" s="108">
        <f>10^(0.1*AJ65)</f>
        <v/>
      </c>
      <c r="BU65" s="108">
        <f>10^(0.1*AN65)</f>
        <v/>
      </c>
      <c r="BV65" s="106">
        <f>IF(R65&gt;0,(O65-R65),"")</f>
        <v/>
      </c>
      <c r="BW65" s="106">
        <f>IF(X65&gt;0,(O65-X65),"")</f>
        <v/>
      </c>
      <c r="BX65" s="106">
        <f>IF(AB65&gt;0,(O65-AB65),"")</f>
        <v/>
      </c>
      <c r="BY65" s="106">
        <f>IF(AF65&gt;0,(O65-AF65),"")</f>
        <v/>
      </c>
      <c r="BZ65" s="106">
        <f>IF(AJ65&gt;0,(O65-AJ65),"")</f>
        <v/>
      </c>
      <c r="CA65" s="106">
        <f>IF(AN65&gt;0,(O65-AN65),"")</f>
        <v/>
      </c>
      <c r="CB65" s="106">
        <f>COUNT(BV65:CA65)</f>
        <v/>
      </c>
      <c r="CC65" s="464">
        <f>IF(CB65=0,0,IF(CB65=1,0,1/(CB65*(CB65-1))))</f>
        <v/>
      </c>
      <c r="CD65" s="136">
        <f>IF(R65&gt;0,(BV65^2),"")</f>
        <v/>
      </c>
      <c r="CE65" s="136">
        <f>IF(X65&gt;0,(BW65^2),"")</f>
        <v/>
      </c>
      <c r="CF65" s="136">
        <f>IF(AB65&gt;0,(BX65^2),"")</f>
        <v/>
      </c>
      <c r="CG65" s="136">
        <f>IF(AF65&gt;0,(BY65^2),"")</f>
        <v/>
      </c>
      <c r="CH65" s="136">
        <f>IF(AJ65&gt;0,(BZ65^2),"")</f>
        <v/>
      </c>
      <c r="CI65" s="136">
        <f>IF(AN65&gt;0,(CA65^2),"")</f>
        <v/>
      </c>
    </row>
    <row r="66" ht="18.75" customHeight="1" s="444">
      <c r="A66" s="340" t="inlineStr">
        <is>
          <t>266/01</t>
        </is>
      </c>
      <c r="B66" s="65" t="inlineStr">
        <is>
          <t>F4</t>
        </is>
      </c>
      <c r="C66" s="78" t="inlineStr">
        <is>
          <t>Pressa</t>
        </is>
      </c>
      <c r="D66" s="83" t="inlineStr">
        <is>
          <t>/</t>
        </is>
      </c>
      <c r="E66" s="83" t="inlineStr">
        <is>
          <t>/</t>
        </is>
      </c>
      <c r="F66" s="78" t="inlineStr">
        <is>
          <t>Pressa</t>
        </is>
      </c>
      <c r="G66" s="71" t="n">
        <v>45996</v>
      </c>
      <c r="H66" s="77" t="inlineStr">
        <is>
          <t>Compito</t>
        </is>
      </c>
      <c r="I66" s="77">
        <f>IF((V66-R66)&gt;3,"SI","")</f>
        <v/>
      </c>
      <c r="J66" s="77" t="inlineStr">
        <is>
          <t>SI</t>
        </is>
      </c>
      <c r="K66" s="77" t="n"/>
      <c r="L66" s="77" t="n"/>
      <c r="M66" s="137">
        <f>IF(R66&gt;0,(SQRT(CC66*(SUM(CD66:CI66)))),"")</f>
        <v/>
      </c>
      <c r="N66" s="4">
        <f>IF(T66&gt;0,(MAX(T66,Z66,AD66,AH66,AL66,AP66))+SQRT(1.2^2+1^2),"")</f>
        <v/>
      </c>
      <c r="O66" s="3">
        <f>IF(R66="",0,10*LOG10(SUM(BP66:BU66)/(COUNT(R66,X66,AB66,AF66,AJ66,AN66))))</f>
        <v/>
      </c>
      <c r="P66" s="5">
        <f>IF(AND(Y66="",AC66="",AG66="",AK66="",AO66=""),S66,AVERAGE(S66,Y66,AC66,AG66,AK66,AO66)+STDEV(S66,Y66,AC66,AG66,AK66,AO66))</f>
        <v/>
      </c>
      <c r="Q66" s="14" t="n">
        <v>300</v>
      </c>
      <c r="R66" s="11" t="n">
        <v>83.5</v>
      </c>
      <c r="S66" s="12" t="n">
        <v>83.8</v>
      </c>
      <c r="T66" s="13" t="n">
        <v>105.2</v>
      </c>
      <c r="U66" s="79" t="n">
        <v>83.5</v>
      </c>
      <c r="V66" s="79" t="n">
        <v>85.40000000000001</v>
      </c>
      <c r="W66" s="10" t="n">
        <v>300</v>
      </c>
      <c r="X66" s="11" t="n">
        <v>82.40000000000001</v>
      </c>
      <c r="Y66" s="12" t="n">
        <v>84.90000000000001</v>
      </c>
      <c r="Z66" s="13" t="n">
        <v>112</v>
      </c>
      <c r="AA66" s="10" t="n">
        <v>300</v>
      </c>
      <c r="AB66" s="11" t="n">
        <v>83.5</v>
      </c>
      <c r="AC66" s="12" t="n">
        <v>86</v>
      </c>
      <c r="AD66" s="13" t="n">
        <v>115.9</v>
      </c>
      <c r="AE66" s="14" t="n">
        <v>300</v>
      </c>
      <c r="AF66" s="11" t="n">
        <v>86.09999999999999</v>
      </c>
      <c r="AG66" s="12" t="n">
        <v>88.40000000000001</v>
      </c>
      <c r="AH66" s="13" t="n">
        <v>120.8</v>
      </c>
      <c r="AI66" s="10" t="n">
        <v>300</v>
      </c>
      <c r="AJ66" s="11" t="n">
        <v>87.09999999999999</v>
      </c>
      <c r="AK66" s="12" t="n">
        <v>87.2</v>
      </c>
      <c r="AL66" s="13" t="n">
        <v>110.9</v>
      </c>
      <c r="AM66" s="10" t="n">
        <v>300</v>
      </c>
      <c r="AN66" s="11" t="n">
        <v>87.09999999999999</v>
      </c>
      <c r="AO66" s="12" t="n">
        <v>87.40000000000001</v>
      </c>
      <c r="AP66" s="13" t="n">
        <v>111.2</v>
      </c>
      <c r="AQ66" s="6">
        <f>IF(AND((O66)&lt;85,N66&lt;137),"NO","SI")</f>
        <v/>
      </c>
      <c r="AR66" s="7">
        <f>IF((480*(10^(7.95-(O66/10))))&lt;480,480*(10^(7.95-(O66/10))),480)</f>
        <v/>
      </c>
      <c r="AS66" s="8">
        <f>IF((480*(10^(8.45-(O66/10))))&lt;480,480*(10^(8.45-(O66/10))),480)</f>
        <v/>
      </c>
      <c r="AT66" s="9">
        <f>IF((480*(10^(8.65-(O66/10))))&lt;480,480*(10^(8.65-(O66/10))),480)</f>
        <v/>
      </c>
      <c r="AU66" s="111">
        <f>IF(O66&lt;80,"0",IF((P66-O66)&lt;=2,('DPI art.191'!$G$3-(('DPI art.191'!$F$3-'DPI art.191'!$G$3)/4)*(P66-O66-2)),('DPI art.191'!$G$3-(('DPI art.191'!$G$3-'DPI art.191'!$H$3)/8)*(P66-O66-2))))</f>
        <v/>
      </c>
      <c r="AV66" s="24">
        <f>O66-AU66</f>
        <v/>
      </c>
      <c r="AW66" s="24">
        <f>IF(N66&lt;135,N66,N66-'DPI art.191'!$I$3)</f>
        <v/>
      </c>
      <c r="AX66" s="111">
        <f>IF(O66&lt;80,"0",IF((P66-O66)&lt;=2,('DPI art.191'!$G$5-(('DPI art.191'!$F$5-'DPI art.191'!$G$5)/4)*(P66-O66-2)),('DPI art.191'!$G$5-(('DPI art.191'!$G$5-'DPI art.191'!$H$5)/8)*(P66-O66-2))))</f>
        <v/>
      </c>
      <c r="AY66" s="24">
        <f>O66-AX66</f>
        <v/>
      </c>
      <c r="AZ66" s="24">
        <f>IF(N66&lt;135,N66,N66-'DPI art.191'!$I$5)</f>
        <v/>
      </c>
      <c r="BA66" s="111">
        <f>IF(O66&lt;80,"0",IF((P66-O66)&lt;=2,('DPI art.191'!$G$7-(('DPI art.191'!$F$7-'DPI art.191'!$G$7)/4)*(P66-O66-2)),('DPI art.191'!$G$7-(('DPI art.191'!$G$7-'DPI art.191'!$H$7)/8)*(P66-O66-2))))</f>
        <v/>
      </c>
      <c r="BB66" s="24">
        <f>O66-BA66</f>
        <v/>
      </c>
      <c r="BC66" s="24">
        <f>IF(N66&lt;135,N66,N66-'DPI art.191'!$I$7)</f>
        <v/>
      </c>
      <c r="BD66" s="111">
        <f>IF(O66&lt;80,"0",IF((P66-O66)&lt;=2,('DPI art.191'!$G$9-(('DPI art.191'!$F$9-'DPI art.191'!$G$9)/4)*(O66-P66-2)),('DPI art.191'!$G$9-(('DPI art.191'!$G$9-'DPI art.191'!$H$9)/8)*(P66-O66-2))))</f>
        <v/>
      </c>
      <c r="BE66" s="24">
        <f>O66-BD66</f>
        <v/>
      </c>
      <c r="BF66" s="24">
        <f>IF(N66&lt;135,N66,N66-'DPI art.191'!$I$9)</f>
        <v/>
      </c>
      <c r="BG66" s="111">
        <f>IF(O66&lt;80,"0",IF((P66-O66)&lt;=2,('DPI art.191'!$G$11-(('DPI art.191'!$F$11-'DPI art.191'!$G$11)/4)*(P66-O66-2)),('DPI art.191'!$G$11-(('DPI art.191'!$G$11-'DPI art.191'!$H$11)/8)*(P66-O66-2))))</f>
        <v/>
      </c>
      <c r="BH66" s="24">
        <f>O66-BG66</f>
        <v/>
      </c>
      <c r="BI66" s="24">
        <f>IF(T66&lt;135,T66,T66-'DPI art.191'!$I$11)</f>
        <v/>
      </c>
      <c r="BJ66" s="111">
        <f>IF(O66&lt;80,"0",IF((P66-O66)&lt;=2,('DPI art.191'!$G$13-(('DPI art.191'!$F$13-'DPI art.191'!$G$13)/4)*(P66-O66-2)),('DPI art.191'!$G$13-(('DPI art.191'!$G$13-'DPI art.191'!$H$13)/8)*(P66-O66-2))))</f>
        <v/>
      </c>
      <c r="BK66" s="24">
        <f>O66-BJ66</f>
        <v/>
      </c>
      <c r="BL66" s="24">
        <f>IF(T66&lt;135,T66,T66-'DPI art.191'!$I$13)</f>
        <v/>
      </c>
      <c r="BM66" s="111">
        <f>IF(O66&lt;80,"0",IF((P66-O66)&lt;=2,('DPI art.191'!$G$15-(('DPI art.191'!$F$15-'DPI art.191'!$G$15)/4)*(P66-O66-2)),('DPI art.191'!$G$15-(('DPI art.191'!$G$15-'DPI art.191'!$H$15)/8)*(P66-O66-2))))</f>
        <v/>
      </c>
      <c r="BN66" s="24">
        <f>O66-BM66</f>
        <v/>
      </c>
      <c r="BO66" s="24">
        <f>IF(Z66&lt;135,Z66,Z66-'DPI art.191'!$I$15)</f>
        <v/>
      </c>
      <c r="BP66" s="108">
        <f>10^(0.1*R66)</f>
        <v/>
      </c>
      <c r="BQ66" s="108">
        <f>10^(0.1*X66)</f>
        <v/>
      </c>
      <c r="BR66" s="108">
        <f>10^(0.1*AB66)</f>
        <v/>
      </c>
      <c r="BS66" s="108">
        <f>10^(0.1*AF66)</f>
        <v/>
      </c>
      <c r="BT66" s="108">
        <f>10^(0.1*AJ66)</f>
        <v/>
      </c>
      <c r="BU66" s="108">
        <f>10^(0.1*AN66)</f>
        <v/>
      </c>
      <c r="BV66" s="106">
        <f>IF(R66&gt;0,(O66-R66),"")</f>
        <v/>
      </c>
      <c r="BW66" s="106">
        <f>IF(X66&gt;0,(O66-X66),"")</f>
        <v/>
      </c>
      <c r="BX66" s="106">
        <f>IF(AB66&gt;0,(O66-AB66),"")</f>
        <v/>
      </c>
      <c r="BY66" s="106">
        <f>IF(AF66&gt;0,(O66-AF66),"")</f>
        <v/>
      </c>
      <c r="BZ66" s="106">
        <f>IF(AJ66&gt;0,(O66-AJ66),"")</f>
        <v/>
      </c>
      <c r="CA66" s="106">
        <f>IF(AN66&gt;0,(O66-AN66),"")</f>
        <v/>
      </c>
      <c r="CB66" s="106">
        <f>COUNT(BV66:CA66)</f>
        <v/>
      </c>
      <c r="CC66" s="464">
        <f>IF(CB66=0,0,IF(CB66=1,0,1/(CB66*(CB66-1))))</f>
        <v/>
      </c>
      <c r="CD66" s="136">
        <f>IF(R66&gt;0,(BV66^2),"")</f>
        <v/>
      </c>
      <c r="CE66" s="136">
        <f>IF(X66&gt;0,(BW66^2),"")</f>
        <v/>
      </c>
      <c r="CF66" s="136">
        <f>IF(AB66&gt;0,(BX66^2),"")</f>
        <v/>
      </c>
      <c r="CG66" s="136">
        <f>IF(AF66&gt;0,(BY66^2),"")</f>
        <v/>
      </c>
      <c r="CH66" s="136">
        <f>IF(AJ66&gt;0,(BZ66^2),"")</f>
        <v/>
      </c>
      <c r="CI66" s="136">
        <f>IF(AN66&gt;0,(CA66^2),"")</f>
        <v/>
      </c>
    </row>
    <row r="67" ht="25.5" customHeight="1" s="444">
      <c r="A67" s="340" t="inlineStr">
        <is>
          <t>Gualdo 1</t>
        </is>
      </c>
      <c r="B67" s="65" t="inlineStr">
        <is>
          <t>F5</t>
        </is>
      </c>
      <c r="C67" s="78" t="inlineStr">
        <is>
          <t>Attività ufficio tecnico interno produzione</t>
        </is>
      </c>
      <c r="D67" s="83" t="inlineStr">
        <is>
          <t>/</t>
        </is>
      </c>
      <c r="E67" s="83" t="inlineStr">
        <is>
          <t>/</t>
        </is>
      </c>
      <c r="F67" s="78" t="inlineStr">
        <is>
          <t>Attività ufficio tecnico interno produzione</t>
        </is>
      </c>
      <c r="G67" s="71" t="n">
        <v>45996</v>
      </c>
      <c r="H67" s="77" t="inlineStr">
        <is>
          <t>Compito</t>
        </is>
      </c>
      <c r="I67" s="77" t="n"/>
      <c r="J67" s="77">
        <f>IF((U67-R67)&gt;3,"SI","")</f>
        <v/>
      </c>
      <c r="K67" s="77" t="n"/>
      <c r="L67" s="77" t="n"/>
      <c r="M67" s="137">
        <f>IF(R67&gt;0,(SQRT(CC67*(SUM(CD67:CI67)))),"")</f>
        <v/>
      </c>
      <c r="N67" s="4">
        <f>IF(T67&gt;0,(MAX(T67,Z67,AD67,AH67,AL67,AP67))+SQRT(1.2^2+1^2),"")</f>
        <v/>
      </c>
      <c r="O67" s="3">
        <f>IF(R67="",0,10*LOG10(SUM(BP67:BU67)/(COUNT(R67,X67,AB67,AF67,AJ67,AN67))))</f>
        <v/>
      </c>
      <c r="P67" s="5">
        <f>IF(AND(Y67="",AC67="",AG67="",AK67="",AO67=""),S67,AVERAGE(S67,Y67,AC67,AG67,AK67,AO67)+STDEV(S67,Y67,AC67,AG67,AK67,AO67))</f>
        <v/>
      </c>
      <c r="Q67" s="14" t="n">
        <v>300</v>
      </c>
      <c r="R67" s="11" t="n">
        <v>48.9</v>
      </c>
      <c r="S67" s="12" t="n">
        <v>69.2</v>
      </c>
      <c r="T67" s="13" t="n">
        <v>90.5</v>
      </c>
      <c r="U67" s="79" t="n">
        <v>54.1</v>
      </c>
      <c r="V67" s="79" t="n">
        <v>65.90000000000001</v>
      </c>
      <c r="W67" s="10" t="n">
        <v>300</v>
      </c>
      <c r="X67" s="11" t="n">
        <v>48.1</v>
      </c>
      <c r="Y67" s="12" t="n">
        <v>65.90000000000001</v>
      </c>
      <c r="Z67" s="13" t="n">
        <v>87.40000000000001</v>
      </c>
      <c r="AA67" s="10" t="n">
        <v>300</v>
      </c>
      <c r="AB67" s="11" t="n">
        <v>46.5</v>
      </c>
      <c r="AC67" s="12" t="n">
        <v>66.59999999999999</v>
      </c>
      <c r="AD67" s="13" t="n">
        <v>87.09999999999999</v>
      </c>
      <c r="AE67" s="14" t="n">
        <v>300</v>
      </c>
      <c r="AF67" s="11" t="n">
        <v>47.6</v>
      </c>
      <c r="AG67" s="12" t="n">
        <v>64.2</v>
      </c>
      <c r="AH67" s="13" t="n">
        <v>83.90000000000001</v>
      </c>
      <c r="AI67" s="10" t="n">
        <v>300</v>
      </c>
      <c r="AJ67" s="11" t="n">
        <v>49.2</v>
      </c>
      <c r="AK67" s="12" t="n">
        <v>66.09999999999999</v>
      </c>
      <c r="AL67" s="13" t="n">
        <v>84.3</v>
      </c>
      <c r="AM67" s="10" t="n">
        <v>300</v>
      </c>
      <c r="AN67" s="11" t="n">
        <v>66.90000000000001</v>
      </c>
      <c r="AO67" s="12" t="n">
        <v>76.8</v>
      </c>
      <c r="AP67" s="13" t="n">
        <v>110.1</v>
      </c>
      <c r="AQ67" s="6">
        <f>IF(AND((O67)&lt;85,N67&lt;137),"NO","SI")</f>
        <v/>
      </c>
      <c r="AR67" s="7">
        <f>IF((480*(10^(7.95-(O67/10))))&lt;480,480*(10^(7.95-(O67/10))),480)</f>
        <v/>
      </c>
      <c r="AS67" s="8">
        <f>IF((480*(10^(8.45-(O67/10))))&lt;480,480*(10^(8.45-(O67/10))),480)</f>
        <v/>
      </c>
      <c r="AT67" s="9">
        <f>IF((480*(10^(8.65-(O67/10))))&lt;480,480*(10^(8.65-(O67/10))),480)</f>
        <v/>
      </c>
      <c r="AU67" s="111">
        <f>IF(O67&lt;80,"0",IF((P67-O67)&lt;=2,('DPI art.191'!$G$3-(('DPI art.191'!$F$3-'DPI art.191'!$G$3)/4)*(P67-O67-2)),('DPI art.191'!$G$3-(('DPI art.191'!$G$3-'DPI art.191'!$H$3)/8)*(P67-O67-2))))</f>
        <v/>
      </c>
      <c r="AV67" s="24">
        <f>O67-AU67</f>
        <v/>
      </c>
      <c r="AW67" s="24">
        <f>IF(N67&lt;135,N67,N67-'DPI art.191'!$I$3)</f>
        <v/>
      </c>
      <c r="AX67" s="111">
        <f>IF(O67&lt;80,"0",IF((P67-O67)&lt;=2,('DPI art.191'!$G$5-(('DPI art.191'!$F$5-'DPI art.191'!$G$5)/4)*(P67-O67-2)),('DPI art.191'!$G$5-(('DPI art.191'!$G$5-'DPI art.191'!$H$5)/8)*(P67-O67-2))))</f>
        <v/>
      </c>
      <c r="AY67" s="24">
        <f>O67-AX67</f>
        <v/>
      </c>
      <c r="AZ67" s="24">
        <f>IF(N67&lt;135,N67,N67-'DPI art.191'!$I$5)</f>
        <v/>
      </c>
      <c r="BA67" s="111">
        <f>IF(O67&lt;80,"0",IF((P67-O67)&lt;=2,('DPI art.191'!$G$7-(('DPI art.191'!$F$7-'DPI art.191'!$G$7)/4)*(P67-O67-2)),('DPI art.191'!$G$7-(('DPI art.191'!$G$7-'DPI art.191'!$H$7)/8)*(P67-O67-2))))</f>
        <v/>
      </c>
      <c r="BB67" s="24">
        <f>O67-BA67</f>
        <v/>
      </c>
      <c r="BC67" s="24">
        <f>IF(N67&lt;135,N67,N67-'DPI art.191'!$I$7)</f>
        <v/>
      </c>
      <c r="BD67" s="111">
        <f>IF(O67&lt;80,"0",IF((P67-O67)&lt;=2,('DPI art.191'!$G$9-(('DPI art.191'!$F$9-'DPI art.191'!$G$9)/4)*(O67-P67-2)),('DPI art.191'!$G$9-(('DPI art.191'!$G$9-'DPI art.191'!$H$9)/8)*(P67-O67-2))))</f>
        <v/>
      </c>
      <c r="BE67" s="24">
        <f>O67-BD67</f>
        <v/>
      </c>
      <c r="BF67" s="24">
        <f>IF(N67&lt;135,N67,N67-'DPI art.191'!$I$9)</f>
        <v/>
      </c>
      <c r="BG67" s="111">
        <f>IF(O67&lt;80,"0",IF((P67-O67)&lt;=2,('DPI art.191'!$G$11-(('DPI art.191'!$F$11-'DPI art.191'!$G$11)/4)*(P67-O67-2)),('DPI art.191'!$G$11-(('DPI art.191'!$G$11-'DPI art.191'!$H$11)/8)*(P67-O67-2))))</f>
        <v/>
      </c>
      <c r="BH67" s="24">
        <f>O67-BG67</f>
        <v/>
      </c>
      <c r="BI67" s="24">
        <f>IF(T67&lt;135,T67,T67-'DPI art.191'!$I$11)</f>
        <v/>
      </c>
      <c r="BJ67" s="111">
        <f>IF(O67&lt;80,"0",IF((P67-O67)&lt;=2,('DPI art.191'!$G$13-(('DPI art.191'!$F$13-'DPI art.191'!$G$13)/4)*(P67-O67-2)),('DPI art.191'!$G$13-(('DPI art.191'!$G$13-'DPI art.191'!$H$13)/8)*(P67-O67-2))))</f>
        <v/>
      </c>
      <c r="BK67" s="24">
        <f>O67-BJ67</f>
        <v/>
      </c>
      <c r="BL67" s="24">
        <f>IF(T67&lt;135,T67,T67-'DPI art.191'!$I$13)</f>
        <v/>
      </c>
      <c r="BM67" s="111">
        <f>IF(O67&lt;80,"0",IF((P67-O67)&lt;=2,('DPI art.191'!$G$15-(('DPI art.191'!$F$15-'DPI art.191'!$G$15)/4)*(P67-O67-2)),('DPI art.191'!$G$15-(('DPI art.191'!$G$15-'DPI art.191'!$H$15)/8)*(P67-O67-2))))</f>
        <v/>
      </c>
      <c r="BN67" s="24">
        <f>O67-BM67</f>
        <v/>
      </c>
      <c r="BO67" s="24">
        <f>IF(Z67&lt;135,Z67,Z67-'DPI art.191'!$I$15)</f>
        <v/>
      </c>
      <c r="BP67" s="108">
        <f>10^(0.1*R67)</f>
        <v/>
      </c>
      <c r="BQ67" s="108">
        <f>10^(0.1*X67)</f>
        <v/>
      </c>
      <c r="BR67" s="108">
        <f>10^(0.1*AB67)</f>
        <v/>
      </c>
      <c r="BS67" s="108">
        <f>10^(0.1*AF67)</f>
        <v/>
      </c>
      <c r="BT67" s="108">
        <f>10^(0.1*AJ67)</f>
        <v/>
      </c>
      <c r="BU67" s="108">
        <f>10^(0.1*AN67)</f>
        <v/>
      </c>
      <c r="BV67" s="106">
        <f>IF(R67&gt;0,(O67-R67),"")</f>
        <v/>
      </c>
      <c r="BW67" s="106">
        <f>IF(X67&gt;0,(O67-X67),"")</f>
        <v/>
      </c>
      <c r="BX67" s="106">
        <f>IF(AB67&gt;0,(O67-AB67),"")</f>
        <v/>
      </c>
      <c r="BY67" s="106">
        <f>IF(AF67&gt;0,(O67-AF67),"")</f>
        <v/>
      </c>
      <c r="BZ67" s="106">
        <f>IF(AJ67&gt;0,(O67-AJ67),"")</f>
        <v/>
      </c>
      <c r="CA67" s="106">
        <f>IF(AN67&gt;0,(O67-AN67),"")</f>
        <v/>
      </c>
      <c r="CB67" s="106">
        <f>COUNT(BV67:CA67)</f>
        <v/>
      </c>
      <c r="CC67" s="464">
        <f>IF(CB67=0,0,IF(CB67=1,0,1/(CB67*(CB67-1))))</f>
        <v/>
      </c>
      <c r="CD67" s="136">
        <f>IF(R67&gt;0,(BV67^2),"")</f>
        <v/>
      </c>
      <c r="CE67" s="136">
        <f>IF(X67&gt;0,(BW67^2),"")</f>
        <v/>
      </c>
      <c r="CF67" s="136">
        <f>IF(AB67&gt;0,(BX67^2),"")</f>
        <v/>
      </c>
      <c r="CG67" s="136">
        <f>IF(AF67&gt;0,(BY67^2),"")</f>
        <v/>
      </c>
      <c r="CH67" s="136">
        <f>IF(AJ67&gt;0,(BZ67^2),"")</f>
        <v/>
      </c>
      <c r="CI67" s="136">
        <f>IF(AN67&gt;0,(CA67^2),"")</f>
        <v/>
      </c>
    </row>
    <row r="68" ht="18.75" customHeight="1" s="444">
      <c r="A68" s="340" t="inlineStr">
        <is>
          <t>260/05</t>
        </is>
      </c>
      <c r="B68" s="65" t="inlineStr">
        <is>
          <t>F6</t>
        </is>
      </c>
      <c r="C68" s="78" t="inlineStr">
        <is>
          <t>Scarico perzzi da pantografo</t>
        </is>
      </c>
      <c r="D68" s="83" t="inlineStr">
        <is>
          <t>/</t>
        </is>
      </c>
      <c r="E68" s="83" t="inlineStr">
        <is>
          <t>/</t>
        </is>
      </c>
      <c r="F68" s="192" t="inlineStr">
        <is>
          <t>Scarico perzzi da pantografo</t>
        </is>
      </c>
      <c r="G68" s="71" t="n">
        <v>45996</v>
      </c>
      <c r="H68" s="77" t="inlineStr">
        <is>
          <t>Compito</t>
        </is>
      </c>
      <c r="I68" s="77">
        <f>IF((V68-R68)&gt;3,"SI","")</f>
        <v/>
      </c>
      <c r="J68" s="77">
        <f>IF((U68-R68)&gt;3,"SI","")</f>
        <v/>
      </c>
      <c r="K68" s="77" t="n"/>
      <c r="L68" s="77" t="n"/>
      <c r="M68" s="137">
        <f>IF(R68&gt;0,(SQRT(CC68*(SUM(CD68:CI68)))),"")</f>
        <v/>
      </c>
      <c r="N68" s="4">
        <f>IF(T68&gt;0,(MAX(T68,Z68,AD68,AH68,AL68,AP68))+SQRT(1.2^2+1^2),"")</f>
        <v/>
      </c>
      <c r="O68" s="3">
        <f>IF(R68="",0,10*LOG10(SUM(BP68:BU68)/(COUNT(R68,X68,AB68,AF68,AJ68,AN68))))</f>
        <v/>
      </c>
      <c r="P68" s="5">
        <f>IF(AND(Y68="",AC68="",AG68="",AK68="",AO68=""),S68,AVERAGE(S68,Y68,AC68,AG68,AK68,AO68)+STDEV(S68,Y68,AC68,AG68,AK68,AO68))</f>
        <v/>
      </c>
      <c r="Q68" s="14" t="n">
        <v>300</v>
      </c>
      <c r="R68" s="11" t="n">
        <v>82.40000000000001</v>
      </c>
      <c r="S68" s="12" t="n">
        <v>83.90000000000001</v>
      </c>
      <c r="T68" s="13" t="n">
        <v>112.4</v>
      </c>
      <c r="U68" s="79" t="n">
        <v>82.40000000000001</v>
      </c>
      <c r="V68" s="79" t="n">
        <v>86.3</v>
      </c>
      <c r="W68" s="10" t="n">
        <v>300</v>
      </c>
      <c r="X68" s="11" t="n">
        <v>78.2</v>
      </c>
      <c r="Y68" s="12" t="n">
        <v>80.7</v>
      </c>
      <c r="Z68" s="13" t="n">
        <v>103</v>
      </c>
      <c r="AA68" s="10" t="n">
        <v>300</v>
      </c>
      <c r="AB68" s="11" t="n">
        <v>75.59999999999999</v>
      </c>
      <c r="AC68" s="12" t="n">
        <v>79.3</v>
      </c>
      <c r="AD68" s="13" t="n">
        <v>104.4</v>
      </c>
      <c r="AE68" s="14" t="n">
        <v>300</v>
      </c>
      <c r="AF68" s="11" t="n">
        <v>78.90000000000001</v>
      </c>
      <c r="AG68" s="12" t="n">
        <v>81.5</v>
      </c>
      <c r="AH68" s="13" t="n">
        <v>103.1</v>
      </c>
      <c r="AI68" s="10" t="n">
        <v>300</v>
      </c>
      <c r="AJ68" s="11" t="n">
        <v>79.7</v>
      </c>
      <c r="AK68" s="12" t="n">
        <v>82.09999999999999</v>
      </c>
      <c r="AL68" s="13" t="n">
        <v>103.7</v>
      </c>
      <c r="AM68" s="10" t="n">
        <v>300</v>
      </c>
      <c r="AN68" s="11" t="n">
        <v>78.09999999999999</v>
      </c>
      <c r="AO68" s="12" t="n">
        <v>80.59999999999999</v>
      </c>
      <c r="AP68" s="13" t="n">
        <v>103.5</v>
      </c>
      <c r="AQ68" s="6">
        <f>IF(AND((O68)&lt;85,N68&lt;137),"NO","SI")</f>
        <v/>
      </c>
      <c r="AR68" s="7">
        <f>IF((480*(10^(7.95-(O68/10))))&lt;480,480*(10^(7.95-(O68/10))),480)</f>
        <v/>
      </c>
      <c r="AS68" s="8">
        <f>IF((480*(10^(8.45-(O68/10))))&lt;480,480*(10^(8.45-(O68/10))),480)</f>
        <v/>
      </c>
      <c r="AT68" s="9">
        <f>IF((480*(10^(8.65-(O68/10))))&lt;480,480*(10^(8.65-(O68/10))),480)</f>
        <v/>
      </c>
      <c r="AU68" s="111">
        <f>IF(O68&lt;80,"0",IF((P68-O68)&lt;=2,('DPI art.191'!$G$3-(('DPI art.191'!$F$3-'DPI art.191'!$G$3)/4)*(P68-O68-2)),('DPI art.191'!$G$3-(('DPI art.191'!$G$3-'DPI art.191'!$H$3)/8)*(P68-O68-2))))</f>
        <v/>
      </c>
      <c r="AV68" s="24">
        <f>O68-AU68</f>
        <v/>
      </c>
      <c r="AW68" s="24">
        <f>IF(N68&lt;135,N68,N68-'DPI art.191'!$I$3)</f>
        <v/>
      </c>
      <c r="AX68" s="111">
        <f>IF(O68&lt;80,"0",IF((P68-O68)&lt;=2,('DPI art.191'!$G$5-(('DPI art.191'!$F$5-'DPI art.191'!$G$5)/4)*(P68-O68-2)),('DPI art.191'!$G$5-(('DPI art.191'!$G$5-'DPI art.191'!$H$5)/8)*(P68-O68-2))))</f>
        <v/>
      </c>
      <c r="AY68" s="24">
        <f>O68-AX68</f>
        <v/>
      </c>
      <c r="AZ68" s="24">
        <f>IF(N68&lt;135,N68,N68-'DPI art.191'!$I$5)</f>
        <v/>
      </c>
      <c r="BA68" s="111">
        <f>IF(O68&lt;80,"0",IF((P68-O68)&lt;=2,('DPI art.191'!$G$7-(('DPI art.191'!$F$7-'DPI art.191'!$G$7)/4)*(P68-O68-2)),('DPI art.191'!$G$7-(('DPI art.191'!$G$7-'DPI art.191'!$H$7)/8)*(P68-O68-2))))</f>
        <v/>
      </c>
      <c r="BB68" s="24">
        <f>O68-BA68</f>
        <v/>
      </c>
      <c r="BC68" s="24">
        <f>IF(N68&lt;135,N68,N68-'DPI art.191'!$I$7)</f>
        <v/>
      </c>
      <c r="BD68" s="111">
        <f>IF(O68&lt;80,"0",IF((P68-O68)&lt;=2,('DPI art.191'!$G$9-(('DPI art.191'!$F$9-'DPI art.191'!$G$9)/4)*(O68-P68-2)),('DPI art.191'!$G$9-(('DPI art.191'!$G$9-'DPI art.191'!$H$9)/8)*(P68-O68-2))))</f>
        <v/>
      </c>
      <c r="BE68" s="24">
        <f>O68-BD68</f>
        <v/>
      </c>
      <c r="BF68" s="24">
        <f>IF(N68&lt;135,N68,N68-'DPI art.191'!$I$9)</f>
        <v/>
      </c>
      <c r="BG68" s="111">
        <f>IF(O68&lt;80,"0",IF((P68-O68)&lt;=2,('DPI art.191'!$G$11-(('DPI art.191'!$F$11-'DPI art.191'!$G$11)/4)*(P68-O68-2)),('DPI art.191'!$G$11-(('DPI art.191'!$G$11-'DPI art.191'!$H$11)/8)*(P68-O68-2))))</f>
        <v/>
      </c>
      <c r="BH68" s="24">
        <f>O68-BG68</f>
        <v/>
      </c>
      <c r="BI68" s="24">
        <f>IF(T68&lt;135,T68,T68-'DPI art.191'!$I$11)</f>
        <v/>
      </c>
      <c r="BJ68" s="111">
        <f>IF(O68&lt;80,"0",IF((P68-O68)&lt;=2,('DPI art.191'!$G$13-(('DPI art.191'!$F$13-'DPI art.191'!$G$13)/4)*(P68-O68-2)),('DPI art.191'!$G$13-(('DPI art.191'!$G$13-'DPI art.191'!$H$13)/8)*(P68-O68-2))))</f>
        <v/>
      </c>
      <c r="BK68" s="24">
        <f>O68-BJ68</f>
        <v/>
      </c>
      <c r="BL68" s="24">
        <f>IF(T68&lt;135,T68,T68-'DPI art.191'!$I$13)</f>
        <v/>
      </c>
      <c r="BM68" s="111">
        <f>IF(O68&lt;80,"0",IF((P68-O68)&lt;=2,('DPI art.191'!$G$15-(('DPI art.191'!$F$15-'DPI art.191'!$G$15)/4)*(P68-O68-2)),('DPI art.191'!$G$15-(('DPI art.191'!$G$15-'DPI art.191'!$H$15)/8)*(P68-O68-2))))</f>
        <v/>
      </c>
      <c r="BN68" s="24">
        <f>O68-BM68</f>
        <v/>
      </c>
      <c r="BO68" s="24">
        <f>IF(Z68&lt;135,Z68,Z68-'DPI art.191'!$I$15)</f>
        <v/>
      </c>
      <c r="BP68" s="108">
        <f>10^(0.1*R68)</f>
        <v/>
      </c>
      <c r="BQ68" s="108">
        <f>10^(0.1*X68)</f>
        <v/>
      </c>
      <c r="BR68" s="108">
        <f>10^(0.1*AB68)</f>
        <v/>
      </c>
      <c r="BS68" s="108">
        <f>10^(0.1*AF68)</f>
        <v/>
      </c>
      <c r="BT68" s="108">
        <f>10^(0.1*AJ68)</f>
        <v/>
      </c>
      <c r="BU68" s="108">
        <f>10^(0.1*AN68)</f>
        <v/>
      </c>
      <c r="BV68" s="106">
        <f>IF(R68&gt;0,(O68-R68),"")</f>
        <v/>
      </c>
      <c r="BW68" s="106">
        <f>IF(X68&gt;0,(O68-X68),"")</f>
        <v/>
      </c>
      <c r="BX68" s="106">
        <f>IF(AB68&gt;0,(O68-AB68),"")</f>
        <v/>
      </c>
      <c r="BY68" s="106">
        <f>IF(AF68&gt;0,(O68-AF68),"")</f>
        <v/>
      </c>
      <c r="BZ68" s="106">
        <f>IF(AJ68&gt;0,(O68-AJ68),"")</f>
        <v/>
      </c>
      <c r="CA68" s="106">
        <f>IF(AN68&gt;0,(O68-AN68),"")</f>
        <v/>
      </c>
      <c r="CB68" s="106">
        <f>COUNT(BV68:CA68)</f>
        <v/>
      </c>
      <c r="CC68" s="464">
        <f>IF(CB68=0,0,IF(CB68=1,0,1/(CB68*(CB68-1))))</f>
        <v/>
      </c>
      <c r="CD68" s="136">
        <f>IF(R68&gt;0,(BV68^2),"")</f>
        <v/>
      </c>
      <c r="CE68" s="136">
        <f>IF(X68&gt;0,(BW68^2),"")</f>
        <v/>
      </c>
      <c r="CF68" s="136">
        <f>IF(AB68&gt;0,(BX68^2),"")</f>
        <v/>
      </c>
      <c r="CG68" s="136">
        <f>IF(AF68&gt;0,(BY68^2),"")</f>
        <v/>
      </c>
      <c r="CH68" s="136">
        <f>IF(AJ68&gt;0,(BZ68^2),"")</f>
        <v/>
      </c>
      <c r="CI68" s="136">
        <f>IF(AN68&gt;0,(CA68^2),"")</f>
        <v/>
      </c>
    </row>
    <row r="69" ht="18.75" customHeight="1" s="444">
      <c r="A69" s="340" t="inlineStr">
        <is>
          <t>262/01</t>
        </is>
      </c>
      <c r="B69" s="65" t="inlineStr">
        <is>
          <t>F7</t>
        </is>
      </c>
      <c r="C69" s="78" t="inlineStr">
        <is>
          <t>Piegatura</t>
        </is>
      </c>
      <c r="D69" s="83" t="inlineStr">
        <is>
          <t>/</t>
        </is>
      </c>
      <c r="E69" s="83" t="inlineStr">
        <is>
          <t>/</t>
        </is>
      </c>
      <c r="F69" s="192" t="inlineStr">
        <is>
          <t>Piegatura</t>
        </is>
      </c>
      <c r="G69" s="71" t="n">
        <v>45996</v>
      </c>
      <c r="H69" s="77" t="inlineStr">
        <is>
          <t>Compito</t>
        </is>
      </c>
      <c r="I69" s="77">
        <f>IF((V69-R69)&gt;3,"SI","")</f>
        <v/>
      </c>
      <c r="J69" s="77">
        <f>IF((U69-R69)&gt;3,"SI","")</f>
        <v/>
      </c>
      <c r="K69" s="77" t="n"/>
      <c r="L69" s="77" t="n"/>
      <c r="M69" s="137">
        <f>IF(R69&gt;0,(SQRT(CC69*(SUM(CD69:CI69)))),"")</f>
        <v/>
      </c>
      <c r="N69" s="4">
        <f>IF(T69&gt;0,(MAX(T69,Z69,AD69,AH69,AL69,AP69))+SQRT(1.2^2+1^2),"")</f>
        <v/>
      </c>
      <c r="O69" s="3">
        <f>IF(R69="",0,10*LOG10(SUM(BP69:BU69)/(COUNT(R69,X69,AB69,AF69,AJ69,AN69))))</f>
        <v/>
      </c>
      <c r="P69" s="5">
        <f>IF(AND(Y69="",AC69="",AG69="",AK69="",AO69=""),S69,AVERAGE(S69,Y69,AC69,AG69,AK69,AO69)+STDEV(S69,Y69,AC69,AG69,AK69,AO69))</f>
        <v/>
      </c>
      <c r="Q69" s="14" t="n">
        <v>300</v>
      </c>
      <c r="R69" s="11" t="n">
        <v>82.40000000000001</v>
      </c>
      <c r="S69" s="12" t="n">
        <v>82.5</v>
      </c>
      <c r="T69" s="13" t="n">
        <v>99.8</v>
      </c>
      <c r="U69" s="79" t="n">
        <v>83.5</v>
      </c>
      <c r="V69" s="79" t="n">
        <v>87.59999999999999</v>
      </c>
      <c r="W69" s="10" t="n">
        <v>300</v>
      </c>
      <c r="X69" s="11" t="n">
        <v>81.7</v>
      </c>
      <c r="Y69" s="12" t="n">
        <v>83.09999999999999</v>
      </c>
      <c r="Z69" s="13" t="n">
        <v>106.8</v>
      </c>
      <c r="AA69" s="10" t="n">
        <v>300</v>
      </c>
      <c r="AB69" s="11" t="n">
        <v>83.40000000000001</v>
      </c>
      <c r="AC69" s="12" t="n">
        <v>84</v>
      </c>
      <c r="AD69" s="13" t="n">
        <v>105</v>
      </c>
      <c r="AE69" s="14" t="n">
        <v>300</v>
      </c>
      <c r="AF69" s="11" t="n">
        <v>83.59999999999999</v>
      </c>
      <c r="AG69" s="12" t="n">
        <v>84</v>
      </c>
      <c r="AH69" s="13" t="n">
        <v>109.5</v>
      </c>
      <c r="AI69" s="10" t="n">
        <v>300</v>
      </c>
      <c r="AJ69" s="11" t="n">
        <v>84</v>
      </c>
      <c r="AK69" s="12" t="n">
        <v>84.5</v>
      </c>
      <c r="AL69" s="13" t="n">
        <v>115.1</v>
      </c>
      <c r="AM69" s="10" t="n">
        <v>300</v>
      </c>
      <c r="AN69" s="11" t="n">
        <v>83.3</v>
      </c>
      <c r="AO69" s="12" t="n">
        <v>83.5</v>
      </c>
      <c r="AP69" s="13" t="n">
        <v>108.8</v>
      </c>
      <c r="AQ69" s="6">
        <f>IF(AND((O69)&lt;85,N69&lt;137),"NO","SI")</f>
        <v/>
      </c>
      <c r="AR69" s="7">
        <f>IF((480*(10^(7.95-(O69/10))))&lt;480,480*(10^(7.95-(O69/10))),480)</f>
        <v/>
      </c>
      <c r="AS69" s="8">
        <f>IF((480*(10^(8.45-(O69/10))))&lt;480,480*(10^(8.45-(O69/10))),480)</f>
        <v/>
      </c>
      <c r="AT69" s="9">
        <f>IF((480*(10^(8.65-(O69/10))))&lt;480,480*(10^(8.65-(O69/10))),480)</f>
        <v/>
      </c>
      <c r="AU69" s="111">
        <f>IF(O69&lt;80,"0",IF((P69-O69)&lt;=2,('DPI art.191'!$G$3-(('DPI art.191'!$F$3-'DPI art.191'!$G$3)/4)*(P69-O69-2)),('DPI art.191'!$G$3-(('DPI art.191'!$G$3-'DPI art.191'!$H$3)/8)*(P69-O69-2))))</f>
        <v/>
      </c>
      <c r="AV69" s="24">
        <f>O69-AU69</f>
        <v/>
      </c>
      <c r="AW69" s="24">
        <f>IF(N69&lt;135,N69,N69-'DPI art.191'!$I$3)</f>
        <v/>
      </c>
      <c r="AX69" s="111">
        <f>IF(O69&lt;80,"0",IF((P69-O69)&lt;=2,('DPI art.191'!$G$5-(('DPI art.191'!$F$5-'DPI art.191'!$G$5)/4)*(P69-O69-2)),('DPI art.191'!$G$5-(('DPI art.191'!$G$5-'DPI art.191'!$H$5)/8)*(P69-O69-2))))</f>
        <v/>
      </c>
      <c r="AY69" s="24">
        <f>O69-AX69</f>
        <v/>
      </c>
      <c r="AZ69" s="24">
        <f>IF(N69&lt;135,N69,N69-'DPI art.191'!$I$5)</f>
        <v/>
      </c>
      <c r="BA69" s="111">
        <f>IF(O69&lt;80,"0",IF((P69-O69)&lt;=2,('DPI art.191'!$G$7-(('DPI art.191'!$F$7-'DPI art.191'!$G$7)/4)*(P69-O69-2)),('DPI art.191'!$G$7-(('DPI art.191'!$G$7-'DPI art.191'!$H$7)/8)*(P69-O69-2))))</f>
        <v/>
      </c>
      <c r="BB69" s="24">
        <f>O69-BA69</f>
        <v/>
      </c>
      <c r="BC69" s="24">
        <f>IF(N69&lt;135,N69,N69-'DPI art.191'!$I$7)</f>
        <v/>
      </c>
      <c r="BD69" s="111">
        <f>IF(O69&lt;80,"0",IF((P69-O69)&lt;=2,('DPI art.191'!$G$9-(('DPI art.191'!$F$9-'DPI art.191'!$G$9)/4)*(O69-P69-2)),('DPI art.191'!$G$9-(('DPI art.191'!$G$9-'DPI art.191'!$H$9)/8)*(P69-O69-2))))</f>
        <v/>
      </c>
      <c r="BE69" s="24">
        <f>O69-BD69</f>
        <v/>
      </c>
      <c r="BF69" s="24">
        <f>IF(N69&lt;135,N69,N69-'DPI art.191'!$I$9)</f>
        <v/>
      </c>
      <c r="BG69" s="111">
        <f>IF(O69&lt;80,"0",IF((P69-O69)&lt;=2,('DPI art.191'!$G$11-(('DPI art.191'!$F$11-'DPI art.191'!$G$11)/4)*(P69-O69-2)),('DPI art.191'!$G$11-(('DPI art.191'!$G$11-'DPI art.191'!$H$11)/8)*(P69-O69-2))))</f>
        <v/>
      </c>
      <c r="BH69" s="24">
        <f>O69-BG69</f>
        <v/>
      </c>
      <c r="BI69" s="24">
        <f>IF(T69&lt;135,T69,T69-'DPI art.191'!$I$11)</f>
        <v/>
      </c>
      <c r="BJ69" s="111">
        <f>IF(O69&lt;80,"0",IF((P69-O69)&lt;=2,('DPI art.191'!$G$13-(('DPI art.191'!$F$13-'DPI art.191'!$G$13)/4)*(P69-O69-2)),('DPI art.191'!$G$13-(('DPI art.191'!$G$13-'DPI art.191'!$H$13)/8)*(P69-O69-2))))</f>
        <v/>
      </c>
      <c r="BK69" s="24">
        <f>O69-BJ69</f>
        <v/>
      </c>
      <c r="BL69" s="24">
        <f>IF(T69&lt;135,T69,T69-'DPI art.191'!$I$13)</f>
        <v/>
      </c>
      <c r="BM69" s="111">
        <f>IF(O69&lt;80,"0",IF((P69-O69)&lt;=2,('DPI art.191'!$G$15-(('DPI art.191'!$F$15-'DPI art.191'!$G$15)/4)*(P69-O69-2)),('DPI art.191'!$G$15-(('DPI art.191'!$G$15-'DPI art.191'!$H$15)/8)*(P69-O69-2))))</f>
        <v/>
      </c>
      <c r="BN69" s="24">
        <f>O69-BM69</f>
        <v/>
      </c>
      <c r="BO69" s="24">
        <f>IF(Z69&lt;135,Z69,Z69-'DPI art.191'!$I$15)</f>
        <v/>
      </c>
      <c r="BP69" s="108">
        <f>10^(0.1*R69)</f>
        <v/>
      </c>
      <c r="BQ69" s="108">
        <f>10^(0.1*X69)</f>
        <v/>
      </c>
      <c r="BR69" s="108">
        <f>10^(0.1*AB69)</f>
        <v/>
      </c>
      <c r="BS69" s="108">
        <f>10^(0.1*AF69)</f>
        <v/>
      </c>
      <c r="BT69" s="108">
        <f>10^(0.1*AJ69)</f>
        <v/>
      </c>
      <c r="BU69" s="108">
        <f>10^(0.1*AN69)</f>
        <v/>
      </c>
      <c r="BV69" s="106">
        <f>IF(R69&gt;0,(O69-R69),"")</f>
        <v/>
      </c>
      <c r="BW69" s="106">
        <f>IF(X69&gt;0,(O69-X69),"")</f>
        <v/>
      </c>
      <c r="BX69" s="106">
        <f>IF(AB69&gt;0,(O69-AB69),"")</f>
        <v/>
      </c>
      <c r="BY69" s="106">
        <f>IF(AF69&gt;0,(O69-AF69),"")</f>
        <v/>
      </c>
      <c r="BZ69" s="106">
        <f>IF(AJ69&gt;0,(O69-AJ69),"")</f>
        <v/>
      </c>
      <c r="CA69" s="106">
        <f>IF(AN69&gt;0,(O69-AN69),"")</f>
        <v/>
      </c>
      <c r="CB69" s="106">
        <f>COUNT(BV69:CA69)</f>
        <v/>
      </c>
      <c r="CC69" s="464">
        <f>IF(CB69=0,0,IF(CB69=1,0,1/(CB69*(CB69-1))))</f>
        <v/>
      </c>
      <c r="CD69" s="136">
        <f>IF(R69&gt;0,(BV69^2),"")</f>
        <v/>
      </c>
      <c r="CE69" s="136">
        <f>IF(X69&gt;0,(BW69^2),"")</f>
        <v/>
      </c>
      <c r="CF69" s="136">
        <f>IF(AB69&gt;0,(BX69^2),"")</f>
        <v/>
      </c>
      <c r="CG69" s="136">
        <f>IF(AF69&gt;0,(BY69^2),"")</f>
        <v/>
      </c>
      <c r="CH69" s="136">
        <f>IF(AJ69&gt;0,(BZ69^2),"")</f>
        <v/>
      </c>
      <c r="CI69" s="136">
        <f>IF(AN69&gt;0,(CA69^2),"")</f>
        <v/>
      </c>
    </row>
    <row r="70" ht="18.75" customHeight="1" s="444">
      <c r="A70" s="340" t="inlineStr">
        <is>
          <t>024/B/PRS757</t>
        </is>
      </c>
      <c r="B70" s="65" t="inlineStr">
        <is>
          <t>F8</t>
        </is>
      </c>
      <c r="C70" s="78" t="inlineStr">
        <is>
          <t>Saldatura</t>
        </is>
      </c>
      <c r="D70" s="83" t="inlineStr">
        <is>
          <t>/</t>
        </is>
      </c>
      <c r="E70" s="83" t="inlineStr">
        <is>
          <t>/</t>
        </is>
      </c>
      <c r="F70" s="192" t="inlineStr">
        <is>
          <t>Saldatura</t>
        </is>
      </c>
      <c r="G70" s="71" t="n">
        <v>45996</v>
      </c>
      <c r="H70" s="77" t="inlineStr">
        <is>
          <t>Compito</t>
        </is>
      </c>
      <c r="I70" s="77">
        <f>IF((V70-R70)&gt;3,"SI","")</f>
        <v/>
      </c>
      <c r="J70" s="77">
        <f>IF((U70-R70)&gt;3,"SI","")</f>
        <v/>
      </c>
      <c r="K70" s="77" t="n"/>
      <c r="L70" s="77" t="n"/>
      <c r="M70" s="137">
        <f>IF(R70&gt;0,(SQRT(CC70*(SUM(CD70:CI70)))),"")</f>
        <v/>
      </c>
      <c r="N70" s="4">
        <f>IF(T70&gt;0,(MAX(T70,Z70,AD70,AH70,AL70,AP70))+SQRT(1.2^2+1^2),"")</f>
        <v/>
      </c>
      <c r="O70" s="3">
        <f>IF(R70="",0,10*LOG10(SUM(BP70:BU70)/(COUNT(R70,X70,AB70,AF70,AJ70,AN70))))</f>
        <v/>
      </c>
      <c r="P70" s="5">
        <f>IF(AND(Y70="",AC70="",AG70="",AK70="",AO70=""),S70,AVERAGE(S70,Y70,AC70,AG70,AK70,AO70)+STDEV(S70,Y70,AC70,AG70,AK70,AO70))</f>
        <v/>
      </c>
      <c r="Q70" s="14" t="n">
        <v>300</v>
      </c>
      <c r="R70" s="11" t="n">
        <v>89.3</v>
      </c>
      <c r="S70" s="12" t="n">
        <v>88.5</v>
      </c>
      <c r="T70" s="13" t="n">
        <v>126.1</v>
      </c>
      <c r="U70" s="79" t="n">
        <v>89.40000000000001</v>
      </c>
      <c r="V70" s="79" t="n">
        <v>97.7</v>
      </c>
      <c r="W70" s="10" t="n">
        <v>300</v>
      </c>
      <c r="X70" s="11" t="n">
        <v>96.59999999999999</v>
      </c>
      <c r="Y70" s="12" t="n">
        <v>95.8</v>
      </c>
      <c r="Z70" s="13" t="n">
        <v>134.8</v>
      </c>
      <c r="AA70" s="10" t="n">
        <v>300</v>
      </c>
      <c r="AB70" s="11" t="n">
        <v>82.5</v>
      </c>
      <c r="AC70" s="12" t="n">
        <v>83.2</v>
      </c>
      <c r="AD70" s="13" t="n">
        <v>116.1</v>
      </c>
      <c r="AE70" s="14" t="n">
        <v>300</v>
      </c>
      <c r="AF70" s="11" t="n">
        <v>82.59999999999999</v>
      </c>
      <c r="AG70" s="12" t="n">
        <v>82.90000000000001</v>
      </c>
      <c r="AH70" s="13" t="n">
        <v>112.9</v>
      </c>
      <c r="AI70" s="10" t="n">
        <v>300</v>
      </c>
      <c r="AJ70" s="11" t="n">
        <v>92.09999999999999</v>
      </c>
      <c r="AK70" s="12" t="n">
        <v>91.3</v>
      </c>
      <c r="AL70" s="13" t="n">
        <v>128.4</v>
      </c>
      <c r="AM70" s="10" t="n">
        <v>300</v>
      </c>
      <c r="AN70" s="11" t="n">
        <v>82</v>
      </c>
      <c r="AO70" s="12" t="n">
        <v>82.90000000000001</v>
      </c>
      <c r="AP70" s="13" t="n">
        <v>114</v>
      </c>
      <c r="AQ70" s="6">
        <f>IF(AND((O70)&lt;85,N70&lt;137),"NO","SI")</f>
        <v/>
      </c>
      <c r="AR70" s="7">
        <f>IF((480*(10^(7.95-(O70/10))))&lt;480,480*(10^(7.95-(O70/10))),480)</f>
        <v/>
      </c>
      <c r="AS70" s="8">
        <f>IF((480*(10^(8.45-(O70/10))))&lt;480,480*(10^(8.45-(O70/10))),480)</f>
        <v/>
      </c>
      <c r="AT70" s="9">
        <f>IF((480*(10^(8.65-(O70/10))))&lt;480,480*(10^(8.65-(O70/10))),480)</f>
        <v/>
      </c>
      <c r="AU70" s="111">
        <f>IF(O70&lt;80,"0",IF((P70-O70)&lt;=2,('DPI art.191'!$G$3-(('DPI art.191'!$F$3-'DPI art.191'!$G$3)/4)*(P70-O70-2)),('DPI art.191'!$G$3-(('DPI art.191'!$G$3-'DPI art.191'!$H$3)/8)*(P70-O70-2))))</f>
        <v/>
      </c>
      <c r="AV70" s="24">
        <f>O70-AU70</f>
        <v/>
      </c>
      <c r="AW70" s="24">
        <f>IF(N70&lt;135,N70,N70-'DPI art.191'!$I$3)</f>
        <v/>
      </c>
      <c r="AX70" s="111">
        <f>IF(O70&lt;80,"0",IF((P70-O70)&lt;=2,('DPI art.191'!$G$5-(('DPI art.191'!$F$5-'DPI art.191'!$G$5)/4)*(P70-O70-2)),('DPI art.191'!$G$5-(('DPI art.191'!$G$5-'DPI art.191'!$H$5)/8)*(P70-O70-2))))</f>
        <v/>
      </c>
      <c r="AY70" s="24">
        <f>O70-AX70</f>
        <v/>
      </c>
      <c r="AZ70" s="24">
        <f>IF(N70&lt;135,N70,N70-'DPI art.191'!$I$5)</f>
        <v/>
      </c>
      <c r="BA70" s="111">
        <f>IF(O70&lt;80,"0",IF((P70-O70)&lt;=2,('DPI art.191'!$G$7-(('DPI art.191'!$F$7-'DPI art.191'!$G$7)/4)*(P70-O70-2)),('DPI art.191'!$G$7-(('DPI art.191'!$G$7-'DPI art.191'!$H$7)/8)*(P70-O70-2))))</f>
        <v/>
      </c>
      <c r="BB70" s="24">
        <f>O70-BA70</f>
        <v/>
      </c>
      <c r="BC70" s="24">
        <f>IF(N70&lt;135,N70,N70-'DPI art.191'!$I$7)</f>
        <v/>
      </c>
      <c r="BD70" s="111">
        <f>IF(O70&lt;80,"0",IF((P70-O70)&lt;=2,('DPI art.191'!$G$9-(('DPI art.191'!$F$9-'DPI art.191'!$G$9)/4)*(O70-P70-2)),('DPI art.191'!$G$9-(('DPI art.191'!$G$9-'DPI art.191'!$H$9)/8)*(P70-O70-2))))</f>
        <v/>
      </c>
      <c r="BE70" s="24">
        <f>O70-BD70</f>
        <v/>
      </c>
      <c r="BF70" s="24">
        <f>IF(N70&lt;135,N70,N70-'DPI art.191'!$I$9)</f>
        <v/>
      </c>
      <c r="BG70" s="111">
        <f>IF(O70&lt;80,"0",IF((P70-O70)&lt;=2,('DPI art.191'!$G$11-(('DPI art.191'!$F$11-'DPI art.191'!$G$11)/4)*(P70-O70-2)),('DPI art.191'!$G$11-(('DPI art.191'!$G$11-'DPI art.191'!$H$11)/8)*(P70-O70-2))))</f>
        <v/>
      </c>
      <c r="BH70" s="24">
        <f>O70-BG70</f>
        <v/>
      </c>
      <c r="BI70" s="24">
        <f>IF(T70&lt;135,T70,T70-'DPI art.191'!$I$11)</f>
        <v/>
      </c>
      <c r="BJ70" s="111">
        <f>IF(O70&lt;80,"0",IF((P70-O70)&lt;=2,('DPI art.191'!$G$13-(('DPI art.191'!$F$13-'DPI art.191'!$G$13)/4)*(P70-O70-2)),('DPI art.191'!$G$13-(('DPI art.191'!$G$13-'DPI art.191'!$H$13)/8)*(P70-O70-2))))</f>
        <v/>
      </c>
      <c r="BK70" s="24">
        <f>O70-BJ70</f>
        <v/>
      </c>
      <c r="BL70" s="24">
        <f>IF(T70&lt;135,T70,T70-'DPI art.191'!$I$13)</f>
        <v/>
      </c>
      <c r="BM70" s="111">
        <f>IF(O70&lt;80,"0",IF((P70-O70)&lt;=2,('DPI art.191'!$G$15-(('DPI art.191'!$F$15-'DPI art.191'!$G$15)/4)*(P70-O70-2)),('DPI art.191'!$G$15-(('DPI art.191'!$G$15-'DPI art.191'!$H$15)/8)*(P70-O70-2))))</f>
        <v/>
      </c>
      <c r="BN70" s="24">
        <f>O70-BM70</f>
        <v/>
      </c>
      <c r="BO70" s="24">
        <f>IF(Z70&lt;135,Z70,Z70-'DPI art.191'!$I$15)</f>
        <v/>
      </c>
      <c r="BP70" s="108">
        <f>10^(0.1*R70)</f>
        <v/>
      </c>
      <c r="BQ70" s="108">
        <f>10^(0.1*X70)</f>
        <v/>
      </c>
      <c r="BR70" s="108">
        <f>10^(0.1*AB70)</f>
        <v/>
      </c>
      <c r="BS70" s="108">
        <f>10^(0.1*AF70)</f>
        <v/>
      </c>
      <c r="BT70" s="108">
        <f>10^(0.1*AJ70)</f>
        <v/>
      </c>
      <c r="BU70" s="108">
        <f>10^(0.1*AN70)</f>
        <v/>
      </c>
      <c r="BV70" s="106">
        <f>IF(R70&gt;0,(O70-R70),"")</f>
        <v/>
      </c>
      <c r="BW70" s="106">
        <f>IF(X70&gt;0,(O70-X70),"")</f>
        <v/>
      </c>
      <c r="BX70" s="106">
        <f>IF(AB70&gt;0,(O70-AB70),"")</f>
        <v/>
      </c>
      <c r="BY70" s="106">
        <f>IF(AF70&gt;0,(O70-AF70),"")</f>
        <v/>
      </c>
      <c r="BZ70" s="106">
        <f>IF(AJ70&gt;0,(O70-AJ70),"")</f>
        <v/>
      </c>
      <c r="CA70" s="106">
        <f>IF(AN70&gt;0,(O70-AN70),"")</f>
        <v/>
      </c>
      <c r="CB70" s="106">
        <f>COUNT(BV70:CA70)</f>
        <v/>
      </c>
      <c r="CC70" s="464">
        <f>IF(CB70=0,0,IF(CB70=1,0,1/(CB70*(CB70-1))))</f>
        <v/>
      </c>
      <c r="CD70" s="136">
        <f>IF(R70&gt;0,(BV70^2),"")</f>
        <v/>
      </c>
      <c r="CE70" s="136">
        <f>IF(X70&gt;0,(BW70^2),"")</f>
        <v/>
      </c>
      <c r="CF70" s="136">
        <f>IF(AB70&gt;0,(BX70^2),"")</f>
        <v/>
      </c>
      <c r="CG70" s="136">
        <f>IF(AF70&gt;0,(BY70^2),"")</f>
        <v/>
      </c>
      <c r="CH70" s="136">
        <f>IF(AJ70&gt;0,(BZ70^2),"")</f>
        <v/>
      </c>
      <c r="CI70" s="136">
        <f>IF(AN70&gt;0,(CA70^2),"")</f>
        <v/>
      </c>
    </row>
    <row r="71" ht="25.5" customHeight="1" s="444">
      <c r="A71" s="340" t="inlineStr">
        <is>
          <t>Gualdo 1</t>
        </is>
      </c>
      <c r="B71" s="65" t="inlineStr">
        <is>
          <t>F9</t>
        </is>
      </c>
      <c r="C71" s="78" t="inlineStr">
        <is>
          <t>Assistenza alle movimentazioni esterne in prossimità di autogru</t>
        </is>
      </c>
      <c r="D71" s="83" t="inlineStr">
        <is>
          <t>/</t>
        </is>
      </c>
      <c r="E71" s="83" t="inlineStr">
        <is>
          <t>/</t>
        </is>
      </c>
      <c r="F71" s="78" t="inlineStr">
        <is>
          <t>Assistenza alle movimentazioni esterne in prossimità di autogru</t>
        </is>
      </c>
      <c r="G71" s="71" t="n">
        <v>45996</v>
      </c>
      <c r="H71" s="77" t="inlineStr">
        <is>
          <t>Compito</t>
        </is>
      </c>
      <c r="I71" s="77">
        <f>IF((V71-R71)&gt;3,"SI","")</f>
        <v/>
      </c>
      <c r="J71" s="77" t="inlineStr">
        <is>
          <t>SI</t>
        </is>
      </c>
      <c r="K71" s="77" t="n"/>
      <c r="L71" s="77" t="n"/>
      <c r="M71" s="137">
        <f>IF(R71&gt;0,(SQRT(CC71*(SUM(CD71:CI71)))),"")</f>
        <v/>
      </c>
      <c r="N71" s="4">
        <f>IF(T71&gt;0,(MAX(T71,Z71,AD71,AH71,AL71,AP71))+SQRT(1.2^2+1^2),"")</f>
        <v/>
      </c>
      <c r="O71" s="3">
        <f>IF(R71="",0,10*LOG10(SUM(BP71:BU71)/(COUNT(R71,X71,AB71,AF71,AJ71,AN71))))</f>
        <v/>
      </c>
      <c r="P71" s="5">
        <f>IF(AND(Y71="",AC71="",AG71="",AK71="",AO71=""),S71,AVERAGE(S71,Y71,AC71,AG71,AK71,AO71)+STDEV(S71,Y71,AC71,AG71,AK71,AO71))</f>
        <v/>
      </c>
      <c r="Q71" s="14" t="n">
        <v>300</v>
      </c>
      <c r="R71" s="11" t="n">
        <v>80</v>
      </c>
      <c r="S71" s="12" t="n">
        <v>81</v>
      </c>
      <c r="T71" s="13" t="n">
        <v>95.5</v>
      </c>
      <c r="U71" s="79" t="n">
        <v>66.09999999999999</v>
      </c>
      <c r="V71" s="79" t="n">
        <v>70.40000000000001</v>
      </c>
      <c r="W71" s="10" t="n">
        <v>300</v>
      </c>
      <c r="X71" s="11" t="n">
        <v>78.5</v>
      </c>
      <c r="Y71" s="12" t="n">
        <v>87.8</v>
      </c>
      <c r="Z71" s="13" t="n">
        <v>119.4</v>
      </c>
      <c r="AA71" s="10" t="n">
        <v>300</v>
      </c>
      <c r="AB71" s="11" t="n">
        <v>83</v>
      </c>
      <c r="AC71" s="12" t="n">
        <v>92.59999999999999</v>
      </c>
      <c r="AD71" s="13" t="n">
        <v>109.9</v>
      </c>
      <c r="AE71" s="14" t="n">
        <v>300</v>
      </c>
      <c r="AF71" s="11" t="n">
        <v>81.8</v>
      </c>
      <c r="AG71" s="12" t="n">
        <v>91.8</v>
      </c>
      <c r="AH71" s="13" t="n">
        <v>113.1</v>
      </c>
      <c r="AI71" s="10" t="n">
        <v>300</v>
      </c>
      <c r="AJ71" s="11" t="n">
        <v>83.7</v>
      </c>
      <c r="AK71" s="12" t="n">
        <v>93.5</v>
      </c>
      <c r="AL71" s="13" t="n">
        <v>107.8</v>
      </c>
      <c r="AM71" s="10" t="n">
        <v>300</v>
      </c>
      <c r="AN71" s="11" t="n">
        <v>84</v>
      </c>
      <c r="AO71" s="12" t="n">
        <v>94.09999999999999</v>
      </c>
      <c r="AP71" s="13" t="n">
        <v>115.4</v>
      </c>
      <c r="AQ71" s="6">
        <f>IF(AND((O71)&lt;85,N71&lt;137),"NO","SI")</f>
        <v/>
      </c>
      <c r="AR71" s="7">
        <f>IF((480*(10^(7.95-(O71/10))))&lt;480,480*(10^(7.95-(O71/10))),480)</f>
        <v/>
      </c>
      <c r="AS71" s="8">
        <f>IF((480*(10^(8.45-(O71/10))))&lt;480,480*(10^(8.45-(O71/10))),480)</f>
        <v/>
      </c>
      <c r="AT71" s="9">
        <f>IF((480*(10^(8.65-(O71/10))))&lt;480,480*(10^(8.65-(O71/10))),480)</f>
        <v/>
      </c>
      <c r="AU71" s="111">
        <f>IF(O71&lt;80,"0",IF((P71-O71)&lt;=2,('DPI art.191'!$G$3-(('DPI art.191'!$F$3-'DPI art.191'!$G$3)/4)*(P71-O71-2)),('DPI art.191'!$G$3-(('DPI art.191'!$G$3-'DPI art.191'!$H$3)/8)*(P71-O71-2))))</f>
        <v/>
      </c>
      <c r="AV71" s="24">
        <f>O71-AU71</f>
        <v/>
      </c>
      <c r="AW71" s="24">
        <f>IF(N71&lt;135,N71,N71-'DPI art.191'!$I$3)</f>
        <v/>
      </c>
      <c r="AX71" s="111">
        <f>IF(O71&lt;80,"0",IF((P71-O71)&lt;=2,('DPI art.191'!$G$5-(('DPI art.191'!$F$5-'DPI art.191'!$G$5)/4)*(P71-O71-2)),('DPI art.191'!$G$5-(('DPI art.191'!$G$5-'DPI art.191'!$H$5)/8)*(P71-O71-2))))</f>
        <v/>
      </c>
      <c r="AY71" s="24">
        <f>O71-AX71</f>
        <v/>
      </c>
      <c r="AZ71" s="24">
        <f>IF(N71&lt;135,N71,N71-'DPI art.191'!$I$5)</f>
        <v/>
      </c>
      <c r="BA71" s="111">
        <f>IF(O71&lt;80,"0",IF((P71-O71)&lt;=2,('DPI art.191'!$G$7-(('DPI art.191'!$F$7-'DPI art.191'!$G$7)/4)*(P71-O71-2)),('DPI art.191'!$G$7-(('DPI art.191'!$G$7-'DPI art.191'!$H$7)/8)*(P71-O71-2))))</f>
        <v/>
      </c>
      <c r="BB71" s="24">
        <f>O71-BA71</f>
        <v/>
      </c>
      <c r="BC71" s="24">
        <f>IF(N71&lt;135,N71,N71-'DPI art.191'!$I$7)</f>
        <v/>
      </c>
      <c r="BD71" s="111">
        <f>IF(O71&lt;80,"0",IF((P71-O71)&lt;=2,('DPI art.191'!$G$9-(('DPI art.191'!$F$9-'DPI art.191'!$G$9)/4)*(O71-P71-2)),('DPI art.191'!$G$9-(('DPI art.191'!$G$9-'DPI art.191'!$H$9)/8)*(P71-O71-2))))</f>
        <v/>
      </c>
      <c r="BE71" s="24">
        <f>O71-BD71</f>
        <v/>
      </c>
      <c r="BF71" s="24">
        <f>IF(N71&lt;135,N71,N71-'DPI art.191'!$I$9)</f>
        <v/>
      </c>
      <c r="BG71" s="111">
        <f>IF(O71&lt;80,"0",IF((P71-O71)&lt;=2,('DPI art.191'!$G$11-(('DPI art.191'!$F$11-'DPI art.191'!$G$11)/4)*(P71-O71-2)),('DPI art.191'!$G$11-(('DPI art.191'!$G$11-'DPI art.191'!$H$11)/8)*(P71-O71-2))))</f>
        <v/>
      </c>
      <c r="BH71" s="24">
        <f>O71-BG71</f>
        <v/>
      </c>
      <c r="BI71" s="24">
        <f>IF(T71&lt;135,T71,T71-'DPI art.191'!$I$11)</f>
        <v/>
      </c>
      <c r="BJ71" s="111">
        <f>IF(O71&lt;80,"0",IF((P71-O71)&lt;=2,('DPI art.191'!$G$13-(('DPI art.191'!$F$13-'DPI art.191'!$G$13)/4)*(P71-O71-2)),('DPI art.191'!$G$13-(('DPI art.191'!$G$13-'DPI art.191'!$H$13)/8)*(P71-O71-2))))</f>
        <v/>
      </c>
      <c r="BK71" s="24">
        <f>O71-BJ71</f>
        <v/>
      </c>
      <c r="BL71" s="24">
        <f>IF(T71&lt;135,T71,T71-'DPI art.191'!$I$13)</f>
        <v/>
      </c>
      <c r="BM71" s="111">
        <f>IF(O71&lt;80,"0",IF((P71-O71)&lt;=2,('DPI art.191'!$G$15-(('DPI art.191'!$F$15-'DPI art.191'!$G$15)/4)*(P71-O71-2)),('DPI art.191'!$G$15-(('DPI art.191'!$G$15-'DPI art.191'!$H$15)/8)*(P71-O71-2))))</f>
        <v/>
      </c>
      <c r="BN71" s="24">
        <f>O71-BM71</f>
        <v/>
      </c>
      <c r="BO71" s="24">
        <f>IF(Z71&lt;135,Z71,Z71-'DPI art.191'!$I$15)</f>
        <v/>
      </c>
      <c r="BP71" s="108">
        <f>10^(0.1*R71)</f>
        <v/>
      </c>
      <c r="BQ71" s="108">
        <f>10^(0.1*X71)</f>
        <v/>
      </c>
      <c r="BR71" s="108">
        <f>10^(0.1*AB71)</f>
        <v/>
      </c>
      <c r="BS71" s="108">
        <f>10^(0.1*AF71)</f>
        <v/>
      </c>
      <c r="BT71" s="108">
        <f>10^(0.1*AJ71)</f>
        <v/>
      </c>
      <c r="BU71" s="108">
        <f>10^(0.1*AN71)</f>
        <v/>
      </c>
      <c r="BV71" s="106">
        <f>IF(R71&gt;0,(O71-R71),"")</f>
        <v/>
      </c>
      <c r="BW71" s="106">
        <f>IF(X71&gt;0,(O71-X71),"")</f>
        <v/>
      </c>
      <c r="BX71" s="106">
        <f>IF(AB71&gt;0,(O71-AB71),"")</f>
        <v/>
      </c>
      <c r="BY71" s="106">
        <f>IF(AF71&gt;0,(O71-AF71),"")</f>
        <v/>
      </c>
      <c r="BZ71" s="106">
        <f>IF(AJ71&gt;0,(O71-AJ71),"")</f>
        <v/>
      </c>
      <c r="CA71" s="106">
        <f>IF(AN71&gt;0,(O71-AN71),"")</f>
        <v/>
      </c>
      <c r="CB71" s="106">
        <f>COUNT(BV71:CA71)</f>
        <v/>
      </c>
      <c r="CC71" s="464">
        <f>IF(CB71=0,0,IF(CB71=1,0,1/(CB71*(CB71-1))))</f>
        <v/>
      </c>
      <c r="CD71" s="136">
        <f>IF(R71&gt;0,(BV71^2),"")</f>
        <v/>
      </c>
      <c r="CE71" s="136">
        <f>IF(X71&gt;0,(BW71^2),"")</f>
        <v/>
      </c>
      <c r="CF71" s="136">
        <f>IF(AB71&gt;0,(BX71^2),"")</f>
        <v/>
      </c>
      <c r="CG71" s="136">
        <f>IF(AF71&gt;0,(BY71^2),"")</f>
        <v/>
      </c>
      <c r="CH71" s="136">
        <f>IF(AJ71&gt;0,(BZ71^2),"")</f>
        <v/>
      </c>
      <c r="CI71" s="136">
        <f>IF(AN71&gt;0,(CA71^2),"")</f>
        <v/>
      </c>
    </row>
    <row r="72" ht="18.75" customHeight="1" s="444">
      <c r="A72" s="340" t="inlineStr">
        <is>
          <t>Gualdo 1</t>
        </is>
      </c>
      <c r="B72" s="65" t="inlineStr">
        <is>
          <t>F10</t>
        </is>
      </c>
      <c r="C72" s="78" t="inlineStr">
        <is>
          <t>Box esterno pausa ristoro</t>
        </is>
      </c>
      <c r="D72" s="83" t="inlineStr">
        <is>
          <t>/</t>
        </is>
      </c>
      <c r="E72" s="83" t="inlineStr">
        <is>
          <t>/</t>
        </is>
      </c>
      <c r="F72" s="78" t="inlineStr">
        <is>
          <t>Box esterno pausa ristoro</t>
        </is>
      </c>
      <c r="G72" s="71" t="n">
        <v>45996</v>
      </c>
      <c r="H72" s="77" t="inlineStr">
        <is>
          <t>Compito</t>
        </is>
      </c>
      <c r="I72" s="77">
        <f>IF((V72-R72)&gt;3,"SI","")</f>
        <v/>
      </c>
      <c r="J72" s="77">
        <f>IF((U72-R72)&gt;3,"SI","")</f>
        <v/>
      </c>
      <c r="K72" s="77" t="n"/>
      <c r="L72" s="77" t="n"/>
      <c r="M72" s="137">
        <f>IF(R72&gt;0,(SQRT(CC72*(SUM(CD72:CI72)))),"")</f>
        <v/>
      </c>
      <c r="N72" s="4">
        <f>IF(T72&gt;0,(MAX(T72,Z72,AD72,AH72,AL72,AP72))+SQRT(1.2^2+1^2),"")</f>
        <v/>
      </c>
      <c r="O72" s="3">
        <f>IF(R72="",0,10*LOG10(SUM(BP72:BU72)/(COUNT(R72,X72,AB72,AF72,AJ72,AN72))))</f>
        <v/>
      </c>
      <c r="P72" s="5">
        <f>IF(AND(Y72="",AC72="",AG72="",AK72="",AO72=""),S72,AVERAGE(S72,Y72,AC72,AG72,AK72,AO72)+STDEV(S72,Y72,AC72,AG72,AK72,AO72))</f>
        <v/>
      </c>
      <c r="Q72" s="14" t="n">
        <v>300</v>
      </c>
      <c r="R72" s="11" t="n">
        <v>79.7</v>
      </c>
      <c r="S72" s="12" t="n">
        <v>82.5</v>
      </c>
      <c r="T72" s="13" t="n">
        <v>107.8</v>
      </c>
      <c r="U72" s="79" t="n">
        <v>79.8</v>
      </c>
      <c r="V72" s="79" t="n">
        <v>86.40000000000001</v>
      </c>
      <c r="W72" s="10" t="n">
        <v>300</v>
      </c>
      <c r="X72" s="11" t="n">
        <v>72.2</v>
      </c>
      <c r="Y72" s="12" t="n">
        <v>78</v>
      </c>
      <c r="Z72" s="13" t="n">
        <v>100.2</v>
      </c>
      <c r="AA72" s="10" t="n">
        <v>300</v>
      </c>
      <c r="AB72" s="11" t="n">
        <v>70.09999999999999</v>
      </c>
      <c r="AC72" s="12" t="n">
        <v>74.40000000000001</v>
      </c>
      <c r="AD72" s="13" t="n">
        <v>99.40000000000001</v>
      </c>
      <c r="AE72" s="14" t="n">
        <v>300</v>
      </c>
      <c r="AF72" s="11" t="n">
        <v>71</v>
      </c>
      <c r="AG72" s="12" t="n">
        <v>75.09999999999999</v>
      </c>
      <c r="AH72" s="13" t="n">
        <v>104.2</v>
      </c>
      <c r="AI72" s="10" t="n">
        <v>300</v>
      </c>
      <c r="AJ72" s="11" t="n">
        <v>74.59999999999999</v>
      </c>
      <c r="AK72" s="12" t="n">
        <v>77.7</v>
      </c>
      <c r="AL72" s="13" t="n">
        <v>108.4</v>
      </c>
      <c r="AM72" s="10" t="n">
        <v>300</v>
      </c>
      <c r="AN72" s="11" t="n">
        <v>71.2</v>
      </c>
      <c r="AO72" s="12" t="n">
        <v>74.90000000000001</v>
      </c>
      <c r="AP72" s="13" t="n">
        <v>97.59999999999999</v>
      </c>
      <c r="AQ72" s="6">
        <f>IF(AND((O72)&lt;85,N72&lt;137),"NO","SI")</f>
        <v/>
      </c>
      <c r="AR72" s="7">
        <f>IF((480*(10^(7.95-(O72/10))))&lt;480,480*(10^(7.95-(O72/10))),480)</f>
        <v/>
      </c>
      <c r="AS72" s="8">
        <f>IF((480*(10^(8.45-(O72/10))))&lt;480,480*(10^(8.45-(O72/10))),480)</f>
        <v/>
      </c>
      <c r="AT72" s="9">
        <f>IF((480*(10^(8.65-(O72/10))))&lt;480,480*(10^(8.65-(O72/10))),480)</f>
        <v/>
      </c>
      <c r="AU72" s="111">
        <f>IF(O72&lt;80,"0",IF((P72-O72)&lt;=2,('DPI art.191'!$G$3-(('DPI art.191'!$F$3-'DPI art.191'!$G$3)/4)*(P72-O72-2)),('DPI art.191'!$G$3-(('DPI art.191'!$G$3-'DPI art.191'!$H$3)/8)*(P72-O72-2))))</f>
        <v/>
      </c>
      <c r="AV72" s="24">
        <f>O72-AU72</f>
        <v/>
      </c>
      <c r="AW72" s="24">
        <f>IF(N72&lt;135,N72,N72-'DPI art.191'!$I$3)</f>
        <v/>
      </c>
      <c r="AX72" s="111">
        <f>IF(O72&lt;80,"0",IF((P72-O72)&lt;=2,('DPI art.191'!$G$5-(('DPI art.191'!$F$5-'DPI art.191'!$G$5)/4)*(P72-O72-2)),('DPI art.191'!$G$5-(('DPI art.191'!$G$5-'DPI art.191'!$H$5)/8)*(P72-O72-2))))</f>
        <v/>
      </c>
      <c r="AY72" s="24">
        <f>O72-AX72</f>
        <v/>
      </c>
      <c r="AZ72" s="24">
        <f>IF(N72&lt;135,N72,N72-'DPI art.191'!$I$5)</f>
        <v/>
      </c>
      <c r="BA72" s="111">
        <f>IF(O72&lt;80,"0",IF((P72-O72)&lt;=2,('DPI art.191'!$G$7-(('DPI art.191'!$F$7-'DPI art.191'!$G$7)/4)*(P72-O72-2)),('DPI art.191'!$G$7-(('DPI art.191'!$G$7-'DPI art.191'!$H$7)/8)*(P72-O72-2))))</f>
        <v/>
      </c>
      <c r="BB72" s="24">
        <f>O72-BA72</f>
        <v/>
      </c>
      <c r="BC72" s="24">
        <f>IF(N72&lt;135,N72,N72-'DPI art.191'!$I$7)</f>
        <v/>
      </c>
      <c r="BD72" s="111">
        <f>IF(O72&lt;80,"0",IF((P72-O72)&lt;=2,('DPI art.191'!$G$9-(('DPI art.191'!$F$9-'DPI art.191'!$G$9)/4)*(O72-P72-2)),('DPI art.191'!$G$9-(('DPI art.191'!$G$9-'DPI art.191'!$H$9)/8)*(P72-O72-2))))</f>
        <v/>
      </c>
      <c r="BE72" s="24">
        <f>O72-BD72</f>
        <v/>
      </c>
      <c r="BF72" s="24">
        <f>IF(N72&lt;135,N72,N72-'DPI art.191'!$I$9)</f>
        <v/>
      </c>
      <c r="BG72" s="111">
        <f>IF(O72&lt;80,"0",IF((P72-O72)&lt;=2,('DPI art.191'!$G$11-(('DPI art.191'!$F$11-'DPI art.191'!$G$11)/4)*(P72-O72-2)),('DPI art.191'!$G$11-(('DPI art.191'!$G$11-'DPI art.191'!$H$11)/8)*(P72-O72-2))))</f>
        <v/>
      </c>
      <c r="BH72" s="24">
        <f>O72-BG72</f>
        <v/>
      </c>
      <c r="BI72" s="24">
        <f>IF(T72&lt;135,T72,T72-'DPI art.191'!$I$11)</f>
        <v/>
      </c>
      <c r="BJ72" s="111">
        <f>IF(O72&lt;80,"0",IF((P72-O72)&lt;=2,('DPI art.191'!$G$13-(('DPI art.191'!$F$13-'DPI art.191'!$G$13)/4)*(P72-O72-2)),('DPI art.191'!$G$13-(('DPI art.191'!$G$13-'DPI art.191'!$H$13)/8)*(P72-O72-2))))</f>
        <v/>
      </c>
      <c r="BK72" s="24">
        <f>O72-BJ72</f>
        <v/>
      </c>
      <c r="BL72" s="24">
        <f>IF(T72&lt;135,T72,T72-'DPI art.191'!$I$13)</f>
        <v/>
      </c>
      <c r="BM72" s="111">
        <f>IF(O72&lt;80,"0",IF((P72-O72)&lt;=2,('DPI art.191'!$G$15-(('DPI art.191'!$F$15-'DPI art.191'!$G$15)/4)*(P72-O72-2)),('DPI art.191'!$G$15-(('DPI art.191'!$G$15-'DPI art.191'!$H$15)/8)*(P72-O72-2))))</f>
        <v/>
      </c>
      <c r="BN72" s="24">
        <f>O72-BM72</f>
        <v/>
      </c>
      <c r="BO72" s="24">
        <f>IF(Z72&lt;135,Z72,Z72-'DPI art.191'!$I$15)</f>
        <v/>
      </c>
      <c r="BP72" s="108">
        <f>10^(0.1*R72)</f>
        <v/>
      </c>
      <c r="BQ72" s="108">
        <f>10^(0.1*X72)</f>
        <v/>
      </c>
      <c r="BR72" s="108">
        <f>10^(0.1*AB72)</f>
        <v/>
      </c>
      <c r="BS72" s="108">
        <f>10^(0.1*AF72)</f>
        <v/>
      </c>
      <c r="BT72" s="108">
        <f>10^(0.1*AJ72)</f>
        <v/>
      </c>
      <c r="BU72" s="108">
        <f>10^(0.1*AN72)</f>
        <v/>
      </c>
      <c r="BV72" s="106">
        <f>IF(R72&gt;0,(O72-R72),"")</f>
        <v/>
      </c>
      <c r="BW72" s="106">
        <f>IF(X72&gt;0,(O72-X72),"")</f>
        <v/>
      </c>
      <c r="BX72" s="106">
        <f>IF(AB72&gt;0,(O72-AB72),"")</f>
        <v/>
      </c>
      <c r="BY72" s="106">
        <f>IF(AF72&gt;0,(O72-AF72),"")</f>
        <v/>
      </c>
      <c r="BZ72" s="106">
        <f>IF(AJ72&gt;0,(O72-AJ72),"")</f>
        <v/>
      </c>
      <c r="CA72" s="106">
        <f>IF(AN72&gt;0,(O72-AN72),"")</f>
        <v/>
      </c>
      <c r="CB72" s="106">
        <f>COUNT(BV72:CA72)</f>
        <v/>
      </c>
      <c r="CC72" s="464">
        <f>IF(CB72=0,0,IF(CB72=1,0,1/(CB72*(CB72-1))))</f>
        <v/>
      </c>
      <c r="CD72" s="136">
        <f>IF(R72&gt;0,(BV72^2),"")</f>
        <v/>
      </c>
      <c r="CE72" s="136">
        <f>IF(X72&gt;0,(BW72^2),"")</f>
        <v/>
      </c>
      <c r="CF72" s="136">
        <f>IF(AB72&gt;0,(BX72^2),"")</f>
        <v/>
      </c>
      <c r="CG72" s="136">
        <f>IF(AF72&gt;0,(BY72^2),"")</f>
        <v/>
      </c>
      <c r="CH72" s="136">
        <f>IF(AJ72&gt;0,(BZ72^2),"")</f>
        <v/>
      </c>
      <c r="CI72" s="136">
        <f>IF(AN72&gt;0,(CA72^2),"")</f>
        <v/>
      </c>
    </row>
    <row r="73" ht="25.5" customHeight="1" s="444">
      <c r="A73" s="340" t="inlineStr">
        <is>
          <t>037/ED14</t>
        </is>
      </c>
      <c r="B73" s="65" t="inlineStr">
        <is>
          <t>F11</t>
        </is>
      </c>
      <c r="C73" s="78" t="inlineStr">
        <is>
          <t>Movimentazioni in piazzale esterno con gru a torre</t>
        </is>
      </c>
      <c r="D73" s="83" t="inlineStr">
        <is>
          <t>/</t>
        </is>
      </c>
      <c r="E73" s="83" t="inlineStr">
        <is>
          <t>/</t>
        </is>
      </c>
      <c r="F73" s="78" t="inlineStr">
        <is>
          <t>Movimentazioni in piazzale esterno con gru a torre</t>
        </is>
      </c>
      <c r="G73" s="71" t="n">
        <v>45996</v>
      </c>
      <c r="H73" s="77" t="inlineStr">
        <is>
          <t>Compito</t>
        </is>
      </c>
      <c r="I73" s="77">
        <f>IF((V73-R73)&gt;3,"SI","")</f>
        <v/>
      </c>
      <c r="J73" s="77">
        <f>IF((U73-R73)&gt;3,"SI","")</f>
        <v/>
      </c>
      <c r="K73" s="77" t="n"/>
      <c r="L73" s="77" t="n"/>
      <c r="M73" s="137">
        <f>IF(R73&gt;0,(SQRT(CC73*(SUM(CD73:CI73)))),"")</f>
        <v/>
      </c>
      <c r="N73" s="4">
        <f>IF(T73&gt;0,(MAX(T73,Z73,AD73,AH73,AL73,AP73))+SQRT(1.2^2+1^2),"")</f>
        <v/>
      </c>
      <c r="O73" s="3">
        <f>IF(R73="",0,10*LOG10(SUM(BP73:BU73)/(COUNT(R73,X73,AB73,AF73,AJ73,AN73))))</f>
        <v/>
      </c>
      <c r="P73" s="5">
        <f>IF(AND(Y73="",AC73="",AG73="",AK73="",AO73=""),S73,AVERAGE(S73,Y73,AC73,AG73,AK73,AO73)+STDEV(S73,Y73,AC73,AG73,AK73,AO73))</f>
        <v/>
      </c>
      <c r="Q73" s="14" t="n">
        <v>300</v>
      </c>
      <c r="R73" s="11" t="n">
        <v>62.8</v>
      </c>
      <c r="S73" s="12" t="n">
        <v>70.5</v>
      </c>
      <c r="T73" s="13" t="n">
        <v>98.2</v>
      </c>
      <c r="U73" s="79" t="n">
        <v>62.7</v>
      </c>
      <c r="V73" s="79" t="n">
        <v>69.59999999999999</v>
      </c>
      <c r="W73" s="10" t="n">
        <v>300</v>
      </c>
      <c r="X73" s="11" t="n">
        <v>64.2</v>
      </c>
      <c r="Y73" s="12" t="n">
        <v>71.90000000000001</v>
      </c>
      <c r="Z73" s="13" t="n">
        <v>91.7</v>
      </c>
      <c r="AA73" s="10" t="n">
        <v>300</v>
      </c>
      <c r="AB73" s="11" t="n">
        <v>59.9</v>
      </c>
      <c r="AC73" s="12" t="n">
        <v>67.7</v>
      </c>
      <c r="AD73" s="13" t="n">
        <v>91.2</v>
      </c>
      <c r="AE73" s="14" t="n">
        <v>300</v>
      </c>
      <c r="AF73" s="11" t="n">
        <v>57.9</v>
      </c>
      <c r="AG73" s="12" t="n">
        <v>64.7</v>
      </c>
      <c r="AH73" s="13" t="n">
        <v>90.09999999999999</v>
      </c>
      <c r="AI73" s="10" t="n">
        <v>300</v>
      </c>
      <c r="AJ73" s="11" t="n">
        <v>58.6</v>
      </c>
      <c r="AK73" s="12" t="n">
        <v>67.59999999999999</v>
      </c>
      <c r="AL73" s="13" t="n">
        <v>89.2</v>
      </c>
      <c r="AM73" s="10" t="n">
        <v>300</v>
      </c>
      <c r="AN73" s="11" t="n">
        <v>60.9</v>
      </c>
      <c r="AO73" s="12" t="n">
        <v>67.40000000000001</v>
      </c>
      <c r="AP73" s="13" t="n">
        <v>96.59999999999999</v>
      </c>
      <c r="AQ73" s="6">
        <f>IF(AND((O73)&lt;85,N73&lt;137),"NO","SI")</f>
        <v/>
      </c>
      <c r="AR73" s="7">
        <f>IF((480*(10^(7.95-(O73/10))))&lt;480,480*(10^(7.95-(O73/10))),480)</f>
        <v/>
      </c>
      <c r="AS73" s="8">
        <f>IF((480*(10^(8.45-(O73/10))))&lt;480,480*(10^(8.45-(O73/10))),480)</f>
        <v/>
      </c>
      <c r="AT73" s="9">
        <f>IF((480*(10^(8.65-(O73/10))))&lt;480,480*(10^(8.65-(O73/10))),480)</f>
        <v/>
      </c>
      <c r="AU73" s="111">
        <f>IF(O73&lt;80,"0",IF((P73-O73)&lt;=2,('DPI art.191'!$G$3-(('DPI art.191'!$F$3-'DPI art.191'!$G$3)/4)*(P73-O73-2)),('DPI art.191'!$G$3-(('DPI art.191'!$G$3-'DPI art.191'!$H$3)/8)*(P73-O73-2))))</f>
        <v/>
      </c>
      <c r="AV73" s="24">
        <f>O73-AU73</f>
        <v/>
      </c>
      <c r="AW73" s="24">
        <f>IF(N73&lt;135,N73,N73-'DPI art.191'!$I$3)</f>
        <v/>
      </c>
      <c r="AX73" s="111">
        <f>IF(O73&lt;80,"0",IF((P73-O73)&lt;=2,('DPI art.191'!$G$5-(('DPI art.191'!$F$5-'DPI art.191'!$G$5)/4)*(P73-O73-2)),('DPI art.191'!$G$5-(('DPI art.191'!$G$5-'DPI art.191'!$H$5)/8)*(P73-O73-2))))</f>
        <v/>
      </c>
      <c r="AY73" s="24">
        <f>O73-AX73</f>
        <v/>
      </c>
      <c r="AZ73" s="24">
        <f>IF(N73&lt;135,N73,N73-'DPI art.191'!$I$5)</f>
        <v/>
      </c>
      <c r="BA73" s="111">
        <f>IF(O73&lt;80,"0",IF((P73-O73)&lt;=2,('DPI art.191'!$G$7-(('DPI art.191'!$F$7-'DPI art.191'!$G$7)/4)*(P73-O73-2)),('DPI art.191'!$G$7-(('DPI art.191'!$G$7-'DPI art.191'!$H$7)/8)*(P73-O73-2))))</f>
        <v/>
      </c>
      <c r="BB73" s="24">
        <f>O73-BA73</f>
        <v/>
      </c>
      <c r="BC73" s="24">
        <f>IF(N73&lt;135,N73,N73-'DPI art.191'!$I$7)</f>
        <v/>
      </c>
      <c r="BD73" s="111">
        <f>IF(O73&lt;80,"0",IF((P73-O73)&lt;=2,('DPI art.191'!$G$9-(('DPI art.191'!$F$9-'DPI art.191'!$G$9)/4)*(O73-P73-2)),('DPI art.191'!$G$9-(('DPI art.191'!$G$9-'DPI art.191'!$H$9)/8)*(P73-O73-2))))</f>
        <v/>
      </c>
      <c r="BE73" s="24">
        <f>O73-BD73</f>
        <v/>
      </c>
      <c r="BF73" s="24">
        <f>IF(N73&lt;135,N73,N73-'DPI art.191'!$I$9)</f>
        <v/>
      </c>
      <c r="BG73" s="111">
        <f>IF(O73&lt;80,"0",IF((P73-O73)&lt;=2,('DPI art.191'!$G$11-(('DPI art.191'!$F$11-'DPI art.191'!$G$11)/4)*(P73-O73-2)),('DPI art.191'!$G$11-(('DPI art.191'!$G$11-'DPI art.191'!$H$11)/8)*(P73-O73-2))))</f>
        <v/>
      </c>
      <c r="BH73" s="24">
        <f>O73-BG73</f>
        <v/>
      </c>
      <c r="BI73" s="24">
        <f>IF(T73&lt;135,T73,T73-'DPI art.191'!$I$11)</f>
        <v/>
      </c>
      <c r="BJ73" s="111">
        <f>IF(O73&lt;80,"0",IF((P73-O73)&lt;=2,('DPI art.191'!$G$13-(('DPI art.191'!$F$13-'DPI art.191'!$G$13)/4)*(P73-O73-2)),('DPI art.191'!$G$13-(('DPI art.191'!$G$13-'DPI art.191'!$H$13)/8)*(P73-O73-2))))</f>
        <v/>
      </c>
      <c r="BK73" s="24">
        <f>O73-BJ73</f>
        <v/>
      </c>
      <c r="BL73" s="24">
        <f>IF(T73&lt;135,T73,T73-'DPI art.191'!$I$13)</f>
        <v/>
      </c>
      <c r="BM73" s="111">
        <f>IF(O73&lt;80,"0",IF((P73-O73)&lt;=2,('DPI art.191'!$G$15-(('DPI art.191'!$F$15-'DPI art.191'!$G$15)/4)*(P73-O73-2)),('DPI art.191'!$G$15-(('DPI art.191'!$G$15-'DPI art.191'!$H$15)/8)*(P73-O73-2))))</f>
        <v/>
      </c>
      <c r="BN73" s="24">
        <f>O73-BM73</f>
        <v/>
      </c>
      <c r="BO73" s="24">
        <f>IF(Z73&lt;135,Z73,Z73-'DPI art.191'!$I$15)</f>
        <v/>
      </c>
      <c r="BP73" s="108">
        <f>10^(0.1*R73)</f>
        <v/>
      </c>
      <c r="BQ73" s="108">
        <f>10^(0.1*X73)</f>
        <v/>
      </c>
      <c r="BR73" s="108">
        <f>10^(0.1*AB73)</f>
        <v/>
      </c>
      <c r="BS73" s="108">
        <f>10^(0.1*AF73)</f>
        <v/>
      </c>
      <c r="BT73" s="108">
        <f>10^(0.1*AJ73)</f>
        <v/>
      </c>
      <c r="BU73" s="108">
        <f>10^(0.1*AN73)</f>
        <v/>
      </c>
      <c r="BV73" s="106">
        <f>IF(R73&gt;0,(O73-R73),"")</f>
        <v/>
      </c>
      <c r="BW73" s="106">
        <f>IF(X73&gt;0,(O73-X73),"")</f>
        <v/>
      </c>
      <c r="BX73" s="106">
        <f>IF(AB73&gt;0,(O73-AB73),"")</f>
        <v/>
      </c>
      <c r="BY73" s="106">
        <f>IF(AF73&gt;0,(O73-AF73),"")</f>
        <v/>
      </c>
      <c r="BZ73" s="106">
        <f>IF(AJ73&gt;0,(O73-AJ73),"")</f>
        <v/>
      </c>
      <c r="CA73" s="106">
        <f>IF(AN73&gt;0,(O73-AN73),"")</f>
        <v/>
      </c>
      <c r="CB73" s="106">
        <f>COUNT(BV73:CA73)</f>
        <v/>
      </c>
      <c r="CC73" s="464">
        <f>IF(CB73=0,0,IF(CB73=1,0,1/(CB73*(CB73-1))))</f>
        <v/>
      </c>
      <c r="CD73" s="136">
        <f>IF(R73&gt;0,(BV73^2),"")</f>
        <v/>
      </c>
      <c r="CE73" s="136">
        <f>IF(X73&gt;0,(BW73^2),"")</f>
        <v/>
      </c>
      <c r="CF73" s="136">
        <f>IF(AB73&gt;0,(BX73^2),"")</f>
        <v/>
      </c>
      <c r="CG73" s="136">
        <f>IF(AF73&gt;0,(BY73^2),"")</f>
        <v/>
      </c>
      <c r="CH73" s="136">
        <f>IF(AJ73&gt;0,(BZ73^2),"")</f>
        <v/>
      </c>
      <c r="CI73" s="136">
        <f>IF(AN73&gt;0,(CA73^2),"")</f>
        <v/>
      </c>
    </row>
    <row r="74" ht="26.25" customHeight="1" s="444">
      <c r="A74" s="340" t="inlineStr">
        <is>
          <t>Gualdo 1</t>
        </is>
      </c>
      <c r="B74" s="65" t="inlineStr">
        <is>
          <t>F12</t>
        </is>
      </c>
      <c r="C74" s="78" t="inlineStr">
        <is>
          <t>Manutenzioni</t>
        </is>
      </c>
      <c r="D74" s="83" t="inlineStr">
        <is>
          <t>/</t>
        </is>
      </c>
      <c r="E74" s="83" t="inlineStr">
        <is>
          <t>/</t>
        </is>
      </c>
      <c r="F74" s="192" t="inlineStr">
        <is>
          <t>Manutenzioni</t>
        </is>
      </c>
      <c r="G74" s="71" t="n">
        <v>46003</v>
      </c>
      <c r="H74" s="77" t="inlineStr">
        <is>
          <t>Compito</t>
        </is>
      </c>
      <c r="I74" s="77">
        <f>IF((V74-R74)&gt;3,"SI","")</f>
        <v/>
      </c>
      <c r="J74" s="77" t="inlineStr">
        <is>
          <t>SI</t>
        </is>
      </c>
      <c r="K74" s="77" t="n"/>
      <c r="L74" s="77" t="n"/>
      <c r="M74" s="137">
        <f>IF(R74&gt;0,(SQRT(CC74*(SUM(CD74:CI74)))),"")</f>
        <v/>
      </c>
      <c r="N74" s="4">
        <f>IF(T74&gt;0,(MAX(T74,Z74,AD74,AH74,AL74,AP74))+SQRT(1.2^2+1^2),"")</f>
        <v/>
      </c>
      <c r="O74" s="3">
        <f>IF(R74="",0,10*LOG10(SUM(BP74:BU74)/(COUNT(R74,X74,AB74,AF74,AJ74,AN74))))</f>
        <v/>
      </c>
      <c r="P74" s="5">
        <f>IF(AND(Y74="",AC74="",AG74="",AK74="",AO74=""),S74,AVERAGE(S74,Y74,AC74,AG74,AK74,AO74)+STDEV(S74,Y74,AC74,AG74,AK74,AO74))</f>
        <v/>
      </c>
      <c r="Q74" s="14" t="n">
        <v>300</v>
      </c>
      <c r="R74" s="11" t="n">
        <v>73.5</v>
      </c>
      <c r="S74" s="12" t="n">
        <v>76.5</v>
      </c>
      <c r="T74" s="13" t="n">
        <v>96.7</v>
      </c>
      <c r="U74" s="79" t="n">
        <v>73.40000000000001</v>
      </c>
      <c r="V74" s="79" t="n">
        <v>76.09999999999999</v>
      </c>
      <c r="W74" s="10" t="n">
        <v>300</v>
      </c>
      <c r="X74" s="11" t="n">
        <v>74</v>
      </c>
      <c r="Y74" s="12" t="n">
        <v>76.3</v>
      </c>
      <c r="Z74" s="13" t="n">
        <v>105</v>
      </c>
      <c r="AA74" s="10" t="n">
        <v>300</v>
      </c>
      <c r="AB74" s="11" t="n">
        <v>73.40000000000001</v>
      </c>
      <c r="AC74" s="12" t="n">
        <v>76</v>
      </c>
      <c r="AD74" s="13" t="n">
        <v>98.8</v>
      </c>
      <c r="AE74" s="14" t="n">
        <v>300</v>
      </c>
      <c r="AF74" s="11" t="n">
        <v>72.59999999999999</v>
      </c>
      <c r="AG74" s="12" t="n">
        <v>76</v>
      </c>
      <c r="AH74" s="13" t="n">
        <v>99.3</v>
      </c>
      <c r="AI74" s="10" t="n">
        <v>300</v>
      </c>
      <c r="AJ74" s="11" t="n">
        <v>72.3</v>
      </c>
      <c r="AK74" s="12" t="n">
        <v>76</v>
      </c>
      <c r="AL74" s="13" t="n">
        <v>104.2</v>
      </c>
      <c r="AM74" s="10" t="n">
        <v>300</v>
      </c>
      <c r="AN74" s="11" t="n">
        <v>73.09999999999999</v>
      </c>
      <c r="AO74" s="12" t="n">
        <v>77</v>
      </c>
      <c r="AP74" s="13" t="n">
        <v>99.40000000000001</v>
      </c>
      <c r="AQ74" s="6">
        <f>IF(AND((O74)&lt;85,N74&lt;137),"NO","SI")</f>
        <v/>
      </c>
      <c r="AR74" s="7">
        <f>IF((480*(10^(7.95-(O74/10))))&lt;480,480*(10^(7.95-(O74/10))),480)</f>
        <v/>
      </c>
      <c r="AS74" s="8">
        <f>IF((480*(10^(8.45-(O74/10))))&lt;480,480*(10^(8.45-(O74/10))),480)</f>
        <v/>
      </c>
      <c r="AT74" s="9">
        <f>IF((480*(10^(8.65-(O74/10))))&lt;480,480*(10^(8.65-(O74/10))),480)</f>
        <v/>
      </c>
      <c r="AU74" s="111">
        <f>IF(O74&lt;80,"0",IF((P74-O74)&lt;=2,('DPI art.191'!$G$3-(('DPI art.191'!$F$3-'DPI art.191'!$G$3)/4)*(P74-O74-2)),('DPI art.191'!$G$3-(('DPI art.191'!$G$3-'DPI art.191'!$H$3)/8)*(P74-O74-2))))</f>
        <v/>
      </c>
      <c r="AV74" s="24">
        <f>O74-AU74</f>
        <v/>
      </c>
      <c r="AW74" s="24">
        <f>IF(N74&lt;135,N74,N74-'DPI art.191'!$I$3)</f>
        <v/>
      </c>
      <c r="AX74" s="111">
        <f>IF(O74&lt;80,"0",IF((P74-O74)&lt;=2,('DPI art.191'!$G$5-(('DPI art.191'!$F$5-'DPI art.191'!$G$5)/4)*(P74-O74-2)),('DPI art.191'!$G$5-(('DPI art.191'!$G$5-'DPI art.191'!$H$5)/8)*(P74-O74-2))))</f>
        <v/>
      </c>
      <c r="AY74" s="24">
        <f>O74-AX74</f>
        <v/>
      </c>
      <c r="AZ74" s="24">
        <f>IF(N74&lt;135,N74,N74-'DPI art.191'!$I$5)</f>
        <v/>
      </c>
      <c r="BA74" s="111">
        <f>IF(O74&lt;80,"0",IF((P74-O74)&lt;=2,('DPI art.191'!$G$7-(('DPI art.191'!$F$7-'DPI art.191'!$G$7)/4)*(P74-O74-2)),('DPI art.191'!$G$7-(('DPI art.191'!$G$7-'DPI art.191'!$H$7)/8)*(P74-O74-2))))</f>
        <v/>
      </c>
      <c r="BB74" s="24">
        <f>O74-BA74</f>
        <v/>
      </c>
      <c r="BC74" s="24">
        <f>IF(N74&lt;135,N74,N74-'DPI art.191'!$I$7)</f>
        <v/>
      </c>
      <c r="BD74" s="111">
        <f>IF(O74&lt;80,"0",IF((P74-O74)&lt;=2,('DPI art.191'!$G$9-(('DPI art.191'!$F$9-'DPI art.191'!$G$9)/4)*(O74-P74-2)),('DPI art.191'!$G$9-(('DPI art.191'!$G$9-'DPI art.191'!$H$9)/8)*(P74-O74-2))))</f>
        <v/>
      </c>
      <c r="BE74" s="24">
        <f>O74-BD74</f>
        <v/>
      </c>
      <c r="BF74" s="24">
        <f>IF(N74&lt;135,N74,N74-'DPI art.191'!$I$9)</f>
        <v/>
      </c>
      <c r="BG74" s="111">
        <f>IF(O74&lt;80,"0",IF((P74-O74)&lt;=2,('DPI art.191'!$G$11-(('DPI art.191'!$F$11-'DPI art.191'!$G$11)/4)*(P74-O74-2)),('DPI art.191'!$G$11-(('DPI art.191'!$G$11-'DPI art.191'!$H$11)/8)*(P74-O74-2))))</f>
        <v/>
      </c>
      <c r="BH74" s="24">
        <f>O74-BG74</f>
        <v/>
      </c>
      <c r="BI74" s="24">
        <f>IF(T74&lt;135,T74,T74-'DPI art.191'!$I$11)</f>
        <v/>
      </c>
      <c r="BJ74" s="111">
        <f>IF(O74&lt;80,"0",IF((P74-O74)&lt;=2,('DPI art.191'!$G$13-(('DPI art.191'!$F$13-'DPI art.191'!$G$13)/4)*(P74-O74-2)),('DPI art.191'!$G$13-(('DPI art.191'!$G$13-'DPI art.191'!$H$13)/8)*(P74-O74-2))))</f>
        <v/>
      </c>
      <c r="BK74" s="24">
        <f>O74-BJ74</f>
        <v/>
      </c>
      <c r="BL74" s="24">
        <f>IF(T74&lt;135,T74,T74-'DPI art.191'!$I$13)</f>
        <v/>
      </c>
      <c r="BM74" s="111">
        <f>IF(O74&lt;80,"0",IF((P74-O74)&lt;=2,('DPI art.191'!$G$15-(('DPI art.191'!$F$15-'DPI art.191'!$G$15)/4)*(P74-O74-2)),('DPI art.191'!$G$15-(('DPI art.191'!$G$15-'DPI art.191'!$H$15)/8)*(P74-O74-2))))</f>
        <v/>
      </c>
      <c r="BN74" s="24">
        <f>O74-BM74</f>
        <v/>
      </c>
      <c r="BO74" s="24">
        <f>IF(Z74&lt;135,Z74,Z74-'DPI art.191'!$I$15)</f>
        <v/>
      </c>
      <c r="BP74" s="108">
        <f>10^(0.1*R74)</f>
        <v/>
      </c>
      <c r="BQ74" s="108">
        <f>10^(0.1*X74)</f>
        <v/>
      </c>
      <c r="BR74" s="108">
        <f>10^(0.1*AB74)</f>
        <v/>
      </c>
      <c r="BS74" s="108">
        <f>10^(0.1*AF74)</f>
        <v/>
      </c>
      <c r="BT74" s="108">
        <f>10^(0.1*AJ74)</f>
        <v/>
      </c>
      <c r="BU74" s="108">
        <f>10^(0.1*AN74)</f>
        <v/>
      </c>
      <c r="BV74" s="106">
        <f>IF(R74&gt;0,(O74-R74),"")</f>
        <v/>
      </c>
      <c r="BW74" s="106">
        <f>IF(X74&gt;0,(O74-X74),"")</f>
        <v/>
      </c>
      <c r="BX74" s="106">
        <f>IF(AB74&gt;0,(O74-AB74),"")</f>
        <v/>
      </c>
      <c r="BY74" s="106">
        <f>IF(AF74&gt;0,(O74-AF74),"")</f>
        <v/>
      </c>
      <c r="BZ74" s="106">
        <f>IF(AJ74&gt;0,(O74-AJ74),"")</f>
        <v/>
      </c>
      <c r="CA74" s="106">
        <f>IF(AN74&gt;0,(O74-AN74),"")</f>
        <v/>
      </c>
      <c r="CB74" s="106">
        <f>COUNT(BV74:CA74)</f>
        <v/>
      </c>
      <c r="CC74" s="464">
        <f>IF(CB74=0,0,IF(CB74=1,0,1/(CB74*(CB74-1))))</f>
        <v/>
      </c>
      <c r="CD74" s="136">
        <f>IF(R74&gt;0,(BV74^2),"")</f>
        <v/>
      </c>
      <c r="CE74" s="136">
        <f>IF(X74&gt;0,(BW74^2),"")</f>
        <v/>
      </c>
      <c r="CF74" s="136">
        <f>IF(AB74&gt;0,(BX74^2),"")</f>
        <v/>
      </c>
      <c r="CG74" s="136">
        <f>IF(AF74&gt;0,(BY74^2),"")</f>
        <v/>
      </c>
      <c r="CH74" s="136">
        <f>IF(AJ74&gt;0,(BZ74^2),"")</f>
        <v/>
      </c>
      <c r="CI74" s="136">
        <f>IF(AN74&gt;0,(CA74^2),"")</f>
        <v/>
      </c>
    </row>
    <row r="75" ht="18.75" customHeight="1" s="444">
      <c r="A75" s="340" t="inlineStr">
        <is>
          <t>Gualdo 2</t>
        </is>
      </c>
      <c r="B75" s="65" t="inlineStr">
        <is>
          <t>F13</t>
        </is>
      </c>
      <c r="C75" s="78" t="inlineStr">
        <is>
          <t>Attività di ufficio</t>
        </is>
      </c>
      <c r="D75" s="83" t="inlineStr">
        <is>
          <t>/</t>
        </is>
      </c>
      <c r="E75" s="83" t="inlineStr">
        <is>
          <t>/</t>
        </is>
      </c>
      <c r="F75" s="192" t="inlineStr">
        <is>
          <t>Attività di ufficio</t>
        </is>
      </c>
      <c r="G75" s="71" t="n">
        <v>46003</v>
      </c>
      <c r="H75" s="77" t="inlineStr">
        <is>
          <t>Compito</t>
        </is>
      </c>
      <c r="I75" s="77">
        <f>IF((V75-R75)&gt;3,"SI","")</f>
        <v/>
      </c>
      <c r="J75" s="77">
        <f>IF((U75-R75)&gt;3,"SI","")</f>
        <v/>
      </c>
      <c r="K75" s="77" t="n"/>
      <c r="L75" s="77" t="n"/>
      <c r="M75" s="137">
        <f>IF(R75&gt;0,(SQRT(CC75*(SUM(CD75:CI75)))),"")</f>
        <v/>
      </c>
      <c r="N75" s="4">
        <f>IF(T75&gt;0,(MAX(T75,Z75,AD75,AH75,AL75,AP75))+SQRT(1.2^2+1^2),"")</f>
        <v/>
      </c>
      <c r="O75" s="3">
        <f>IF(R75="",0,10*LOG10(SUM(BP75:BU75)/(COUNT(R75,X75,AB75,AF75,AJ75,AN75))))</f>
        <v/>
      </c>
      <c r="P75" s="5">
        <f>IF(AND(Y75="",AC75="",AG75="",AK75="",AO75=""),S75,AVERAGE(S75,Y75,AC75,AG75,AK75,AO75)+STDEV(S75,Y75,AC75,AG75,AK75,AO75))</f>
        <v/>
      </c>
      <c r="Q75" s="14" t="n">
        <v>300</v>
      </c>
      <c r="R75" s="11" t="n">
        <v>50.1</v>
      </c>
      <c r="S75" s="12" t="n">
        <v>55.3</v>
      </c>
      <c r="T75" s="13" t="n">
        <v>91.40000000000001</v>
      </c>
      <c r="U75" s="79" t="n">
        <v>50.1</v>
      </c>
      <c r="V75" s="79" t="n">
        <v>57.8</v>
      </c>
      <c r="W75" s="10" t="n">
        <v>300</v>
      </c>
      <c r="X75" s="11" t="n">
        <v>51.2</v>
      </c>
      <c r="Y75" s="12" t="n">
        <v>55.9</v>
      </c>
      <c r="Z75" s="13" t="n">
        <v>89.40000000000001</v>
      </c>
      <c r="AA75" s="10" t="n">
        <v>300</v>
      </c>
      <c r="AB75" s="11" t="n">
        <v>56.1</v>
      </c>
      <c r="AC75" s="12" t="n">
        <v>60.5</v>
      </c>
      <c r="AD75" s="13" t="n">
        <v>104.9</v>
      </c>
      <c r="AE75" s="14" t="n">
        <v>300</v>
      </c>
      <c r="AF75" s="11" t="n">
        <v>47.8</v>
      </c>
      <c r="AG75" s="12" t="n">
        <v>54.6</v>
      </c>
      <c r="AH75" s="13" t="n">
        <v>88.90000000000001</v>
      </c>
      <c r="AI75" s="10" t="n">
        <v>300</v>
      </c>
      <c r="AJ75" s="11" t="n">
        <v>47.4</v>
      </c>
      <c r="AK75" s="12" t="n">
        <v>54.3</v>
      </c>
      <c r="AL75" s="13" t="n">
        <v>91.90000000000001</v>
      </c>
      <c r="AM75" s="10" t="n">
        <v>300</v>
      </c>
      <c r="AN75" s="11" t="n">
        <v>44.7</v>
      </c>
      <c r="AO75" s="12" t="n">
        <v>55.4</v>
      </c>
      <c r="AP75" s="13" t="n">
        <v>90.90000000000001</v>
      </c>
      <c r="AQ75" s="6">
        <f>IF(AND((O75)&lt;85,N75&lt;137),"NO","SI")</f>
        <v/>
      </c>
      <c r="AR75" s="7">
        <f>IF((480*(10^(7.95-(O75/10))))&lt;480,480*(10^(7.95-(O75/10))),480)</f>
        <v/>
      </c>
      <c r="AS75" s="8">
        <f>IF((480*(10^(8.45-(O75/10))))&lt;480,480*(10^(8.45-(O75/10))),480)</f>
        <v/>
      </c>
      <c r="AT75" s="9">
        <f>IF((480*(10^(8.65-(O75/10))))&lt;480,480*(10^(8.65-(O75/10))),480)</f>
        <v/>
      </c>
      <c r="AU75" s="111">
        <f>IF(O75&lt;80,"0",IF((P75-O75)&lt;=2,('DPI art.191'!$G$3-(('DPI art.191'!$F$3-'DPI art.191'!$G$3)/4)*(P75-O75-2)),('DPI art.191'!$G$3-(('DPI art.191'!$G$3-'DPI art.191'!$H$3)/8)*(P75-O75-2))))</f>
        <v/>
      </c>
      <c r="AV75" s="24">
        <f>O75-AU75</f>
        <v/>
      </c>
      <c r="AW75" s="24">
        <f>IF(N75&lt;135,N75,N75-'DPI art.191'!$I$3)</f>
        <v/>
      </c>
      <c r="AX75" s="111">
        <f>IF(O75&lt;80,"0",IF((P75-O75)&lt;=2,('DPI art.191'!$G$5-(('DPI art.191'!$F$5-'DPI art.191'!$G$5)/4)*(P75-O75-2)),('DPI art.191'!$G$5-(('DPI art.191'!$G$5-'DPI art.191'!$H$5)/8)*(P75-O75-2))))</f>
        <v/>
      </c>
      <c r="AY75" s="24">
        <f>O75-AX75</f>
        <v/>
      </c>
      <c r="AZ75" s="24">
        <f>IF(N75&lt;135,N75,N75-'DPI art.191'!$I$5)</f>
        <v/>
      </c>
      <c r="BA75" s="111">
        <f>IF(O75&lt;80,"0",IF((P75-O75)&lt;=2,('DPI art.191'!$G$7-(('DPI art.191'!$F$7-'DPI art.191'!$G$7)/4)*(P75-O75-2)),('DPI art.191'!$G$7-(('DPI art.191'!$G$7-'DPI art.191'!$H$7)/8)*(P75-O75-2))))</f>
        <v/>
      </c>
      <c r="BB75" s="24">
        <f>O75-BA75</f>
        <v/>
      </c>
      <c r="BC75" s="24">
        <f>IF(N75&lt;135,N75,N75-'DPI art.191'!$I$7)</f>
        <v/>
      </c>
      <c r="BD75" s="111">
        <f>IF(O75&lt;80,"0",IF((P75-O75)&lt;=2,('DPI art.191'!$G$9-(('DPI art.191'!$F$9-'DPI art.191'!$G$9)/4)*(O75-P75-2)),('DPI art.191'!$G$9-(('DPI art.191'!$G$9-'DPI art.191'!$H$9)/8)*(P75-O75-2))))</f>
        <v/>
      </c>
      <c r="BE75" s="24">
        <f>O75-BD75</f>
        <v/>
      </c>
      <c r="BF75" s="24">
        <f>IF(N75&lt;135,N75,N75-'DPI art.191'!$I$9)</f>
        <v/>
      </c>
      <c r="BG75" s="111">
        <f>IF(O75&lt;80,"0",IF((P75-O75)&lt;=2,('DPI art.191'!$G$11-(('DPI art.191'!$F$11-'DPI art.191'!$G$11)/4)*(P75-O75-2)),('DPI art.191'!$G$11-(('DPI art.191'!$G$11-'DPI art.191'!$H$11)/8)*(P75-O75-2))))</f>
        <v/>
      </c>
      <c r="BH75" s="24">
        <f>O75-BG75</f>
        <v/>
      </c>
      <c r="BI75" s="24">
        <f>IF(T75&lt;135,T75,T75-'DPI art.191'!$I$11)</f>
        <v/>
      </c>
      <c r="BJ75" s="111">
        <f>IF(O75&lt;80,"0",IF((P75-O75)&lt;=2,('DPI art.191'!$G$13-(('DPI art.191'!$F$13-'DPI art.191'!$G$13)/4)*(P75-O75-2)),('DPI art.191'!$G$13-(('DPI art.191'!$G$13-'DPI art.191'!$H$13)/8)*(P75-O75-2))))</f>
        <v/>
      </c>
      <c r="BK75" s="24">
        <f>O75-BJ75</f>
        <v/>
      </c>
      <c r="BL75" s="24">
        <f>IF(T75&lt;135,T75,T75-'DPI art.191'!$I$13)</f>
        <v/>
      </c>
      <c r="BM75" s="111">
        <f>IF(O75&lt;80,"0",IF((P75-O75)&lt;=2,('DPI art.191'!$G$15-(('DPI art.191'!$F$15-'DPI art.191'!$G$15)/4)*(P75-O75-2)),('DPI art.191'!$G$15-(('DPI art.191'!$G$15-'DPI art.191'!$H$15)/8)*(P75-O75-2))))</f>
        <v/>
      </c>
      <c r="BN75" s="24">
        <f>O75-BM75</f>
        <v/>
      </c>
      <c r="BO75" s="24">
        <f>IF(Z75&lt;135,Z75,Z75-'DPI art.191'!$I$15)</f>
        <v/>
      </c>
      <c r="BP75" s="108">
        <f>10^(0.1*R75)</f>
        <v/>
      </c>
      <c r="BQ75" s="108">
        <f>10^(0.1*X75)</f>
        <v/>
      </c>
      <c r="BR75" s="108">
        <f>10^(0.1*AB75)</f>
        <v/>
      </c>
      <c r="BS75" s="108">
        <f>10^(0.1*AF75)</f>
        <v/>
      </c>
      <c r="BT75" s="108">
        <f>10^(0.1*AJ75)</f>
        <v/>
      </c>
      <c r="BU75" s="108">
        <f>10^(0.1*AN75)</f>
        <v/>
      </c>
      <c r="BV75" s="106">
        <f>IF(R75&gt;0,(O75-R75),"")</f>
        <v/>
      </c>
      <c r="BW75" s="106">
        <f>IF(X75&gt;0,(O75-X75),"")</f>
        <v/>
      </c>
      <c r="BX75" s="106">
        <f>IF(AB75&gt;0,(O75-AB75),"")</f>
        <v/>
      </c>
      <c r="BY75" s="106">
        <f>IF(AF75&gt;0,(O75-AF75),"")</f>
        <v/>
      </c>
      <c r="BZ75" s="106">
        <f>IF(AJ75&gt;0,(O75-AJ75),"")</f>
        <v/>
      </c>
      <c r="CA75" s="106">
        <f>IF(AN75&gt;0,(O75-AN75),"")</f>
        <v/>
      </c>
      <c r="CB75" s="106">
        <f>COUNT(BV75:CA75)</f>
        <v/>
      </c>
      <c r="CC75" s="464">
        <f>IF(CB75=0,0,IF(CB75=1,0,1/(CB75*(CB75-1))))</f>
        <v/>
      </c>
      <c r="CD75" s="136">
        <f>IF(R75&gt;0,(BV75^2),"")</f>
        <v/>
      </c>
      <c r="CE75" s="136">
        <f>IF(X75&gt;0,(BW75^2),"")</f>
        <v/>
      </c>
      <c r="CF75" s="136">
        <f>IF(AB75&gt;0,(BX75^2),"")</f>
        <v/>
      </c>
      <c r="CG75" s="136">
        <f>IF(AF75&gt;0,(BY75^2),"")</f>
        <v/>
      </c>
      <c r="CH75" s="136">
        <f>IF(AJ75&gt;0,(BZ75^2),"")</f>
        <v/>
      </c>
      <c r="CI75" s="136">
        <f>IF(AN75&gt;0,(CA75^2),"")</f>
        <v/>
      </c>
    </row>
    <row r="76" ht="18.75" customHeight="1" s="444">
      <c r="A76" s="340" t="inlineStr">
        <is>
          <t>024/B/PRS805</t>
        </is>
      </c>
      <c r="B76" s="65" t="inlineStr">
        <is>
          <t>F14</t>
        </is>
      </c>
      <c r="C76" s="78" t="inlineStr">
        <is>
          <t>Saldatura</t>
        </is>
      </c>
      <c r="D76" s="83" t="inlineStr">
        <is>
          <t>/</t>
        </is>
      </c>
      <c r="E76" s="83" t="inlineStr">
        <is>
          <t>/</t>
        </is>
      </c>
      <c r="F76" s="192" t="inlineStr">
        <is>
          <t>Saldatura</t>
        </is>
      </c>
      <c r="G76" s="71" t="n">
        <v>46003</v>
      </c>
      <c r="H76" s="77" t="inlineStr">
        <is>
          <t>Compito</t>
        </is>
      </c>
      <c r="I76" s="77">
        <f>IF((V76-R76)&gt;3,"SI","")</f>
        <v/>
      </c>
      <c r="J76" s="77">
        <f>IF((U76-R76)&gt;3,"SI","")</f>
        <v/>
      </c>
      <c r="K76" s="77" t="n"/>
      <c r="L76" s="77" t="n"/>
      <c r="M76" s="137">
        <f>IF(R76&gt;0,(SQRT(CC76*(SUM(CD76:CI76)))),"")</f>
        <v/>
      </c>
      <c r="N76" s="4">
        <f>IF(T76&gt;0,(MAX(T76,Z76,AD76,AH76,AL76,AP76))+SQRT(1.2^2+1^2),"")</f>
        <v/>
      </c>
      <c r="O76" s="3">
        <f>IF(R76="",0,10*LOG10(SUM(BP76:BU76)/(COUNT(R76,X76,AB76,AF76,AJ76,AN76))))</f>
        <v/>
      </c>
      <c r="P76" s="5">
        <f>IF(AND(Y76="",AC76="",AG76="",AK76="",AO76=""),S76,AVERAGE(S76,Y76,AC76,AG76,AK76,AO76)+STDEV(S76,Y76,AC76,AG76,AK76,AO76))</f>
        <v/>
      </c>
      <c r="Q76" s="14" t="n">
        <v>300</v>
      </c>
      <c r="R76" s="11" t="n">
        <v>80</v>
      </c>
      <c r="S76" s="12" t="n">
        <v>81</v>
      </c>
      <c r="T76" s="13" t="n">
        <v>115</v>
      </c>
      <c r="U76" s="79" t="n">
        <v>80</v>
      </c>
      <c r="V76" s="79" t="n">
        <v>83.09999999999999</v>
      </c>
      <c r="W76" s="10" t="n">
        <v>300</v>
      </c>
      <c r="X76" s="11" t="n">
        <v>83</v>
      </c>
      <c r="Y76" s="12" t="n">
        <v>83</v>
      </c>
      <c r="Z76" s="13" t="n">
        <v>118.4</v>
      </c>
      <c r="AA76" s="10" t="n">
        <v>300</v>
      </c>
      <c r="AB76" s="11" t="n">
        <v>83.7</v>
      </c>
      <c r="AC76" s="12" t="n">
        <v>83.40000000000001</v>
      </c>
      <c r="AD76" s="13" t="n">
        <v>115.1</v>
      </c>
      <c r="AE76" s="14" t="n">
        <v>300</v>
      </c>
      <c r="AF76" s="11" t="n">
        <v>83.3</v>
      </c>
      <c r="AG76" s="12" t="n">
        <v>83</v>
      </c>
      <c r="AH76" s="13" t="n">
        <v>113.2</v>
      </c>
      <c r="AI76" s="10" t="n">
        <v>300</v>
      </c>
      <c r="AJ76" s="11" t="n">
        <v>81.8</v>
      </c>
      <c r="AK76" s="12" t="n">
        <v>81.90000000000001</v>
      </c>
      <c r="AL76" s="13" t="n">
        <v>116</v>
      </c>
      <c r="AM76" s="10" t="n">
        <v>300</v>
      </c>
      <c r="AN76" s="11" t="n">
        <v>82.09999999999999</v>
      </c>
      <c r="AO76" s="12" t="n">
        <v>81.59999999999999</v>
      </c>
      <c r="AP76" s="13" t="n">
        <v>114.5</v>
      </c>
      <c r="AQ76" s="6">
        <f>IF(AND((O76)&lt;85,N76&lt;137),"NO","SI")</f>
        <v/>
      </c>
      <c r="AR76" s="7">
        <f>IF((480*(10^(7.95-(O76/10))))&lt;480,480*(10^(7.95-(O76/10))),480)</f>
        <v/>
      </c>
      <c r="AS76" s="8">
        <f>IF((480*(10^(8.45-(O76/10))))&lt;480,480*(10^(8.45-(O76/10))),480)</f>
        <v/>
      </c>
      <c r="AT76" s="9">
        <f>IF((480*(10^(8.65-(O76/10))))&lt;480,480*(10^(8.65-(O76/10))),480)</f>
        <v/>
      </c>
      <c r="AU76" s="111">
        <f>IF(O76&lt;80,"0",IF((P76-O76)&lt;=2,('DPI art.191'!$G$3-(('DPI art.191'!$F$3-'DPI art.191'!$G$3)/4)*(P76-O76-2)),('DPI art.191'!$G$3-(('DPI art.191'!$G$3-'DPI art.191'!$H$3)/8)*(P76-O76-2))))</f>
        <v/>
      </c>
      <c r="AV76" s="24">
        <f>O76-AU76</f>
        <v/>
      </c>
      <c r="AW76" s="24">
        <f>IF(N76&lt;135,N76,N76-'DPI art.191'!$I$3)</f>
        <v/>
      </c>
      <c r="AX76" s="111">
        <f>IF(O76&lt;80,"0",IF((P76-O76)&lt;=2,('DPI art.191'!$G$5-(('DPI art.191'!$F$5-'DPI art.191'!$G$5)/4)*(P76-O76-2)),('DPI art.191'!$G$5-(('DPI art.191'!$G$5-'DPI art.191'!$H$5)/8)*(P76-O76-2))))</f>
        <v/>
      </c>
      <c r="AY76" s="24">
        <f>O76-AX76</f>
        <v/>
      </c>
      <c r="AZ76" s="24">
        <f>IF(N76&lt;135,N76,N76-'DPI art.191'!$I$5)</f>
        <v/>
      </c>
      <c r="BA76" s="111">
        <f>IF(O76&lt;80,"0",IF((P76-O76)&lt;=2,('DPI art.191'!$G$7-(('DPI art.191'!$F$7-'DPI art.191'!$G$7)/4)*(P76-O76-2)),('DPI art.191'!$G$7-(('DPI art.191'!$G$7-'DPI art.191'!$H$7)/8)*(P76-O76-2))))</f>
        <v/>
      </c>
      <c r="BB76" s="24">
        <f>O76-BA76</f>
        <v/>
      </c>
      <c r="BC76" s="24">
        <f>IF(N76&lt;135,N76,N76-'DPI art.191'!$I$7)</f>
        <v/>
      </c>
      <c r="BD76" s="111">
        <f>IF(O76&lt;80,"0",IF((P76-O76)&lt;=2,('DPI art.191'!$G$9-(('DPI art.191'!$F$9-'DPI art.191'!$G$9)/4)*(O76-P76-2)),('DPI art.191'!$G$9-(('DPI art.191'!$G$9-'DPI art.191'!$H$9)/8)*(P76-O76-2))))</f>
        <v/>
      </c>
      <c r="BE76" s="24">
        <f>O76-BD76</f>
        <v/>
      </c>
      <c r="BF76" s="24">
        <f>IF(N76&lt;135,N76,N76-'DPI art.191'!$I$9)</f>
        <v/>
      </c>
      <c r="BG76" s="111">
        <f>IF(O76&lt;80,"0",IF((P76-O76)&lt;=2,('DPI art.191'!$G$11-(('DPI art.191'!$F$11-'DPI art.191'!$G$11)/4)*(P76-O76-2)),('DPI art.191'!$G$11-(('DPI art.191'!$G$11-'DPI art.191'!$H$11)/8)*(P76-O76-2))))</f>
        <v/>
      </c>
      <c r="BH76" s="24">
        <f>O76-BG76</f>
        <v/>
      </c>
      <c r="BI76" s="24">
        <f>IF(T76&lt;135,T76,T76-'DPI art.191'!$I$11)</f>
        <v/>
      </c>
      <c r="BJ76" s="111">
        <f>IF(O76&lt;80,"0",IF((P76-O76)&lt;=2,('DPI art.191'!$G$13-(('DPI art.191'!$F$13-'DPI art.191'!$G$13)/4)*(P76-O76-2)),('DPI art.191'!$G$13-(('DPI art.191'!$G$13-'DPI art.191'!$H$13)/8)*(P76-O76-2))))</f>
        <v/>
      </c>
      <c r="BK76" s="24">
        <f>O76-BJ76</f>
        <v/>
      </c>
      <c r="BL76" s="24">
        <f>IF(T76&lt;135,T76,T76-'DPI art.191'!$I$13)</f>
        <v/>
      </c>
      <c r="BM76" s="111">
        <f>IF(O76&lt;80,"0",IF((P76-O76)&lt;=2,('DPI art.191'!$G$15-(('DPI art.191'!$F$15-'DPI art.191'!$G$15)/4)*(P76-O76-2)),('DPI art.191'!$G$15-(('DPI art.191'!$G$15-'DPI art.191'!$H$15)/8)*(P76-O76-2))))</f>
        <v/>
      </c>
      <c r="BN76" s="24">
        <f>O76-BM76</f>
        <v/>
      </c>
      <c r="BO76" s="24">
        <f>IF(Z76&lt;135,Z76,Z76-'DPI art.191'!$I$15)</f>
        <v/>
      </c>
      <c r="BP76" s="108">
        <f>10^(0.1*R76)</f>
        <v/>
      </c>
      <c r="BQ76" s="108">
        <f>10^(0.1*X76)</f>
        <v/>
      </c>
      <c r="BR76" s="108">
        <f>10^(0.1*AB76)</f>
        <v/>
      </c>
      <c r="BS76" s="108">
        <f>10^(0.1*AF76)</f>
        <v/>
      </c>
      <c r="BT76" s="108">
        <f>10^(0.1*AJ76)</f>
        <v/>
      </c>
      <c r="BU76" s="108">
        <f>10^(0.1*AN76)</f>
        <v/>
      </c>
      <c r="BV76" s="106">
        <f>IF(R76&gt;0,(O76-R76),"")</f>
        <v/>
      </c>
      <c r="BW76" s="106">
        <f>IF(X76&gt;0,(O76-X76),"")</f>
        <v/>
      </c>
      <c r="BX76" s="106">
        <f>IF(AB76&gt;0,(O76-AB76),"")</f>
        <v/>
      </c>
      <c r="BY76" s="106">
        <f>IF(AF76&gt;0,(O76-AF76),"")</f>
        <v/>
      </c>
      <c r="BZ76" s="106">
        <f>IF(AJ76&gt;0,(O76-AJ76),"")</f>
        <v/>
      </c>
      <c r="CA76" s="106">
        <f>IF(AN76&gt;0,(O76-AN76),"")</f>
        <v/>
      </c>
      <c r="CB76" s="106">
        <f>COUNT(BV76:CA76)</f>
        <v/>
      </c>
      <c r="CC76" s="464">
        <f>IF(CB76=0,0,IF(CB76=1,0,1/(CB76*(CB76-1))))</f>
        <v/>
      </c>
      <c r="CD76" s="136">
        <f>IF(R76&gt;0,(BV76^2),"")</f>
        <v/>
      </c>
      <c r="CE76" s="136">
        <f>IF(X76&gt;0,(BW76^2),"")</f>
        <v/>
      </c>
      <c r="CF76" s="136">
        <f>IF(AB76&gt;0,(BX76^2),"")</f>
        <v/>
      </c>
      <c r="CG76" s="136">
        <f>IF(AF76&gt;0,(BY76^2),"")</f>
        <v/>
      </c>
      <c r="CH76" s="136">
        <f>IF(AJ76&gt;0,(BZ76^2),"")</f>
        <v/>
      </c>
      <c r="CI76" s="136">
        <f>IF(AN76&gt;0,(CA76^2),"")</f>
        <v/>
      </c>
    </row>
    <row r="77" ht="18.75" customHeight="1" s="444">
      <c r="A77" s="340" t="inlineStr">
        <is>
          <t>024/B/PRS736</t>
        </is>
      </c>
      <c r="B77" s="65" t="inlineStr">
        <is>
          <t>F15</t>
        </is>
      </c>
      <c r="C77" s="78" t="inlineStr">
        <is>
          <t>Saldatura</t>
        </is>
      </c>
      <c r="D77" s="83" t="inlineStr">
        <is>
          <t>/</t>
        </is>
      </c>
      <c r="E77" s="83" t="inlineStr">
        <is>
          <t>/</t>
        </is>
      </c>
      <c r="F77" s="192" t="inlineStr">
        <is>
          <t>Saldatura</t>
        </is>
      </c>
      <c r="G77" s="71" t="n">
        <v>46003</v>
      </c>
      <c r="H77" s="77" t="inlineStr">
        <is>
          <t>Compito</t>
        </is>
      </c>
      <c r="I77" s="77">
        <f>IF((V77-R77)&gt;3,"SI","")</f>
        <v/>
      </c>
      <c r="J77" s="77">
        <f>IF((U77-R77)&gt;3,"SI","")</f>
        <v/>
      </c>
      <c r="K77" s="77" t="n"/>
      <c r="L77" s="77" t="n"/>
      <c r="M77" s="137">
        <f>IF(R77&gt;0,(SQRT(CC77*(SUM(CD77:CI77)))),"")</f>
        <v/>
      </c>
      <c r="N77" s="4">
        <f>IF(T77&gt;0,(MAX(T77,Z77,AD77,AH77,AL77,AP77))+SQRT(1.2^2+1^2),"")</f>
        <v/>
      </c>
      <c r="O77" s="3">
        <f>IF(R77="",0,10*LOG10(SUM(BP77:BU77)/(COUNT(R77,X77,AB77,AF77,AJ77,AN77))))</f>
        <v/>
      </c>
      <c r="P77" s="5">
        <f>IF(AND(Y77="",AC77="",AG77="",AK77="",AO77=""),S77,AVERAGE(S77,Y77,AC77,AG77,AK77,AO77)+STDEV(S77,Y77,AC77,AG77,AK77,AO77))</f>
        <v/>
      </c>
      <c r="Q77" s="14" t="n">
        <v>300</v>
      </c>
      <c r="R77" s="11" t="n">
        <v>90.09999999999999</v>
      </c>
      <c r="S77" s="12" t="n">
        <v>88.59999999999999</v>
      </c>
      <c r="T77" s="13" t="n">
        <v>117.9</v>
      </c>
      <c r="U77" s="79" t="n">
        <v>90.09999999999999</v>
      </c>
      <c r="V77" s="79" t="n">
        <v>93.2</v>
      </c>
      <c r="W77" s="10" t="n">
        <v>300</v>
      </c>
      <c r="X77" s="11" t="n">
        <v>93.40000000000001</v>
      </c>
      <c r="Y77" s="12" t="n">
        <v>92</v>
      </c>
      <c r="Z77" s="13" t="n">
        <v>128.6</v>
      </c>
      <c r="AA77" s="10" t="n">
        <v>300</v>
      </c>
      <c r="AB77" s="11" t="n">
        <v>98.7</v>
      </c>
      <c r="AC77" s="12" t="n">
        <v>97.5</v>
      </c>
      <c r="AD77" s="13" t="n">
        <v>136.8</v>
      </c>
      <c r="AE77" s="14" t="n">
        <v>300</v>
      </c>
      <c r="AF77" s="11" t="n">
        <v>94</v>
      </c>
      <c r="AG77" s="12" t="n">
        <v>92.8</v>
      </c>
      <c r="AH77" s="13" t="n">
        <v>136.3</v>
      </c>
      <c r="AI77" s="10" t="n">
        <v>300</v>
      </c>
      <c r="AJ77" s="11" t="n">
        <v>87</v>
      </c>
      <c r="AK77" s="12" t="n">
        <v>86.90000000000001</v>
      </c>
      <c r="AL77" s="13" t="n">
        <v>127.9</v>
      </c>
      <c r="AM77" s="10" t="n">
        <v>300</v>
      </c>
      <c r="AN77" s="11" t="n">
        <v>87.40000000000001</v>
      </c>
      <c r="AO77" s="12" t="n">
        <v>87.2</v>
      </c>
      <c r="AP77" s="13" t="n">
        <v>126.8</v>
      </c>
      <c r="AQ77" s="6">
        <f>IF(AND((O77)&lt;85,N77&lt;137),"NO","SI")</f>
        <v/>
      </c>
      <c r="AR77" s="7">
        <f>IF((480*(10^(7.95-(O77/10))))&lt;480,480*(10^(7.95-(O77/10))),480)</f>
        <v/>
      </c>
      <c r="AS77" s="8">
        <f>IF((480*(10^(8.45-(O77/10))))&lt;480,480*(10^(8.45-(O77/10))),480)</f>
        <v/>
      </c>
      <c r="AT77" s="9">
        <f>IF((480*(10^(8.65-(O77/10))))&lt;480,480*(10^(8.65-(O77/10))),480)</f>
        <v/>
      </c>
      <c r="AU77" s="111">
        <f>IF(O77&lt;80,"0",IF((P77-O77)&lt;=2,('DPI art.191'!$G$3-(('DPI art.191'!$F$3-'DPI art.191'!$G$3)/4)*(P77-O77-2)),('DPI art.191'!$G$3-(('DPI art.191'!$G$3-'DPI art.191'!$H$3)/8)*(P77-O77-2))))</f>
        <v/>
      </c>
      <c r="AV77" s="24">
        <f>O77-AU77</f>
        <v/>
      </c>
      <c r="AW77" s="24">
        <f>IF(N77&lt;135,N77,N77-'DPI art.191'!$I$3)</f>
        <v/>
      </c>
      <c r="AX77" s="111">
        <f>IF(O77&lt;80,"0",IF((P77-O77)&lt;=2,('DPI art.191'!$G$5-(('DPI art.191'!$F$5-'DPI art.191'!$G$5)/4)*(P77-O77-2)),('DPI art.191'!$G$5-(('DPI art.191'!$G$5-'DPI art.191'!$H$5)/8)*(P77-O77-2))))</f>
        <v/>
      </c>
      <c r="AY77" s="24">
        <f>O77-AX77</f>
        <v/>
      </c>
      <c r="AZ77" s="24">
        <f>IF(N77&lt;135,N77,N77-'DPI art.191'!$I$5)</f>
        <v/>
      </c>
      <c r="BA77" s="111">
        <f>IF(O77&lt;80,"0",IF((P77-O77)&lt;=2,('DPI art.191'!$G$7-(('DPI art.191'!$F$7-'DPI art.191'!$G$7)/4)*(P77-O77-2)),('DPI art.191'!$G$7-(('DPI art.191'!$G$7-'DPI art.191'!$H$7)/8)*(P77-O77-2))))</f>
        <v/>
      </c>
      <c r="BB77" s="24">
        <f>O77-BA77</f>
        <v/>
      </c>
      <c r="BC77" s="24">
        <f>IF(N77&lt;135,N77,N77-'DPI art.191'!$I$7)</f>
        <v/>
      </c>
      <c r="BD77" s="111">
        <f>IF(O77&lt;80,"0",IF((P77-O77)&lt;=2,('DPI art.191'!$G$9-(('DPI art.191'!$F$9-'DPI art.191'!$G$9)/4)*(O77-P77-2)),('DPI art.191'!$G$9-(('DPI art.191'!$G$9-'DPI art.191'!$H$9)/8)*(P77-O77-2))))</f>
        <v/>
      </c>
      <c r="BE77" s="24">
        <f>O77-BD77</f>
        <v/>
      </c>
      <c r="BF77" s="24">
        <f>IF(N77&lt;135,N77,N77-'DPI art.191'!$I$9)</f>
        <v/>
      </c>
      <c r="BG77" s="111">
        <f>IF(O77&lt;80,"0",IF((P77-O77)&lt;=2,('DPI art.191'!$G$11-(('DPI art.191'!$F$11-'DPI art.191'!$G$11)/4)*(P77-O77-2)),('DPI art.191'!$G$11-(('DPI art.191'!$G$11-'DPI art.191'!$H$11)/8)*(P77-O77-2))))</f>
        <v/>
      </c>
      <c r="BH77" s="24">
        <f>O77-BG77</f>
        <v/>
      </c>
      <c r="BI77" s="24">
        <f>IF(T77&lt;135,T77,T77-'DPI art.191'!$I$11)</f>
        <v/>
      </c>
      <c r="BJ77" s="111">
        <f>IF(O77&lt;80,"0",IF((P77-O77)&lt;=2,('DPI art.191'!$G$13-(('DPI art.191'!$F$13-'DPI art.191'!$G$13)/4)*(P77-O77-2)),('DPI art.191'!$G$13-(('DPI art.191'!$G$13-'DPI art.191'!$H$13)/8)*(P77-O77-2))))</f>
        <v/>
      </c>
      <c r="BK77" s="24">
        <f>O77-BJ77</f>
        <v/>
      </c>
      <c r="BL77" s="24">
        <f>IF(T77&lt;135,T77,T77-'DPI art.191'!$I$13)</f>
        <v/>
      </c>
      <c r="BM77" s="111">
        <f>IF(O77&lt;80,"0",IF((P77-O77)&lt;=2,('DPI art.191'!$G$15-(('DPI art.191'!$F$15-'DPI art.191'!$G$15)/4)*(P77-O77-2)),('DPI art.191'!$G$15-(('DPI art.191'!$G$15-'DPI art.191'!$H$15)/8)*(P77-O77-2))))</f>
        <v/>
      </c>
      <c r="BN77" s="24">
        <f>O77-BM77</f>
        <v/>
      </c>
      <c r="BO77" s="24">
        <f>IF(Z77&lt;135,Z77,Z77-'DPI art.191'!$I$15)</f>
        <v/>
      </c>
      <c r="BP77" s="108">
        <f>10^(0.1*R77)</f>
        <v/>
      </c>
      <c r="BQ77" s="108">
        <f>10^(0.1*X77)</f>
        <v/>
      </c>
      <c r="BR77" s="108">
        <f>10^(0.1*AB77)</f>
        <v/>
      </c>
      <c r="BS77" s="108">
        <f>10^(0.1*AF77)</f>
        <v/>
      </c>
      <c r="BT77" s="108">
        <f>10^(0.1*AJ77)</f>
        <v/>
      </c>
      <c r="BU77" s="108">
        <f>10^(0.1*AN77)</f>
        <v/>
      </c>
      <c r="BV77" s="106">
        <f>IF(R77&gt;0,(O77-R77),"")</f>
        <v/>
      </c>
      <c r="BW77" s="106">
        <f>IF(X77&gt;0,(O77-X77),"")</f>
        <v/>
      </c>
      <c r="BX77" s="106">
        <f>IF(AB77&gt;0,(O77-AB77),"")</f>
        <v/>
      </c>
      <c r="BY77" s="106">
        <f>IF(AF77&gt;0,(O77-AF77),"")</f>
        <v/>
      </c>
      <c r="BZ77" s="106">
        <f>IF(AJ77&gt;0,(O77-AJ77),"")</f>
        <v/>
      </c>
      <c r="CA77" s="106">
        <f>IF(AN77&gt;0,(O77-AN77),"")</f>
        <v/>
      </c>
      <c r="CB77" s="106">
        <f>COUNT(BV77:CA77)</f>
        <v/>
      </c>
      <c r="CC77" s="464">
        <f>IF(CB77=0,0,IF(CB77=1,0,1/(CB77*(CB77-1))))</f>
        <v/>
      </c>
      <c r="CD77" s="136">
        <f>IF(R77&gt;0,(BV77^2),"")</f>
        <v/>
      </c>
      <c r="CE77" s="136">
        <f>IF(X77&gt;0,(BW77^2),"")</f>
        <v/>
      </c>
      <c r="CF77" s="136">
        <f>IF(AB77&gt;0,(BX77^2),"")</f>
        <v/>
      </c>
      <c r="CG77" s="136">
        <f>IF(AF77&gt;0,(BY77^2),"")</f>
        <v/>
      </c>
      <c r="CH77" s="136">
        <f>IF(AJ77&gt;0,(BZ77^2),"")</f>
        <v/>
      </c>
      <c r="CI77" s="136">
        <f>IF(AN77&gt;0,(CA77^2),"")</f>
        <v/>
      </c>
    </row>
    <row r="78" ht="51" customHeight="1" s="444">
      <c r="A78" s="340" t="inlineStr">
        <is>
          <t>Verniciatura</t>
        </is>
      </c>
      <c r="B78" s="65" t="inlineStr">
        <is>
          <t>F16</t>
        </is>
      </c>
      <c r="C78" s="78" t="inlineStr">
        <is>
          <t>Preparazione verniciatura - operazioni di pulizia pezzi in uscita dalla sabbiatura con aria compressa</t>
        </is>
      </c>
      <c r="D78" s="83" t="inlineStr">
        <is>
          <t>/</t>
        </is>
      </c>
      <c r="E78" s="83" t="inlineStr">
        <is>
          <t>/</t>
        </is>
      </c>
      <c r="F78" s="78" t="inlineStr">
        <is>
          <t>Preparazione verniciatura - operazioni di pulizia pezzi in uscita dalla sabbiatura con aria compressa</t>
        </is>
      </c>
      <c r="G78" s="71" t="n">
        <v>46003</v>
      </c>
      <c r="H78" s="77" t="inlineStr">
        <is>
          <t>Compito</t>
        </is>
      </c>
      <c r="I78" s="77">
        <f>IF((V78-R78)&gt;3,"SI","")</f>
        <v/>
      </c>
      <c r="J78" s="77" t="inlineStr">
        <is>
          <t>SI</t>
        </is>
      </c>
      <c r="K78" s="77" t="n"/>
      <c r="L78" s="77" t="n"/>
      <c r="M78" s="137">
        <f>IF(R78&gt;0,(SQRT(CC78*(SUM(CD78:CI78)))),"")</f>
        <v/>
      </c>
      <c r="N78" s="4">
        <f>IF(T78&gt;0,(MAX(T78,Z78,AD78,AH78,AL78,AP78))+SQRT(1.2^2+1^2),"")</f>
        <v/>
      </c>
      <c r="O78" s="3">
        <f>IF(R78="",0,10*LOG10(SUM(BP78:BU78)/(COUNT(R78,X78,AB78,AF78,AJ78,AN78))))</f>
        <v/>
      </c>
      <c r="P78" s="5">
        <f>IF(AND(Y78="",AC78="",AG78="",AK78="",AO78=""),S78,AVERAGE(S78,Y78,AC78,AG78,AK78,AO78)+STDEV(S78,Y78,AC78,AG78,AK78,AO78))</f>
        <v/>
      </c>
      <c r="Q78" s="14" t="n">
        <v>300</v>
      </c>
      <c r="R78" s="11" t="n">
        <v>104.3</v>
      </c>
      <c r="S78" s="12" t="n">
        <v>102.8</v>
      </c>
      <c r="T78" s="13" t="n">
        <v>121.9</v>
      </c>
      <c r="U78" s="79" t="n">
        <v>104.3</v>
      </c>
      <c r="V78" s="79" t="n">
        <v>106.2</v>
      </c>
      <c r="W78" s="10" t="n">
        <v>300</v>
      </c>
      <c r="X78" s="11" t="n">
        <v>113.5</v>
      </c>
      <c r="Y78" s="12" t="n">
        <v>111.8</v>
      </c>
      <c r="Z78" s="13" t="n">
        <v>133.4</v>
      </c>
      <c r="AA78" s="10" t="n">
        <v>300</v>
      </c>
      <c r="AB78" s="11" t="n">
        <v>116.3</v>
      </c>
      <c r="AC78" s="12" t="n">
        <v>114.5</v>
      </c>
      <c r="AD78" s="13" t="n">
        <v>133.3</v>
      </c>
      <c r="AE78" s="14" t="n">
        <v>300</v>
      </c>
      <c r="AF78" s="11" t="n">
        <v>116.8</v>
      </c>
      <c r="AG78" s="12" t="n">
        <v>115</v>
      </c>
      <c r="AH78" s="13" t="n">
        <v>134.6</v>
      </c>
      <c r="AI78" s="10" t="n">
        <v>300</v>
      </c>
      <c r="AJ78" s="11" t="n">
        <v>115.2</v>
      </c>
      <c r="AK78" s="12" t="n">
        <v>113.3</v>
      </c>
      <c r="AL78" s="13" t="n">
        <v>133</v>
      </c>
      <c r="AM78" s="10" t="n">
        <v>300</v>
      </c>
      <c r="AN78" s="11" t="n">
        <v>116.1</v>
      </c>
      <c r="AO78" s="12" t="n">
        <v>114.3</v>
      </c>
      <c r="AP78" s="13" t="n">
        <v>133.7</v>
      </c>
      <c r="AQ78" s="6">
        <f>IF(AND((O78)&lt;85,N78&lt;137),"NO","SI")</f>
        <v/>
      </c>
      <c r="AR78" s="7">
        <f>IF((480*(10^(7.95-(O78/10))))&lt;480,480*(10^(7.95-(O78/10))),480)</f>
        <v/>
      </c>
      <c r="AS78" s="8">
        <f>IF((480*(10^(8.45-(O78/10))))&lt;480,480*(10^(8.45-(O78/10))),480)</f>
        <v/>
      </c>
      <c r="AT78" s="9">
        <f>IF((480*(10^(8.65-(O78/10))))&lt;480,480*(10^(8.65-(O78/10))),480)</f>
        <v/>
      </c>
      <c r="AU78" s="111">
        <f>IF(O78&lt;80,"0",IF((P78-O78)&lt;=2,('DPI art.191'!$G$3-(('DPI art.191'!$F$3-'DPI art.191'!$G$3)/4)*(P78-O78-2)),('DPI art.191'!$G$3-(('DPI art.191'!$G$3-'DPI art.191'!$H$3)/8)*(P78-O78-2))))</f>
        <v/>
      </c>
      <c r="AV78" s="24">
        <f>O78-AU78</f>
        <v/>
      </c>
      <c r="AW78" s="24">
        <f>IF(N78&lt;135,N78,N78-'DPI art.191'!$I$3)</f>
        <v/>
      </c>
      <c r="AX78" s="111">
        <f>IF(O78&lt;80,"0",IF((P78-O78)&lt;=2,('DPI art.191'!$G$5-(('DPI art.191'!$F$5-'DPI art.191'!$G$5)/4)*(P78-O78-2)),('DPI art.191'!$G$5-(('DPI art.191'!$G$5-'DPI art.191'!$H$5)/8)*(P78-O78-2))))</f>
        <v/>
      </c>
      <c r="AY78" s="24">
        <f>O78-AX78</f>
        <v/>
      </c>
      <c r="AZ78" s="24">
        <f>IF(N78&lt;135,N78,N78-'DPI art.191'!$I$5)</f>
        <v/>
      </c>
      <c r="BA78" s="111">
        <f>IF(O78&lt;80,"0",IF((P78-O78)&lt;=2,('DPI art.191'!$G$7-(('DPI art.191'!$F$7-'DPI art.191'!$G$7)/4)*(P78-O78-2)),('DPI art.191'!$G$7-(('DPI art.191'!$G$7-'DPI art.191'!$H$7)/8)*(P78-O78-2))))</f>
        <v/>
      </c>
      <c r="BB78" s="24">
        <f>O78-BA78</f>
        <v/>
      </c>
      <c r="BC78" s="24">
        <f>IF(N78&lt;135,N78,N78-'DPI art.191'!$I$7)</f>
        <v/>
      </c>
      <c r="BD78" s="111">
        <f>IF(O78&lt;80,"0",IF((P78-O78)&lt;=2,('DPI art.191'!$G$9-(('DPI art.191'!$F$9-'DPI art.191'!$G$9)/4)*(O78-P78-2)),('DPI art.191'!$G$9-(('DPI art.191'!$G$9-'DPI art.191'!$H$9)/8)*(P78-O78-2))))</f>
        <v/>
      </c>
      <c r="BE78" s="24">
        <f>O78-BD78</f>
        <v/>
      </c>
      <c r="BF78" s="24">
        <f>IF(N78&lt;135,N78,N78-'DPI art.191'!$I$9)</f>
        <v/>
      </c>
      <c r="BG78" s="111">
        <f>IF(O78&lt;80,"0",IF((P78-O78)&lt;=2,('DPI art.191'!$G$11-(('DPI art.191'!$F$11-'DPI art.191'!$G$11)/4)*(P78-O78-2)),('DPI art.191'!$G$11-(('DPI art.191'!$G$11-'DPI art.191'!$H$11)/8)*(P78-O78-2))))</f>
        <v/>
      </c>
      <c r="BH78" s="24">
        <f>O78-BG78</f>
        <v/>
      </c>
      <c r="BI78" s="24">
        <f>IF(T78&lt;135,T78,T78-'DPI art.191'!$I$11)</f>
        <v/>
      </c>
      <c r="BJ78" s="111">
        <f>IF(O78&lt;80,"0",IF((P78-O78)&lt;=2,('DPI art.191'!$G$13-(('DPI art.191'!$F$13-'DPI art.191'!$G$13)/4)*(P78-O78-2)),('DPI art.191'!$G$13-(('DPI art.191'!$G$13-'DPI art.191'!$H$13)/8)*(P78-O78-2))))</f>
        <v/>
      </c>
      <c r="BK78" s="24">
        <f>O78-BJ78</f>
        <v/>
      </c>
      <c r="BL78" s="24">
        <f>IF(T78&lt;135,T78,T78-'DPI art.191'!$I$13)</f>
        <v/>
      </c>
      <c r="BM78" s="111">
        <f>IF(O78&lt;80,"0",IF((P78-O78)&lt;=2,('DPI art.191'!$G$15-(('DPI art.191'!$F$15-'DPI art.191'!$G$15)/4)*(P78-O78-2)),('DPI art.191'!$G$15-(('DPI art.191'!$G$15-'DPI art.191'!$H$15)/8)*(P78-O78-2))))</f>
        <v/>
      </c>
      <c r="BN78" s="24">
        <f>O78-BM78</f>
        <v/>
      </c>
      <c r="BO78" s="24">
        <f>IF(Z78&lt;135,Z78,Z78-'DPI art.191'!$I$15)</f>
        <v/>
      </c>
      <c r="BP78" s="108">
        <f>10^(0.1*R78)</f>
        <v/>
      </c>
      <c r="BQ78" s="108">
        <f>10^(0.1*X78)</f>
        <v/>
      </c>
      <c r="BR78" s="108">
        <f>10^(0.1*AB78)</f>
        <v/>
      </c>
      <c r="BS78" s="108">
        <f>10^(0.1*AF78)</f>
        <v/>
      </c>
      <c r="BT78" s="108">
        <f>10^(0.1*AJ78)</f>
        <v/>
      </c>
      <c r="BU78" s="108">
        <f>10^(0.1*AN78)</f>
        <v/>
      </c>
      <c r="BV78" s="106">
        <f>IF(R78&gt;0,(O78-R78),"")</f>
        <v/>
      </c>
      <c r="BW78" s="106">
        <f>IF(X78&gt;0,(O78-X78),"")</f>
        <v/>
      </c>
      <c r="BX78" s="106">
        <f>IF(AB78&gt;0,(O78-AB78),"")</f>
        <v/>
      </c>
      <c r="BY78" s="106">
        <f>IF(AF78&gt;0,(O78-AF78),"")</f>
        <v/>
      </c>
      <c r="BZ78" s="106">
        <f>IF(AJ78&gt;0,(O78-AJ78),"")</f>
        <v/>
      </c>
      <c r="CA78" s="106">
        <f>IF(AN78&gt;0,(O78-AN78),"")</f>
        <v/>
      </c>
      <c r="CB78" s="106">
        <f>COUNT(BV78:CA78)</f>
        <v/>
      </c>
      <c r="CC78" s="464">
        <f>IF(CB78=0,0,IF(CB78=1,0,1/(CB78*(CB78-1))))</f>
        <v/>
      </c>
      <c r="CD78" s="136">
        <f>IF(R78&gt;0,(BV78^2),"")</f>
        <v/>
      </c>
      <c r="CE78" s="136">
        <f>IF(X78&gt;0,(BW78^2),"")</f>
        <v/>
      </c>
      <c r="CF78" s="136">
        <f>IF(AB78&gt;0,(BX78^2),"")</f>
        <v/>
      </c>
      <c r="CG78" s="136">
        <f>IF(AF78&gt;0,(BY78^2),"")</f>
        <v/>
      </c>
      <c r="CH78" s="136">
        <f>IF(AJ78&gt;0,(BZ78^2),"")</f>
        <v/>
      </c>
      <c r="CI78" s="136">
        <f>IF(AN78&gt;0,(CA78^2),"")</f>
        <v/>
      </c>
    </row>
    <row r="79" ht="38.25" customHeight="1" s="444">
      <c r="A79" s="340" t="inlineStr">
        <is>
          <t>Verniciatura</t>
        </is>
      </c>
      <c r="B79" s="65" t="inlineStr">
        <is>
          <t>F17</t>
        </is>
      </c>
      <c r="C79" s="78" t="inlineStr">
        <is>
          <t>Preparazione verniciatura - operazioni manuali di applicazione nastro adesivo</t>
        </is>
      </c>
      <c r="D79" s="83" t="inlineStr">
        <is>
          <t>/</t>
        </is>
      </c>
      <c r="E79" s="83" t="inlineStr">
        <is>
          <t>/</t>
        </is>
      </c>
      <c r="F79" s="78" t="inlineStr">
        <is>
          <t>Preparazione verniciatura - operazioni manuali di applicazione nastro adesivo</t>
        </is>
      </c>
      <c r="G79" s="71" t="n">
        <v>46003</v>
      </c>
      <c r="H79" s="77" t="inlineStr">
        <is>
          <t>Compito</t>
        </is>
      </c>
      <c r="I79" s="77">
        <f>IF((V79-R79)&gt;3,"SI","")</f>
        <v/>
      </c>
      <c r="J79" s="77">
        <f>IF((U79-R79)&gt;3,"SI","")</f>
        <v/>
      </c>
      <c r="K79" s="77" t="n"/>
      <c r="L79" s="77" t="n"/>
      <c r="M79" s="137">
        <f>IF(R79&gt;0,(SQRT(CC79*(SUM(CD79:CI79)))),"")</f>
        <v/>
      </c>
      <c r="N79" s="4">
        <f>IF(T79&gt;0,(MAX(T79,Z79,AD79,AH79,AL79,AP79))+SQRT(1.2^2+1^2),"")</f>
        <v/>
      </c>
      <c r="O79" s="3">
        <f>IF(R79="",0,10*LOG10(SUM(BP79:BU79)/(COUNT(R79,X79,AB79,AF79,AJ79,AN79))))</f>
        <v/>
      </c>
      <c r="P79" s="5">
        <f>IF(AND(Y79="",AC79="",AG79="",AK79="",AO79=""),S79,AVERAGE(S79,Y79,AC79,AG79,AK79,AO79)+STDEV(S79,Y79,AC79,AG79,AK79,AO79))</f>
        <v/>
      </c>
      <c r="Q79" s="14" t="n">
        <v>300</v>
      </c>
      <c r="R79" s="11" t="n">
        <v>69</v>
      </c>
      <c r="S79" s="12" t="n">
        <v>73.8</v>
      </c>
      <c r="T79" s="13" t="n">
        <v>95.90000000000001</v>
      </c>
      <c r="U79" s="79" t="n">
        <v>69</v>
      </c>
      <c r="V79" s="79" t="n">
        <v>73.7</v>
      </c>
      <c r="W79" s="10" t="n">
        <v>300</v>
      </c>
      <c r="X79" s="11" t="n">
        <v>72.7</v>
      </c>
      <c r="Y79" s="12" t="n">
        <v>75.40000000000001</v>
      </c>
      <c r="Z79" s="13" t="n">
        <v>108.1</v>
      </c>
      <c r="AA79" s="10" t="n">
        <v>300</v>
      </c>
      <c r="AB79" s="11" t="n">
        <v>76.59999999999999</v>
      </c>
      <c r="AC79" s="12" t="n">
        <v>78.09999999999999</v>
      </c>
      <c r="AD79" s="13" t="n">
        <v>114</v>
      </c>
      <c r="AE79" s="14" t="n">
        <v>300</v>
      </c>
      <c r="AF79" s="11" t="n">
        <v>69.3</v>
      </c>
      <c r="AG79" s="12" t="n">
        <v>74.09999999999999</v>
      </c>
      <c r="AH79" s="13" t="n">
        <v>98.40000000000001</v>
      </c>
      <c r="AI79" s="10" t="n">
        <v>300</v>
      </c>
      <c r="AJ79" s="11" t="n">
        <v>73</v>
      </c>
      <c r="AK79" s="12" t="n">
        <v>75.7</v>
      </c>
      <c r="AL79" s="13" t="n">
        <v>99</v>
      </c>
      <c r="AM79" s="10" t="n">
        <v>300</v>
      </c>
      <c r="AN79" s="11" t="n">
        <v>68.7</v>
      </c>
      <c r="AO79" s="12" t="n">
        <v>73.7</v>
      </c>
      <c r="AP79" s="13" t="n">
        <v>94.7</v>
      </c>
      <c r="AQ79" s="6">
        <f>IF(AND((O79)&lt;85,N79&lt;137),"NO","SI")</f>
        <v/>
      </c>
      <c r="AR79" s="7">
        <f>IF((480*(10^(7.95-(O79/10))))&lt;480,480*(10^(7.95-(O79/10))),480)</f>
        <v/>
      </c>
      <c r="AS79" s="8">
        <f>IF((480*(10^(8.45-(O79/10))))&lt;480,480*(10^(8.45-(O79/10))),480)</f>
        <v/>
      </c>
      <c r="AT79" s="9">
        <f>IF((480*(10^(8.65-(O79/10))))&lt;480,480*(10^(8.65-(O79/10))),480)</f>
        <v/>
      </c>
      <c r="AU79" s="111">
        <f>IF(O79&lt;80,"0",IF((P79-O79)&lt;=2,('DPI art.191'!$G$3-(('DPI art.191'!$F$3-'DPI art.191'!$G$3)/4)*(P79-O79-2)),('DPI art.191'!$G$3-(('DPI art.191'!$G$3-'DPI art.191'!$H$3)/8)*(P79-O79-2))))</f>
        <v/>
      </c>
      <c r="AV79" s="24">
        <f>O79-AU79</f>
        <v/>
      </c>
      <c r="AW79" s="24">
        <f>IF(N79&lt;135,N79,N79-'DPI art.191'!$I$3)</f>
        <v/>
      </c>
      <c r="AX79" s="111">
        <f>IF(O79&lt;80,"0",IF((P79-O79)&lt;=2,('DPI art.191'!$G$5-(('DPI art.191'!$F$5-'DPI art.191'!$G$5)/4)*(P79-O79-2)),('DPI art.191'!$G$5-(('DPI art.191'!$G$5-'DPI art.191'!$H$5)/8)*(P79-O79-2))))</f>
        <v/>
      </c>
      <c r="AY79" s="24">
        <f>O79-AX79</f>
        <v/>
      </c>
      <c r="AZ79" s="24">
        <f>IF(N79&lt;135,N79,N79-'DPI art.191'!$I$5)</f>
        <v/>
      </c>
      <c r="BA79" s="111">
        <f>IF(O79&lt;80,"0",IF((P79-O79)&lt;=2,('DPI art.191'!$G$7-(('DPI art.191'!$F$7-'DPI art.191'!$G$7)/4)*(P79-O79-2)),('DPI art.191'!$G$7-(('DPI art.191'!$G$7-'DPI art.191'!$H$7)/8)*(P79-O79-2))))</f>
        <v/>
      </c>
      <c r="BB79" s="24">
        <f>O79-BA79</f>
        <v/>
      </c>
      <c r="BC79" s="24">
        <f>IF(N79&lt;135,N79,N79-'DPI art.191'!$I$7)</f>
        <v/>
      </c>
      <c r="BD79" s="111">
        <f>IF(O79&lt;80,"0",IF((P79-O79)&lt;=2,('DPI art.191'!$G$9-(('DPI art.191'!$F$9-'DPI art.191'!$G$9)/4)*(O79-P79-2)),('DPI art.191'!$G$9-(('DPI art.191'!$G$9-'DPI art.191'!$H$9)/8)*(P79-O79-2))))</f>
        <v/>
      </c>
      <c r="BE79" s="24">
        <f>O79-BD79</f>
        <v/>
      </c>
      <c r="BF79" s="24">
        <f>IF(N79&lt;135,N79,N79-'DPI art.191'!$I$9)</f>
        <v/>
      </c>
      <c r="BG79" s="111">
        <f>IF(O79&lt;80,"0",IF((P79-O79)&lt;=2,('DPI art.191'!$G$11-(('DPI art.191'!$F$11-'DPI art.191'!$G$11)/4)*(P79-O79-2)),('DPI art.191'!$G$11-(('DPI art.191'!$G$11-'DPI art.191'!$H$11)/8)*(P79-O79-2))))</f>
        <v/>
      </c>
      <c r="BH79" s="24">
        <f>O79-BG79</f>
        <v/>
      </c>
      <c r="BI79" s="24">
        <f>IF(T79&lt;135,T79,T79-'DPI art.191'!$I$11)</f>
        <v/>
      </c>
      <c r="BJ79" s="111">
        <f>IF(O79&lt;80,"0",IF((P79-O79)&lt;=2,('DPI art.191'!$G$13-(('DPI art.191'!$F$13-'DPI art.191'!$G$13)/4)*(P79-O79-2)),('DPI art.191'!$G$13-(('DPI art.191'!$G$13-'DPI art.191'!$H$13)/8)*(P79-O79-2))))</f>
        <v/>
      </c>
      <c r="BK79" s="24">
        <f>O79-BJ79</f>
        <v/>
      </c>
      <c r="BL79" s="24">
        <f>IF(T79&lt;135,T79,T79-'DPI art.191'!$I$13)</f>
        <v/>
      </c>
      <c r="BM79" s="111">
        <f>IF(O79&lt;80,"0",IF((P79-O79)&lt;=2,('DPI art.191'!$G$15-(('DPI art.191'!$F$15-'DPI art.191'!$G$15)/4)*(P79-O79-2)),('DPI art.191'!$G$15-(('DPI art.191'!$G$15-'DPI art.191'!$H$15)/8)*(P79-O79-2))))</f>
        <v/>
      </c>
      <c r="BN79" s="24">
        <f>O79-BM79</f>
        <v/>
      </c>
      <c r="BO79" s="24">
        <f>IF(Z79&lt;135,Z79,Z79-'DPI art.191'!$I$15)</f>
        <v/>
      </c>
      <c r="BP79" s="108">
        <f>10^(0.1*R79)</f>
        <v/>
      </c>
      <c r="BQ79" s="108">
        <f>10^(0.1*X79)</f>
        <v/>
      </c>
      <c r="BR79" s="108">
        <f>10^(0.1*AB79)</f>
        <v/>
      </c>
      <c r="BS79" s="108">
        <f>10^(0.1*AF79)</f>
        <v/>
      </c>
      <c r="BT79" s="108">
        <f>10^(0.1*AJ79)</f>
        <v/>
      </c>
      <c r="BU79" s="108">
        <f>10^(0.1*AN79)</f>
        <v/>
      </c>
      <c r="BV79" s="106">
        <f>IF(R79&gt;0,(O79-R79),"")</f>
        <v/>
      </c>
      <c r="BW79" s="106">
        <f>IF(X79&gt;0,(O79-X79),"")</f>
        <v/>
      </c>
      <c r="BX79" s="106">
        <f>IF(AB79&gt;0,(O79-AB79),"")</f>
        <v/>
      </c>
      <c r="BY79" s="106">
        <f>IF(AF79&gt;0,(O79-AF79),"")</f>
        <v/>
      </c>
      <c r="BZ79" s="106">
        <f>IF(AJ79&gt;0,(O79-AJ79),"")</f>
        <v/>
      </c>
      <c r="CA79" s="106">
        <f>IF(AN79&gt;0,(O79-AN79),"")</f>
        <v/>
      </c>
      <c r="CB79" s="106">
        <f>COUNT(BV79:CA79)</f>
        <v/>
      </c>
      <c r="CC79" s="464">
        <f>IF(CB79=0,0,IF(CB79=1,0,1/(CB79*(CB79-1))))</f>
        <v/>
      </c>
      <c r="CD79" s="136">
        <f>IF(R79&gt;0,(BV79^2),"")</f>
        <v/>
      </c>
      <c r="CE79" s="136">
        <f>IF(X79&gt;0,(BW79^2),"")</f>
        <v/>
      </c>
      <c r="CF79" s="136">
        <f>IF(AB79&gt;0,(BX79^2),"")</f>
        <v/>
      </c>
      <c r="CG79" s="136">
        <f>IF(AF79&gt;0,(BY79^2),"")</f>
        <v/>
      </c>
      <c r="CH79" s="136">
        <f>IF(AJ79&gt;0,(BZ79^2),"")</f>
        <v/>
      </c>
      <c r="CI79" s="136">
        <f>IF(AN79&gt;0,(CA79^2),"")</f>
        <v/>
      </c>
    </row>
    <row r="80" ht="18.75" customHeight="1" s="444">
      <c r="A80" s="340" t="inlineStr">
        <is>
          <t>/</t>
        </is>
      </c>
      <c r="B80" s="65" t="inlineStr">
        <is>
          <t>F18</t>
        </is>
      </c>
      <c r="C80" s="78" t="inlineStr">
        <is>
          <t>Trasferimenti con autocarro</t>
        </is>
      </c>
      <c r="D80" s="83" t="inlineStr">
        <is>
          <t>/</t>
        </is>
      </c>
      <c r="E80" s="83" t="inlineStr">
        <is>
          <t>/</t>
        </is>
      </c>
      <c r="F80" s="192" t="inlineStr">
        <is>
          <t>Trasferimenti con autocarro</t>
        </is>
      </c>
      <c r="G80" s="71" t="n">
        <v>46003</v>
      </c>
      <c r="H80" s="77" t="inlineStr">
        <is>
          <t>Compito</t>
        </is>
      </c>
      <c r="I80" s="77">
        <f>IF((V80-R80)&gt;3,"SI","")</f>
        <v/>
      </c>
      <c r="J80" s="77" t="inlineStr">
        <is>
          <t>SI</t>
        </is>
      </c>
      <c r="K80" s="77" t="n"/>
      <c r="L80" s="77" t="n"/>
      <c r="M80" s="137">
        <f>IF(R80&gt;0,(SQRT(CC80*(SUM(CD80:CI80)))),"")</f>
        <v/>
      </c>
      <c r="N80" s="4">
        <f>IF(T80&gt;0,(MAX(T80,Z80,AD80,AH80,AL80,AP80))+SQRT(1.2^2+1^2),"")</f>
        <v/>
      </c>
      <c r="O80" s="3">
        <f>IF(R80="",0,10*LOG10(SUM(BP80:BU80)/(COUNT(R80,X80,AB80,AF80,AJ80,AN80))))</f>
        <v/>
      </c>
      <c r="P80" s="5">
        <f>IF(AND(Y80="",AC80="",AG80="",AK80="",AO80=""),S80,AVERAGE(S80,Y80,AC80,AG80,AK80,AO80)+STDEV(S80,Y80,AC80,AG80,AK80,AO80))</f>
        <v/>
      </c>
      <c r="Q80" s="14" t="n">
        <v>300</v>
      </c>
      <c r="R80" s="11" t="n">
        <v>71</v>
      </c>
      <c r="S80" s="12" t="n">
        <v>94.5</v>
      </c>
      <c r="T80" s="13" t="n">
        <v>108.3</v>
      </c>
      <c r="U80" s="79" t="n"/>
      <c r="V80" s="79" t="n"/>
      <c r="W80" s="10" t="n">
        <v>300</v>
      </c>
      <c r="X80" s="11" t="n">
        <v>71.09999999999999</v>
      </c>
      <c r="Y80" s="12" t="n">
        <v>94.59999999999999</v>
      </c>
      <c r="Z80" s="13" t="n">
        <v>108.4</v>
      </c>
      <c r="AA80" s="10" t="n">
        <v>300</v>
      </c>
      <c r="AB80" s="11" t="n">
        <v>70.90000000000001</v>
      </c>
      <c r="AC80" s="12" t="n">
        <v>94.40000000000001</v>
      </c>
      <c r="AD80" s="13" t="n">
        <v>108.2</v>
      </c>
      <c r="AE80" s="14" t="n"/>
      <c r="AF80" s="11" t="n"/>
      <c r="AG80" s="12" t="n"/>
      <c r="AH80" s="13" t="n"/>
      <c r="AI80" s="10" t="n"/>
      <c r="AJ80" s="11" t="n"/>
      <c r="AK80" s="12" t="n"/>
      <c r="AL80" s="13" t="n"/>
      <c r="AM80" s="10" t="n"/>
      <c r="AN80" s="11" t="n"/>
      <c r="AO80" s="12" t="n"/>
      <c r="AP80" s="13" t="n"/>
      <c r="AQ80" s="6">
        <f>IF(AND((O80)&lt;85,N80&lt;137),"NO","SI")</f>
        <v/>
      </c>
      <c r="AR80" s="7">
        <f>IF((480*(10^(7.95-(O80/10))))&lt;480,480*(10^(7.95-(O80/10))),480)</f>
        <v/>
      </c>
      <c r="AS80" s="8">
        <f>IF((480*(10^(8.45-(O80/10))))&lt;480,480*(10^(8.45-(O80/10))),480)</f>
        <v/>
      </c>
      <c r="AT80" s="9">
        <f>IF((480*(10^(8.65-(O80/10))))&lt;480,480*(10^(8.65-(O80/10))),480)</f>
        <v/>
      </c>
      <c r="AU80" s="111">
        <f>IF(O80&lt;80,"0",IF((P80-O80)&lt;=2,('DPI art.191'!$G$3-(('DPI art.191'!$F$3-'DPI art.191'!$G$3)/4)*(P80-O80-2)),('DPI art.191'!$G$3-(('DPI art.191'!$G$3-'DPI art.191'!$H$3)/8)*(P80-O80-2))))</f>
        <v/>
      </c>
      <c r="AV80" s="24">
        <f>O80-AU80</f>
        <v/>
      </c>
      <c r="AW80" s="24">
        <f>IF(N80&lt;135,N80,N80-'DPI art.191'!$I$3)</f>
        <v/>
      </c>
      <c r="AX80" s="111">
        <f>IF(O80&lt;80,"0",IF((P80-O80)&lt;=2,('DPI art.191'!$G$5-(('DPI art.191'!$F$5-'DPI art.191'!$G$5)/4)*(P80-O80-2)),('DPI art.191'!$G$5-(('DPI art.191'!$G$5-'DPI art.191'!$H$5)/8)*(P80-O80-2))))</f>
        <v/>
      </c>
      <c r="AY80" s="24">
        <f>O80-AX80</f>
        <v/>
      </c>
      <c r="AZ80" s="24">
        <f>IF(N80&lt;135,N80,N80-'DPI art.191'!$I$5)</f>
        <v/>
      </c>
      <c r="BA80" s="111">
        <f>IF(O80&lt;80,"0",IF((P80-O80)&lt;=2,('DPI art.191'!$G$7-(('DPI art.191'!$F$7-'DPI art.191'!$G$7)/4)*(P80-O80-2)),('DPI art.191'!$G$7-(('DPI art.191'!$G$7-'DPI art.191'!$H$7)/8)*(P80-O80-2))))</f>
        <v/>
      </c>
      <c r="BB80" s="24">
        <f>O80-BA80</f>
        <v/>
      </c>
      <c r="BC80" s="24">
        <f>IF(N80&lt;135,N80,N80-'DPI art.191'!$I$7)</f>
        <v/>
      </c>
      <c r="BD80" s="111">
        <f>IF(O80&lt;80,"0",IF((P80-O80)&lt;=2,('DPI art.191'!$G$9-(('DPI art.191'!$F$9-'DPI art.191'!$G$9)/4)*(O80-P80-2)),('DPI art.191'!$G$9-(('DPI art.191'!$G$9-'DPI art.191'!$H$9)/8)*(P80-O80-2))))</f>
        <v/>
      </c>
      <c r="BE80" s="24">
        <f>O80-BD80</f>
        <v/>
      </c>
      <c r="BF80" s="24">
        <f>IF(N80&lt;135,N80,N80-'DPI art.191'!$I$9)</f>
        <v/>
      </c>
      <c r="BG80" s="111">
        <f>IF(O80&lt;80,"0",IF((P80-O80)&lt;=2,('DPI art.191'!$G$11-(('DPI art.191'!$F$11-'DPI art.191'!$G$11)/4)*(P80-O80-2)),('DPI art.191'!$G$11-(('DPI art.191'!$G$11-'DPI art.191'!$H$11)/8)*(P80-O80-2))))</f>
        <v/>
      </c>
      <c r="BH80" s="24">
        <f>O80-BG80</f>
        <v/>
      </c>
      <c r="BI80" s="24">
        <f>IF(T80&lt;135,T80,T80-'DPI art.191'!$I$11)</f>
        <v/>
      </c>
      <c r="BJ80" s="111">
        <f>IF(O80&lt;80,"0",IF((P80-O80)&lt;=2,('DPI art.191'!$G$13-(('DPI art.191'!$F$13-'DPI art.191'!$G$13)/4)*(P80-O80-2)),('DPI art.191'!$G$13-(('DPI art.191'!$G$13-'DPI art.191'!$H$13)/8)*(P80-O80-2))))</f>
        <v/>
      </c>
      <c r="BK80" s="24">
        <f>O80-BJ80</f>
        <v/>
      </c>
      <c r="BL80" s="24">
        <f>IF(T80&lt;135,T80,T80-'DPI art.191'!$I$13)</f>
        <v/>
      </c>
      <c r="BM80" s="111">
        <f>IF(O80&lt;80,"0",IF((P80-O80)&lt;=2,('DPI art.191'!$G$15-(('DPI art.191'!$F$15-'DPI art.191'!$G$15)/4)*(P80-O80-2)),('DPI art.191'!$G$15-(('DPI art.191'!$G$15-'DPI art.191'!$H$15)/8)*(P80-O80-2))))</f>
        <v/>
      </c>
      <c r="BN80" s="24">
        <f>O80-BM80</f>
        <v/>
      </c>
      <c r="BO80" s="24">
        <f>IF(Z80&lt;135,Z80,Z80-'DPI art.191'!$I$15)</f>
        <v/>
      </c>
      <c r="BP80" s="108">
        <f>10^(0.1*R80)</f>
        <v/>
      </c>
      <c r="BQ80" s="108">
        <f>10^(0.1*X80)</f>
        <v/>
      </c>
      <c r="BR80" s="108">
        <f>10^(0.1*AB80)</f>
        <v/>
      </c>
      <c r="BS80" s="108">
        <f>10^(0.1*AF80)</f>
        <v/>
      </c>
      <c r="BT80" s="108">
        <f>10^(0.1*AJ80)</f>
        <v/>
      </c>
      <c r="BU80" s="108">
        <f>10^(0.1*AN80)</f>
        <v/>
      </c>
      <c r="BV80" s="106">
        <f>IF(R80&gt;0,(O80-R80),"")</f>
        <v/>
      </c>
      <c r="BW80" s="106">
        <f>IF(X80&gt;0,(O80-X80),"")</f>
        <v/>
      </c>
      <c r="BX80" s="106">
        <f>IF(AB80&gt;0,(O80-AB80),"")</f>
        <v/>
      </c>
      <c r="BY80" s="106">
        <f>IF(AF80&gt;0,(O80-AF80),"")</f>
        <v/>
      </c>
      <c r="BZ80" s="106">
        <f>IF(AJ80&gt;0,(O80-AJ80),"")</f>
        <v/>
      </c>
      <c r="CA80" s="106">
        <f>IF(AN80&gt;0,(O80-AN80),"")</f>
        <v/>
      </c>
      <c r="CB80" s="106">
        <f>COUNT(BV80:CA80)</f>
        <v/>
      </c>
      <c r="CC80" s="464">
        <f>IF(CB80=0,0,IF(CB80=1,0,1/(CB80*(CB80-1))))</f>
        <v/>
      </c>
      <c r="CD80" s="136">
        <f>IF(R80&gt;0,(BV80^2),"")</f>
        <v/>
      </c>
      <c r="CE80" s="136">
        <f>IF(X80&gt;0,(BW80^2),"")</f>
        <v/>
      </c>
      <c r="CF80" s="136">
        <f>IF(AB80&gt;0,(BX80^2),"")</f>
        <v/>
      </c>
      <c r="CG80" s="136">
        <f>IF(AF80&gt;0,(BY80^2),"")</f>
        <v/>
      </c>
      <c r="CH80" s="136">
        <f>IF(AJ80&gt;0,(BZ80^2),"")</f>
        <v/>
      </c>
      <c r="CI80" s="136">
        <f>IF(AN80&gt;0,(CA80^2),"")</f>
        <v/>
      </c>
    </row>
    <row r="81" ht="25.5" customHeight="1" s="444">
      <c r="A81" s="340" t="inlineStr">
        <is>
          <t>016/1071</t>
        </is>
      </c>
      <c r="B81" s="65" t="inlineStr">
        <is>
          <t>W21</t>
        </is>
      </c>
      <c r="C81" s="78" t="inlineStr">
        <is>
          <t>Molatura con mola grande sgrosso</t>
        </is>
      </c>
      <c r="D81" s="83" t="inlineStr">
        <is>
          <t>/</t>
        </is>
      </c>
      <c r="E81" s="83" t="inlineStr">
        <is>
          <t>/</t>
        </is>
      </c>
      <c r="F81" s="78" t="inlineStr">
        <is>
          <t>Molatura con mola grande sgrosso</t>
        </is>
      </c>
      <c r="G81" s="71" t="n">
        <v>46003</v>
      </c>
      <c r="H81" s="77" t="inlineStr">
        <is>
          <t>Compito</t>
        </is>
      </c>
      <c r="I81" s="77">
        <f>IF((V81-R81)&gt;3,"SI","")</f>
        <v/>
      </c>
      <c r="J81" s="77" t="inlineStr">
        <is>
          <t>SI</t>
        </is>
      </c>
      <c r="K81" s="77" t="n"/>
      <c r="L81" s="77" t="n"/>
      <c r="M81" s="137">
        <f>IF(R81&gt;0,(SQRT(CC81*(SUM(CD81:CI81)))),"")</f>
        <v/>
      </c>
      <c r="N81" s="4">
        <f>IF(T81&gt;0,(MAX(T81,Z81,AD81,AH81,AL81,AP81))+SQRT(1.2^2+1^2),"")</f>
        <v/>
      </c>
      <c r="O81" s="3">
        <f>IF(R81="",0,10*LOG10(SUM(BP81:BU81)/(COUNT(R81,X81,AB81,AF81,AJ81,AN81))))</f>
        <v/>
      </c>
      <c r="P81" s="5">
        <f>IF(AND(Y81="",AC81="",AG81="",AK81="",AO81=""),S81,AVERAGE(S81,Y81,AC81,AG81,AK81,AO81)+STDEV(S81,Y81,AC81,AG81,AK81,AO81))</f>
        <v/>
      </c>
      <c r="Q81" s="14" t="n">
        <v>300</v>
      </c>
      <c r="R81" s="11" t="n">
        <v>103.7</v>
      </c>
      <c r="S81" s="12" t="n">
        <v>102.8</v>
      </c>
      <c r="T81" s="13" t="n">
        <v>119.5</v>
      </c>
      <c r="U81" s="79" t="n"/>
      <c r="V81" s="79" t="n"/>
      <c r="W81" s="10" t="n">
        <v>300</v>
      </c>
      <c r="X81" s="11" t="n">
        <v>106.3</v>
      </c>
      <c r="Y81" s="12" t="n">
        <v>106</v>
      </c>
      <c r="Z81" s="13" t="n">
        <v>123.6</v>
      </c>
      <c r="AA81" s="10" t="n">
        <v>300</v>
      </c>
      <c r="AB81" s="11" t="n">
        <v>104.6</v>
      </c>
      <c r="AC81" s="12" t="n">
        <v>104</v>
      </c>
      <c r="AD81" s="13" t="n">
        <v>121</v>
      </c>
      <c r="AE81" s="14" t="n">
        <v>300</v>
      </c>
      <c r="AF81" s="11" t="n">
        <v>102.5</v>
      </c>
      <c r="AG81" s="12" t="n">
        <v>101.9</v>
      </c>
      <c r="AH81" s="13" t="n">
        <v>120.2</v>
      </c>
      <c r="AI81" s="10" t="n">
        <v>300</v>
      </c>
      <c r="AJ81" s="11" t="n">
        <v>105.2</v>
      </c>
      <c r="AK81" s="12" t="n">
        <v>104.6</v>
      </c>
      <c r="AL81" s="13" t="n">
        <v>121.8</v>
      </c>
      <c r="AM81" s="10" t="n">
        <v>300</v>
      </c>
      <c r="AN81" s="11" t="n">
        <v>103.9</v>
      </c>
      <c r="AO81" s="12" t="n">
        <v>103.4</v>
      </c>
      <c r="AP81" s="13" t="n">
        <v>120.2</v>
      </c>
      <c r="AQ81" s="6">
        <f>IF(AND((O81)&lt;85,N81&lt;137),"NO","SI")</f>
        <v/>
      </c>
      <c r="AR81" s="7">
        <f>IF((480*(10^(7.95-(O81/10))))&lt;480,480*(10^(7.95-(O81/10))),480)</f>
        <v/>
      </c>
      <c r="AS81" s="8">
        <f>IF((480*(10^(8.45-(O81/10))))&lt;480,480*(10^(8.45-(O81/10))),480)</f>
        <v/>
      </c>
      <c r="AT81" s="9">
        <f>IF((480*(10^(8.65-(O81/10))))&lt;480,480*(10^(8.65-(O81/10))),480)</f>
        <v/>
      </c>
      <c r="AU81" s="111">
        <f>IF(O81&lt;80,"0",IF((P81-O81)&lt;=2,('DPI art.191'!$G$3-(('DPI art.191'!$F$3-'DPI art.191'!$G$3)/4)*(P81-O81-2)),('DPI art.191'!$G$3-(('DPI art.191'!$G$3-'DPI art.191'!$H$3)/8)*(P81-O81-2))))</f>
        <v/>
      </c>
      <c r="AV81" s="24">
        <f>O81-AU81</f>
        <v/>
      </c>
      <c r="AW81" s="24">
        <f>IF(N81&lt;135,N81,N81-'DPI art.191'!$I$3)</f>
        <v/>
      </c>
      <c r="AX81" s="111">
        <f>IF(O81&lt;80,"0",IF((P81-O81)&lt;=2,('DPI art.191'!$G$5-(('DPI art.191'!$F$5-'DPI art.191'!$G$5)/4)*(P81-O81-2)),('DPI art.191'!$G$5-(('DPI art.191'!$G$5-'DPI art.191'!$H$5)/8)*(P81-O81-2))))</f>
        <v/>
      </c>
      <c r="AY81" s="24">
        <f>O81-AX81</f>
        <v/>
      </c>
      <c r="AZ81" s="24">
        <f>IF(N81&lt;135,N81,N81-'DPI art.191'!$I$5)</f>
        <v/>
      </c>
      <c r="BA81" s="111">
        <f>IF(O81&lt;80,"0",IF((P81-O81)&lt;=2,('DPI art.191'!$G$7-(('DPI art.191'!$F$7-'DPI art.191'!$G$7)/4)*(P81-O81-2)),('DPI art.191'!$G$7-(('DPI art.191'!$G$7-'DPI art.191'!$H$7)/8)*(P81-O81-2))))</f>
        <v/>
      </c>
      <c r="BB81" s="24">
        <f>O81-BA81</f>
        <v/>
      </c>
      <c r="BC81" s="24">
        <f>IF(N81&lt;135,N81,N81-'DPI art.191'!$I$7)</f>
        <v/>
      </c>
      <c r="BD81" s="111">
        <f>IF(O81&lt;80,"0",IF((P81-O81)&lt;=2,('DPI art.191'!$G$9-(('DPI art.191'!$F$9-'DPI art.191'!$G$9)/4)*(O81-P81-2)),('DPI art.191'!$G$9-(('DPI art.191'!$G$9-'DPI art.191'!$H$9)/8)*(P81-O81-2))))</f>
        <v/>
      </c>
      <c r="BE81" s="24">
        <f>O81-BD81</f>
        <v/>
      </c>
      <c r="BF81" s="24">
        <f>IF(N81&lt;135,N81,N81-'DPI art.191'!$I$9)</f>
        <v/>
      </c>
      <c r="BG81" s="111">
        <f>IF(O81&lt;80,"0",IF((P81-O81)&lt;=2,('DPI art.191'!$G$11-(('DPI art.191'!$F$11-'DPI art.191'!$G$11)/4)*(P81-O81-2)),('DPI art.191'!$G$11-(('DPI art.191'!$G$11-'DPI art.191'!$H$11)/8)*(P81-O81-2))))</f>
        <v/>
      </c>
      <c r="BH81" s="24">
        <f>O81-BG81</f>
        <v/>
      </c>
      <c r="BI81" s="24">
        <f>IF(T81&lt;135,T81,T81-'DPI art.191'!$I$11)</f>
        <v/>
      </c>
      <c r="BJ81" s="111">
        <f>IF(O81&lt;80,"0",IF((P81-O81)&lt;=2,('DPI art.191'!$G$13-(('DPI art.191'!$F$13-'DPI art.191'!$G$13)/4)*(P81-O81-2)),('DPI art.191'!$G$13-(('DPI art.191'!$G$13-'DPI art.191'!$H$13)/8)*(P81-O81-2))))</f>
        <v/>
      </c>
      <c r="BK81" s="24">
        <f>O81-BJ81</f>
        <v/>
      </c>
      <c r="BL81" s="24">
        <f>IF(T81&lt;135,T81,T81-'DPI art.191'!$I$13)</f>
        <v/>
      </c>
      <c r="BM81" s="111">
        <f>IF(O81&lt;80,"0",IF((P81-O81)&lt;=2,('DPI art.191'!$G$15-(('DPI art.191'!$F$15-'DPI art.191'!$G$15)/4)*(P81-O81-2)),('DPI art.191'!$G$15-(('DPI art.191'!$G$15-'DPI art.191'!$H$15)/8)*(P81-O81-2))))</f>
        <v/>
      </c>
      <c r="BN81" s="24">
        <f>O81-BM81</f>
        <v/>
      </c>
      <c r="BO81" s="24">
        <f>IF(Z81&lt;135,Z81,Z81-'DPI art.191'!$I$15)</f>
        <v/>
      </c>
      <c r="BP81" s="108">
        <f>10^(0.1*R81)</f>
        <v/>
      </c>
      <c r="BQ81" s="108">
        <f>10^(0.1*X81)</f>
        <v/>
      </c>
      <c r="BR81" s="108">
        <f>10^(0.1*AB81)</f>
        <v/>
      </c>
      <c r="BS81" s="108">
        <f>10^(0.1*AF81)</f>
        <v/>
      </c>
      <c r="BT81" s="108">
        <f>10^(0.1*AJ81)</f>
        <v/>
      </c>
      <c r="BU81" s="108">
        <f>10^(0.1*AN81)</f>
        <v/>
      </c>
      <c r="BV81" s="106">
        <f>IF(R81&gt;0,(O81-R81),"")</f>
        <v/>
      </c>
      <c r="BW81" s="106">
        <f>IF(X81&gt;0,(O81-X81),"")</f>
        <v/>
      </c>
      <c r="BX81" s="106">
        <f>IF(AB81&gt;0,(O81-AB81),"")</f>
        <v/>
      </c>
      <c r="BY81" s="106">
        <f>IF(AF81&gt;0,(O81-AF81),"")</f>
        <v/>
      </c>
      <c r="BZ81" s="106">
        <f>IF(AJ81&gt;0,(O81-AJ81),"")</f>
        <v/>
      </c>
      <c r="CA81" s="106">
        <f>IF(AN81&gt;0,(O81-AN81),"")</f>
        <v/>
      </c>
      <c r="CB81" s="106">
        <f>COUNT(BV81:CA81)</f>
        <v/>
      </c>
      <c r="CC81" s="464">
        <f>IF(CB81=0,0,IF(CB81=1,0,1/(CB81*(CB81-1))))</f>
        <v/>
      </c>
      <c r="CD81" s="136">
        <f>IF(R81&gt;0,(BV81^2),"")</f>
        <v/>
      </c>
      <c r="CE81" s="136">
        <f>IF(X81&gt;0,(BW81^2),"")</f>
        <v/>
      </c>
      <c r="CF81" s="136">
        <f>IF(AB81&gt;0,(BX81^2),"")</f>
        <v/>
      </c>
      <c r="CG81" s="136">
        <f>IF(AF81&gt;0,(BY81^2),"")</f>
        <v/>
      </c>
      <c r="CH81" s="136">
        <f>IF(AJ81&gt;0,(BZ81^2),"")</f>
        <v/>
      </c>
      <c r="CI81" s="136">
        <f>IF(AN81&gt;0,(CA81^2),"")</f>
        <v/>
      </c>
    </row>
    <row r="82" ht="18.75" customHeight="1" s="444">
      <c r="A82" s="340" t="inlineStr">
        <is>
          <t>016/1071</t>
        </is>
      </c>
      <c r="B82" s="65" t="inlineStr">
        <is>
          <t>W22</t>
        </is>
      </c>
      <c r="C82" s="78" t="inlineStr">
        <is>
          <t>Taglio  con mola grande</t>
        </is>
      </c>
      <c r="D82" s="83" t="inlineStr">
        <is>
          <t>/</t>
        </is>
      </c>
      <c r="E82" s="83" t="inlineStr">
        <is>
          <t>/</t>
        </is>
      </c>
      <c r="F82" s="78" t="inlineStr">
        <is>
          <t>Taglio  con mola grande</t>
        </is>
      </c>
      <c r="G82" s="71" t="n">
        <v>46003</v>
      </c>
      <c r="H82" s="77" t="inlineStr">
        <is>
          <t>Compito</t>
        </is>
      </c>
      <c r="I82" s="77">
        <f>IF((V82-R82)&gt;3,"SI","")</f>
        <v/>
      </c>
      <c r="J82" s="77" t="inlineStr">
        <is>
          <t>SI</t>
        </is>
      </c>
      <c r="K82" s="77" t="n"/>
      <c r="L82" s="77" t="n"/>
      <c r="M82" s="137">
        <f>IF(R82&gt;0,(SQRT(CC82*(SUM(CD82:CI82)))),"")</f>
        <v/>
      </c>
      <c r="N82" s="4">
        <f>IF(T82&gt;0,(MAX(T82,Z82,AD82,AH82,AL82,AP82))+SQRT(1.2^2+1^2),"")</f>
        <v/>
      </c>
      <c r="O82" s="3">
        <f>IF(R82="",0,10*LOG10(SUM(BP82:BU82)/(COUNT(R82,X82,AB82,AF82,AJ82,AN82))))</f>
        <v/>
      </c>
      <c r="P82" s="5">
        <f>IF(AND(Y82="",AC82="",AG82="",AK82="",AO82=""),S82,AVERAGE(S82,Y82,AC82,AG82,AK82,AO82)+STDEV(S82,Y82,AC82,AG82,AK82,AO82))</f>
        <v/>
      </c>
      <c r="Q82" s="14" t="n">
        <v>300</v>
      </c>
      <c r="R82" s="11" t="n">
        <v>99.8</v>
      </c>
      <c r="S82" s="12" t="n">
        <v>98.8</v>
      </c>
      <c r="T82" s="13" t="n">
        <v>118.3</v>
      </c>
      <c r="U82" s="79" t="n"/>
      <c r="V82" s="79" t="n"/>
      <c r="W82" s="10" t="n">
        <v>300</v>
      </c>
      <c r="X82" s="11" t="n">
        <v>99.5</v>
      </c>
      <c r="Y82" s="12" t="n">
        <v>98.5</v>
      </c>
      <c r="Z82" s="13" t="n">
        <v>114.6</v>
      </c>
      <c r="AA82" s="10" t="n">
        <v>300</v>
      </c>
      <c r="AB82" s="11" t="n">
        <v>99.8</v>
      </c>
      <c r="AC82" s="12" t="n">
        <v>98.8</v>
      </c>
      <c r="AD82" s="13" t="n">
        <v>117</v>
      </c>
      <c r="AE82" s="14" t="n">
        <v>300</v>
      </c>
      <c r="AF82" s="11" t="n">
        <v>100.9</v>
      </c>
      <c r="AG82" s="12" t="n">
        <v>100.3</v>
      </c>
      <c r="AH82" s="13" t="n">
        <v>118.5</v>
      </c>
      <c r="AI82" s="10" t="n">
        <v>300</v>
      </c>
      <c r="AJ82" s="11" t="n">
        <v>99.7</v>
      </c>
      <c r="AK82" s="12" t="n">
        <v>98.8</v>
      </c>
      <c r="AL82" s="13" t="n">
        <v>117.8</v>
      </c>
      <c r="AM82" s="10" t="n">
        <v>300</v>
      </c>
      <c r="AN82" s="11" t="n">
        <v>102.8</v>
      </c>
      <c r="AO82" s="12" t="n">
        <v>101.9</v>
      </c>
      <c r="AP82" s="13" t="n">
        <v>119.2</v>
      </c>
      <c r="AQ82" s="6">
        <f>IF(AND((O82)&lt;85,N82&lt;137),"NO","SI")</f>
        <v/>
      </c>
      <c r="AR82" s="7">
        <f>IF((480*(10^(7.95-(O82/10))))&lt;480,480*(10^(7.95-(O82/10))),480)</f>
        <v/>
      </c>
      <c r="AS82" s="8">
        <f>IF((480*(10^(8.45-(O82/10))))&lt;480,480*(10^(8.45-(O82/10))),480)</f>
        <v/>
      </c>
      <c r="AT82" s="9">
        <f>IF((480*(10^(8.65-(O82/10))))&lt;480,480*(10^(8.65-(O82/10))),480)</f>
        <v/>
      </c>
      <c r="AU82" s="111">
        <f>IF(O82&lt;80,"0",IF((P82-O82)&lt;=2,('DPI art.191'!$G$3-(('DPI art.191'!$F$3-'DPI art.191'!$G$3)/4)*(P82-O82-2)),('DPI art.191'!$G$3-(('DPI art.191'!$G$3-'DPI art.191'!$H$3)/8)*(P82-O82-2))))</f>
        <v/>
      </c>
      <c r="AV82" s="24">
        <f>O82-AU82</f>
        <v/>
      </c>
      <c r="AW82" s="24">
        <f>IF(N82&lt;135,N82,N82-'DPI art.191'!$I$3)</f>
        <v/>
      </c>
      <c r="AX82" s="111">
        <f>IF(O82&lt;80,"0",IF((P82-O82)&lt;=2,('DPI art.191'!$G$5-(('DPI art.191'!$F$5-'DPI art.191'!$G$5)/4)*(P82-O82-2)),('DPI art.191'!$G$5-(('DPI art.191'!$G$5-'DPI art.191'!$H$5)/8)*(P82-O82-2))))</f>
        <v/>
      </c>
      <c r="AY82" s="24">
        <f>O82-AX82</f>
        <v/>
      </c>
      <c r="AZ82" s="24">
        <f>IF(N82&lt;135,N82,N82-'DPI art.191'!$I$5)</f>
        <v/>
      </c>
      <c r="BA82" s="111">
        <f>IF(O82&lt;80,"0",IF((P82-O82)&lt;=2,('DPI art.191'!$G$7-(('DPI art.191'!$F$7-'DPI art.191'!$G$7)/4)*(P82-O82-2)),('DPI art.191'!$G$7-(('DPI art.191'!$G$7-'DPI art.191'!$H$7)/8)*(P82-O82-2))))</f>
        <v/>
      </c>
      <c r="BB82" s="24">
        <f>O82-BA82</f>
        <v/>
      </c>
      <c r="BC82" s="24">
        <f>IF(N82&lt;135,N82,N82-'DPI art.191'!$I$7)</f>
        <v/>
      </c>
      <c r="BD82" s="111">
        <f>IF(O82&lt;80,"0",IF((P82-O82)&lt;=2,('DPI art.191'!$G$9-(('DPI art.191'!$F$9-'DPI art.191'!$G$9)/4)*(O82-P82-2)),('DPI art.191'!$G$9-(('DPI art.191'!$G$9-'DPI art.191'!$H$9)/8)*(P82-O82-2))))</f>
        <v/>
      </c>
      <c r="BE82" s="24">
        <f>O82-BD82</f>
        <v/>
      </c>
      <c r="BF82" s="24">
        <f>IF(N82&lt;135,N82,N82-'DPI art.191'!$I$9)</f>
        <v/>
      </c>
      <c r="BG82" s="111">
        <f>IF(O82&lt;80,"0",IF((P82-O82)&lt;=2,('DPI art.191'!$G$11-(('DPI art.191'!$F$11-'DPI art.191'!$G$11)/4)*(P82-O82-2)),('DPI art.191'!$G$11-(('DPI art.191'!$G$11-'DPI art.191'!$H$11)/8)*(P82-O82-2))))</f>
        <v/>
      </c>
      <c r="BH82" s="24">
        <f>O82-BG82</f>
        <v/>
      </c>
      <c r="BI82" s="24">
        <f>IF(T82&lt;135,T82,T82-'DPI art.191'!$I$11)</f>
        <v/>
      </c>
      <c r="BJ82" s="111">
        <f>IF(O82&lt;80,"0",IF((P82-O82)&lt;=2,('DPI art.191'!$G$13-(('DPI art.191'!$F$13-'DPI art.191'!$G$13)/4)*(P82-O82-2)),('DPI art.191'!$G$13-(('DPI art.191'!$G$13-'DPI art.191'!$H$13)/8)*(P82-O82-2))))</f>
        <v/>
      </c>
      <c r="BK82" s="24">
        <f>O82-BJ82</f>
        <v/>
      </c>
      <c r="BL82" s="24">
        <f>IF(T82&lt;135,T82,T82-'DPI art.191'!$I$13)</f>
        <v/>
      </c>
      <c r="BM82" s="111">
        <f>IF(O82&lt;80,"0",IF((P82-O82)&lt;=2,('DPI art.191'!$G$15-(('DPI art.191'!$F$15-'DPI art.191'!$G$15)/4)*(P82-O82-2)),('DPI art.191'!$G$15-(('DPI art.191'!$G$15-'DPI art.191'!$H$15)/8)*(P82-O82-2))))</f>
        <v/>
      </c>
      <c r="BN82" s="24">
        <f>O82-BM82</f>
        <v/>
      </c>
      <c r="BO82" s="24">
        <f>IF(Z82&lt;135,Z82,Z82-'DPI art.191'!$I$15)</f>
        <v/>
      </c>
      <c r="BP82" s="108">
        <f>10^(0.1*R82)</f>
        <v/>
      </c>
      <c r="BQ82" s="108">
        <f>10^(0.1*X82)</f>
        <v/>
      </c>
      <c r="BR82" s="108">
        <f>10^(0.1*AB82)</f>
        <v/>
      </c>
      <c r="BS82" s="108">
        <f>10^(0.1*AF82)</f>
        <v/>
      </c>
      <c r="BT82" s="108">
        <f>10^(0.1*AJ82)</f>
        <v/>
      </c>
      <c r="BU82" s="108">
        <f>10^(0.1*AN82)</f>
        <v/>
      </c>
      <c r="BV82" s="106">
        <f>IF(R82&gt;0,(O82-R82),"")</f>
        <v/>
      </c>
      <c r="BW82" s="106">
        <f>IF(X82&gt;0,(O82-X82),"")</f>
        <v/>
      </c>
      <c r="BX82" s="106">
        <f>IF(AB82&gt;0,(O82-AB82),"")</f>
        <v/>
      </c>
      <c r="BY82" s="106">
        <f>IF(AF82&gt;0,(O82-AF82),"")</f>
        <v/>
      </c>
      <c r="BZ82" s="106">
        <f>IF(AJ82&gt;0,(O82-AJ82),"")</f>
        <v/>
      </c>
      <c r="CA82" s="106">
        <f>IF(AN82&gt;0,(O82-AN82),"")</f>
        <v/>
      </c>
      <c r="CB82" s="106">
        <f>COUNT(BV82:CA82)</f>
        <v/>
      </c>
      <c r="CC82" s="464">
        <f>IF(CB82=0,0,IF(CB82=1,0,1/(CB82*(CB82-1))))</f>
        <v/>
      </c>
      <c r="CD82" s="136">
        <f>IF(R82&gt;0,(BV82^2),"")</f>
        <v/>
      </c>
      <c r="CE82" s="136">
        <f>IF(X82&gt;0,(BW82^2),"")</f>
        <v/>
      </c>
      <c r="CF82" s="136">
        <f>IF(AB82&gt;0,(BX82^2),"")</f>
        <v/>
      </c>
      <c r="CG82" s="136">
        <f>IF(AF82&gt;0,(BY82^2),"")</f>
        <v/>
      </c>
      <c r="CH82" s="136">
        <f>IF(AJ82&gt;0,(BZ82^2),"")</f>
        <v/>
      </c>
      <c r="CI82" s="136">
        <f>IF(AN82&gt;0,(CA82^2),"")</f>
        <v/>
      </c>
    </row>
    <row r="83" ht="25.5" customHeight="1" s="444">
      <c r="A83" s="340" t="inlineStr">
        <is>
          <t>016/1071</t>
        </is>
      </c>
      <c r="B83" s="65" t="inlineStr">
        <is>
          <t>W23</t>
        </is>
      </c>
      <c r="C83" s="78" t="inlineStr">
        <is>
          <t>Lucidatura grossa con mola grande</t>
        </is>
      </c>
      <c r="D83" s="83" t="inlineStr">
        <is>
          <t>/</t>
        </is>
      </c>
      <c r="E83" s="83" t="inlineStr">
        <is>
          <t>/</t>
        </is>
      </c>
      <c r="F83" s="78" t="inlineStr">
        <is>
          <t>Lucidatura grossa con mola grande</t>
        </is>
      </c>
      <c r="G83" s="71" t="n">
        <v>46003</v>
      </c>
      <c r="H83" s="77" t="inlineStr">
        <is>
          <t>Compito</t>
        </is>
      </c>
      <c r="I83" s="77">
        <f>IF((V83-R83)&gt;3,"SI","")</f>
        <v/>
      </c>
      <c r="J83" s="77" t="inlineStr">
        <is>
          <t>SI</t>
        </is>
      </c>
      <c r="K83" s="77" t="n"/>
      <c r="L83" s="77" t="n"/>
      <c r="M83" s="137">
        <f>IF(R83&gt;0,(SQRT(CC83*(SUM(CD83:CI83)))),"")</f>
        <v/>
      </c>
      <c r="N83" s="4">
        <f>IF(T83&gt;0,(MAX(T83,Z83,AD83,AH83,AL83,AP83))+SQRT(1.2^2+1^2),"")</f>
        <v/>
      </c>
      <c r="O83" s="3">
        <f>IF(R83="",0,10*LOG10(SUM(BP83:BU83)/(COUNT(R83,X83,AB83,AF83,AJ83,AN83))))</f>
        <v/>
      </c>
      <c r="P83" s="5">
        <f>IF(AND(Y83="",AC83="",AG83="",AK83="",AO83=""),S83,AVERAGE(S83,Y83,AC83,AG83,AK83,AO83)+STDEV(S83,Y83,AC83,AG83,AK83,AO83))</f>
        <v/>
      </c>
      <c r="Q83" s="14" t="n">
        <v>300</v>
      </c>
      <c r="R83" s="11" t="n">
        <v>99.3</v>
      </c>
      <c r="S83" s="12" t="n">
        <v>98.2</v>
      </c>
      <c r="T83" s="13" t="n">
        <v>115.7</v>
      </c>
      <c r="U83" s="79" t="n"/>
      <c r="V83" s="79" t="n"/>
      <c r="W83" s="10" t="n">
        <v>300</v>
      </c>
      <c r="X83" s="11" t="n">
        <v>98.09999999999999</v>
      </c>
      <c r="Y83" s="12" t="n">
        <v>97.59999999999999</v>
      </c>
      <c r="Z83" s="13" t="n">
        <v>114.5</v>
      </c>
      <c r="AA83" s="10" t="n">
        <v>300</v>
      </c>
      <c r="AB83" s="11" t="n">
        <v>97.59999999999999</v>
      </c>
      <c r="AC83" s="12" t="n">
        <v>96.59999999999999</v>
      </c>
      <c r="AD83" s="13" t="n">
        <v>114.4</v>
      </c>
      <c r="AE83" s="14" t="n">
        <v>300</v>
      </c>
      <c r="AF83" s="11" t="n">
        <v>97.8</v>
      </c>
      <c r="AG83" s="12" t="n">
        <v>96.8</v>
      </c>
      <c r="AH83" s="13" t="n">
        <v>116.1</v>
      </c>
      <c r="AI83" s="10" t="n">
        <v>300</v>
      </c>
      <c r="AJ83" s="11" t="n">
        <v>102.2</v>
      </c>
      <c r="AK83" s="12" t="n">
        <v>100.9</v>
      </c>
      <c r="AL83" s="13" t="n">
        <v>120.6</v>
      </c>
      <c r="AM83" s="10" t="n">
        <v>300</v>
      </c>
      <c r="AN83" s="11" t="n">
        <v>98.90000000000001</v>
      </c>
      <c r="AO83" s="12" t="n">
        <v>98</v>
      </c>
      <c r="AP83" s="13" t="n">
        <v>118.1</v>
      </c>
      <c r="AQ83" s="6">
        <f>IF(AND((O83)&lt;85,N83&lt;137),"NO","SI")</f>
        <v/>
      </c>
      <c r="AR83" s="7">
        <f>IF((480*(10^(7.95-(O83/10))))&lt;480,480*(10^(7.95-(O83/10))),480)</f>
        <v/>
      </c>
      <c r="AS83" s="8">
        <f>IF((480*(10^(8.45-(O83/10))))&lt;480,480*(10^(8.45-(O83/10))),480)</f>
        <v/>
      </c>
      <c r="AT83" s="9">
        <f>IF((480*(10^(8.65-(O83/10))))&lt;480,480*(10^(8.65-(O83/10))),480)</f>
        <v/>
      </c>
      <c r="AU83" s="111">
        <f>IF(O83&lt;80,"0",IF((P83-O83)&lt;=2,('DPI art.191'!$G$3-(('DPI art.191'!$F$3-'DPI art.191'!$G$3)/4)*(P83-O83-2)),('DPI art.191'!$G$3-(('DPI art.191'!$G$3-'DPI art.191'!$H$3)/8)*(P83-O83-2))))</f>
        <v/>
      </c>
      <c r="AV83" s="24">
        <f>O83-AU83</f>
        <v/>
      </c>
      <c r="AW83" s="24">
        <f>IF(N83&lt;135,N83,N83-'DPI art.191'!$I$3)</f>
        <v/>
      </c>
      <c r="AX83" s="111">
        <f>IF(O83&lt;80,"0",IF((P83-O83)&lt;=2,('DPI art.191'!$G$5-(('DPI art.191'!$F$5-'DPI art.191'!$G$5)/4)*(P83-O83-2)),('DPI art.191'!$G$5-(('DPI art.191'!$G$5-'DPI art.191'!$H$5)/8)*(P83-O83-2))))</f>
        <v/>
      </c>
      <c r="AY83" s="24">
        <f>O83-AX83</f>
        <v/>
      </c>
      <c r="AZ83" s="24">
        <f>IF(N83&lt;135,N83,N83-'DPI art.191'!$I$5)</f>
        <v/>
      </c>
      <c r="BA83" s="111">
        <f>IF(O83&lt;80,"0",IF((P83-O83)&lt;=2,('DPI art.191'!$G$7-(('DPI art.191'!$F$7-'DPI art.191'!$G$7)/4)*(P83-O83-2)),('DPI art.191'!$G$7-(('DPI art.191'!$G$7-'DPI art.191'!$H$7)/8)*(P83-O83-2))))</f>
        <v/>
      </c>
      <c r="BB83" s="24">
        <f>O83-BA83</f>
        <v/>
      </c>
      <c r="BC83" s="24">
        <f>IF(N83&lt;135,N83,N83-'DPI art.191'!$I$7)</f>
        <v/>
      </c>
      <c r="BD83" s="111">
        <f>IF(O83&lt;80,"0",IF((P83-O83)&lt;=2,('DPI art.191'!$G$9-(('DPI art.191'!$F$9-'DPI art.191'!$G$9)/4)*(O83-P83-2)),('DPI art.191'!$G$9-(('DPI art.191'!$G$9-'DPI art.191'!$H$9)/8)*(P83-O83-2))))</f>
        <v/>
      </c>
      <c r="BE83" s="24">
        <f>O83-BD83</f>
        <v/>
      </c>
      <c r="BF83" s="24">
        <f>IF(N83&lt;135,N83,N83-'DPI art.191'!$I$9)</f>
        <v/>
      </c>
      <c r="BG83" s="111">
        <f>IF(O83&lt;80,"0",IF((P83-O83)&lt;=2,('DPI art.191'!$G$11-(('DPI art.191'!$F$11-'DPI art.191'!$G$11)/4)*(P83-O83-2)),('DPI art.191'!$G$11-(('DPI art.191'!$G$11-'DPI art.191'!$H$11)/8)*(P83-O83-2))))</f>
        <v/>
      </c>
      <c r="BH83" s="24">
        <f>O83-BG83</f>
        <v/>
      </c>
      <c r="BI83" s="24">
        <f>IF(T83&lt;135,T83,T83-'DPI art.191'!$I$11)</f>
        <v/>
      </c>
      <c r="BJ83" s="111">
        <f>IF(O83&lt;80,"0",IF((P83-O83)&lt;=2,('DPI art.191'!$G$13-(('DPI art.191'!$F$13-'DPI art.191'!$G$13)/4)*(P83-O83-2)),('DPI art.191'!$G$13-(('DPI art.191'!$G$13-'DPI art.191'!$H$13)/8)*(P83-O83-2))))</f>
        <v/>
      </c>
      <c r="BK83" s="24">
        <f>O83-BJ83</f>
        <v/>
      </c>
      <c r="BL83" s="24">
        <f>IF(T83&lt;135,T83,T83-'DPI art.191'!$I$13)</f>
        <v/>
      </c>
      <c r="BM83" s="111">
        <f>IF(O83&lt;80,"0",IF((P83-O83)&lt;=2,('DPI art.191'!$G$15-(('DPI art.191'!$F$15-'DPI art.191'!$G$15)/4)*(P83-O83-2)),('DPI art.191'!$G$15-(('DPI art.191'!$G$15-'DPI art.191'!$H$15)/8)*(P83-O83-2))))</f>
        <v/>
      </c>
      <c r="BN83" s="24">
        <f>O83-BM83</f>
        <v/>
      </c>
      <c r="BO83" s="24">
        <f>IF(Z83&lt;135,Z83,Z83-'DPI art.191'!$I$15)</f>
        <v/>
      </c>
      <c r="BP83" s="108">
        <f>10^(0.1*R83)</f>
        <v/>
      </c>
      <c r="BQ83" s="108">
        <f>10^(0.1*X83)</f>
        <v/>
      </c>
      <c r="BR83" s="108">
        <f>10^(0.1*AB83)</f>
        <v/>
      </c>
      <c r="BS83" s="108">
        <f>10^(0.1*AF83)</f>
        <v/>
      </c>
      <c r="BT83" s="108">
        <f>10^(0.1*AJ83)</f>
        <v/>
      </c>
      <c r="BU83" s="108">
        <f>10^(0.1*AN83)</f>
        <v/>
      </c>
      <c r="BV83" s="106">
        <f>IF(R83&gt;0,(O83-R83),"")</f>
        <v/>
      </c>
      <c r="BW83" s="106">
        <f>IF(X83&gt;0,(O83-X83),"")</f>
        <v/>
      </c>
      <c r="BX83" s="106">
        <f>IF(AB83&gt;0,(O83-AB83),"")</f>
        <v/>
      </c>
      <c r="BY83" s="106">
        <f>IF(AF83&gt;0,(O83-AF83),"")</f>
        <v/>
      </c>
      <c r="BZ83" s="106">
        <f>IF(AJ83&gt;0,(O83-AJ83),"")</f>
        <v/>
      </c>
      <c r="CA83" s="106">
        <f>IF(AN83&gt;0,(O83-AN83),"")</f>
        <v/>
      </c>
      <c r="CB83" s="106">
        <f>COUNT(BV83:CA83)</f>
        <v/>
      </c>
      <c r="CC83" s="464">
        <f>IF(CB83=0,0,IF(CB83=1,0,1/(CB83*(CB83-1))))</f>
        <v/>
      </c>
      <c r="CD83" s="136">
        <f>IF(R83&gt;0,(BV83^2),"")</f>
        <v/>
      </c>
      <c r="CE83" s="136">
        <f>IF(X83&gt;0,(BW83^2),"")</f>
        <v/>
      </c>
      <c r="CF83" s="136">
        <f>IF(AB83&gt;0,(BX83^2),"")</f>
        <v/>
      </c>
      <c r="CG83" s="136">
        <f>IF(AF83&gt;0,(BY83^2),"")</f>
        <v/>
      </c>
      <c r="CH83" s="136">
        <f>IF(AJ83&gt;0,(BZ83^2),"")</f>
        <v/>
      </c>
      <c r="CI83" s="136">
        <f>IF(AN83&gt;0,(CA83^2),"")</f>
        <v/>
      </c>
    </row>
    <row r="84" ht="25.5" customHeight="1" s="444">
      <c r="A84" s="340" t="inlineStr">
        <is>
          <t>016/1071</t>
        </is>
      </c>
      <c r="B84" s="65" t="inlineStr">
        <is>
          <t>W24</t>
        </is>
      </c>
      <c r="C84" s="78" t="inlineStr">
        <is>
          <t>Lucidatura sottile con mola grande</t>
        </is>
      </c>
      <c r="D84" s="83" t="inlineStr">
        <is>
          <t>/</t>
        </is>
      </c>
      <c r="E84" s="83" t="inlineStr">
        <is>
          <t>/</t>
        </is>
      </c>
      <c r="F84" s="78" t="inlineStr">
        <is>
          <t>Lucidatura sottile con mola grande</t>
        </is>
      </c>
      <c r="G84" s="71" t="n">
        <v>46003</v>
      </c>
      <c r="H84" s="77" t="inlineStr">
        <is>
          <t>Compito</t>
        </is>
      </c>
      <c r="I84" s="77">
        <f>IF((V84-R84)&gt;3,"SI","")</f>
        <v/>
      </c>
      <c r="J84" s="77" t="inlineStr">
        <is>
          <t>SI</t>
        </is>
      </c>
      <c r="K84" s="77" t="n"/>
      <c r="L84" s="77" t="n"/>
      <c r="M84" s="137">
        <f>IF(R84&gt;0,(SQRT(CC84*(SUM(CD84:CI84)))),"")</f>
        <v/>
      </c>
      <c r="N84" s="4">
        <f>IF(T84&gt;0,(MAX(T84,Z84,AD84,AH84,AL84,AP84))+SQRT(1.2^2+1^2),"")</f>
        <v/>
      </c>
      <c r="O84" s="3">
        <f>IF(R84="",0,10*LOG10(SUM(BP84:BU84)/(COUNT(R84,X84,AB84,AF84,AJ84,AN84))))</f>
        <v/>
      </c>
      <c r="P84" s="5">
        <f>IF(AND(Y84="",AC84="",AG84="",AK84="",AO84=""),S84,AVERAGE(S84,Y84,AC84,AG84,AK84,AO84)+STDEV(S84,Y84,AC84,AG84,AK84,AO84))</f>
        <v/>
      </c>
      <c r="Q84" s="14" t="n">
        <v>300</v>
      </c>
      <c r="R84" s="11" t="n">
        <v>93.5</v>
      </c>
      <c r="S84" s="12" t="n">
        <v>92.59999999999999</v>
      </c>
      <c r="T84" s="13" t="n">
        <v>112.3</v>
      </c>
      <c r="U84" s="79" t="n"/>
      <c r="V84" s="79" t="n"/>
      <c r="W84" s="10" t="n">
        <v>300</v>
      </c>
      <c r="X84" s="11" t="n">
        <v>93.2</v>
      </c>
      <c r="Y84" s="12" t="n">
        <v>92.5</v>
      </c>
      <c r="Z84" s="13" t="n">
        <v>112.8</v>
      </c>
      <c r="AA84" s="10" t="n">
        <v>300</v>
      </c>
      <c r="AB84" s="11" t="n">
        <v>95.3</v>
      </c>
      <c r="AC84" s="12" t="n">
        <v>94.40000000000001</v>
      </c>
      <c r="AD84" s="13" t="n">
        <v>113.2</v>
      </c>
      <c r="AE84" s="14" t="n">
        <v>300</v>
      </c>
      <c r="AF84" s="11" t="n">
        <v>93.40000000000001</v>
      </c>
      <c r="AG84" s="12" t="n">
        <v>92.8</v>
      </c>
      <c r="AH84" s="13" t="n">
        <v>118.8</v>
      </c>
      <c r="AI84" s="10" t="n">
        <v>300</v>
      </c>
      <c r="AJ84" s="11" t="n">
        <v>91.7</v>
      </c>
      <c r="AK84" s="12" t="n">
        <v>91</v>
      </c>
      <c r="AL84" s="13" t="n">
        <v>109.5</v>
      </c>
      <c r="AM84" s="10" t="n">
        <v>300</v>
      </c>
      <c r="AN84" s="11" t="n">
        <v>95.90000000000001</v>
      </c>
      <c r="AO84" s="12" t="n">
        <v>94.7</v>
      </c>
      <c r="AP84" s="13" t="n">
        <v>111.1</v>
      </c>
      <c r="AQ84" s="6">
        <f>IF(AND((O84)&lt;85,N84&lt;137),"NO","SI")</f>
        <v/>
      </c>
      <c r="AR84" s="7">
        <f>IF((480*(10^(7.95-(O84/10))))&lt;480,480*(10^(7.95-(O84/10))),480)</f>
        <v/>
      </c>
      <c r="AS84" s="8">
        <f>IF((480*(10^(8.45-(O84/10))))&lt;480,480*(10^(8.45-(O84/10))),480)</f>
        <v/>
      </c>
      <c r="AT84" s="9">
        <f>IF((480*(10^(8.65-(O84/10))))&lt;480,480*(10^(8.65-(O84/10))),480)</f>
        <v/>
      </c>
      <c r="AU84" s="111">
        <f>IF(O84&lt;80,"0",IF((P84-O84)&lt;=2,('DPI art.191'!$G$3-(('DPI art.191'!$F$3-'DPI art.191'!$G$3)/4)*(P84-O84-2)),('DPI art.191'!$G$3-(('DPI art.191'!$G$3-'DPI art.191'!$H$3)/8)*(P84-O84-2))))</f>
        <v/>
      </c>
      <c r="AV84" s="24">
        <f>O84-AU84</f>
        <v/>
      </c>
      <c r="AW84" s="24">
        <f>IF(N84&lt;135,N84,N84-'DPI art.191'!$I$3)</f>
        <v/>
      </c>
      <c r="AX84" s="111">
        <f>IF(O84&lt;80,"0",IF((P84-O84)&lt;=2,('DPI art.191'!$G$5-(('DPI art.191'!$F$5-'DPI art.191'!$G$5)/4)*(P84-O84-2)),('DPI art.191'!$G$5-(('DPI art.191'!$G$5-'DPI art.191'!$H$5)/8)*(P84-O84-2))))</f>
        <v/>
      </c>
      <c r="AY84" s="24">
        <f>O84-AX84</f>
        <v/>
      </c>
      <c r="AZ84" s="24">
        <f>IF(N84&lt;135,N84,N84-'DPI art.191'!$I$5)</f>
        <v/>
      </c>
      <c r="BA84" s="111">
        <f>IF(O84&lt;80,"0",IF((P84-O84)&lt;=2,('DPI art.191'!$G$7-(('DPI art.191'!$F$7-'DPI art.191'!$G$7)/4)*(P84-O84-2)),('DPI art.191'!$G$7-(('DPI art.191'!$G$7-'DPI art.191'!$H$7)/8)*(P84-O84-2))))</f>
        <v/>
      </c>
      <c r="BB84" s="24">
        <f>O84-BA84</f>
        <v/>
      </c>
      <c r="BC84" s="24">
        <f>IF(N84&lt;135,N84,N84-'DPI art.191'!$I$7)</f>
        <v/>
      </c>
      <c r="BD84" s="111">
        <f>IF(O84&lt;80,"0",IF((P84-O84)&lt;=2,('DPI art.191'!$G$9-(('DPI art.191'!$F$9-'DPI art.191'!$G$9)/4)*(O84-P84-2)),('DPI art.191'!$G$9-(('DPI art.191'!$G$9-'DPI art.191'!$H$9)/8)*(P84-O84-2))))</f>
        <v/>
      </c>
      <c r="BE84" s="24">
        <f>O84-BD84</f>
        <v/>
      </c>
      <c r="BF84" s="24">
        <f>IF(N84&lt;135,N84,N84-'DPI art.191'!$I$9)</f>
        <v/>
      </c>
      <c r="BG84" s="111">
        <f>IF(O84&lt;80,"0",IF((P84-O84)&lt;=2,('DPI art.191'!$G$11-(('DPI art.191'!$F$11-'DPI art.191'!$G$11)/4)*(P84-O84-2)),('DPI art.191'!$G$11-(('DPI art.191'!$G$11-'DPI art.191'!$H$11)/8)*(P84-O84-2))))</f>
        <v/>
      </c>
      <c r="BH84" s="24">
        <f>O84-BG84</f>
        <v/>
      </c>
      <c r="BI84" s="24">
        <f>IF(T84&lt;135,T84,T84-'DPI art.191'!$I$11)</f>
        <v/>
      </c>
      <c r="BJ84" s="111">
        <f>IF(O84&lt;80,"0",IF((P84-O84)&lt;=2,('DPI art.191'!$G$13-(('DPI art.191'!$F$13-'DPI art.191'!$G$13)/4)*(P84-O84-2)),('DPI art.191'!$G$13-(('DPI art.191'!$G$13-'DPI art.191'!$H$13)/8)*(P84-O84-2))))</f>
        <v/>
      </c>
      <c r="BK84" s="24">
        <f>O84-BJ84</f>
        <v/>
      </c>
      <c r="BL84" s="24">
        <f>IF(T84&lt;135,T84,T84-'DPI art.191'!$I$13)</f>
        <v/>
      </c>
      <c r="BM84" s="111">
        <f>IF(O84&lt;80,"0",IF((P84-O84)&lt;=2,('DPI art.191'!$G$15-(('DPI art.191'!$F$15-'DPI art.191'!$G$15)/4)*(P84-O84-2)),('DPI art.191'!$G$15-(('DPI art.191'!$G$15-'DPI art.191'!$H$15)/8)*(P84-O84-2))))</f>
        <v/>
      </c>
      <c r="BN84" s="24">
        <f>O84-BM84</f>
        <v/>
      </c>
      <c r="BO84" s="24">
        <f>IF(Z84&lt;135,Z84,Z84-'DPI art.191'!$I$15)</f>
        <v/>
      </c>
      <c r="BP84" s="108">
        <f>10^(0.1*R84)</f>
        <v/>
      </c>
      <c r="BQ84" s="108">
        <f>10^(0.1*X84)</f>
        <v/>
      </c>
      <c r="BR84" s="108">
        <f>10^(0.1*AB84)</f>
        <v/>
      </c>
      <c r="BS84" s="108">
        <f>10^(0.1*AF84)</f>
        <v/>
      </c>
      <c r="BT84" s="108">
        <f>10^(0.1*AJ84)</f>
        <v/>
      </c>
      <c r="BU84" s="108">
        <f>10^(0.1*AN84)</f>
        <v/>
      </c>
      <c r="BV84" s="106">
        <f>IF(R84&gt;0,(O84-R84),"")</f>
        <v/>
      </c>
      <c r="BW84" s="106">
        <f>IF(X84&gt;0,(O84-X84),"")</f>
        <v/>
      </c>
      <c r="BX84" s="106">
        <f>IF(AB84&gt;0,(O84-AB84),"")</f>
        <v/>
      </c>
      <c r="BY84" s="106">
        <f>IF(AF84&gt;0,(O84-AF84),"")</f>
        <v/>
      </c>
      <c r="BZ84" s="106">
        <f>IF(AJ84&gt;0,(O84-AJ84),"")</f>
        <v/>
      </c>
      <c r="CA84" s="106">
        <f>IF(AN84&gt;0,(O84-AN84),"")</f>
        <v/>
      </c>
      <c r="CB84" s="106">
        <f>COUNT(BV84:CA84)</f>
        <v/>
      </c>
      <c r="CC84" s="464">
        <f>IF(CB84=0,0,IF(CB84=1,0,1/(CB84*(CB84-1))))</f>
        <v/>
      </c>
      <c r="CD84" s="136">
        <f>IF(R84&gt;0,(BV84^2),"")</f>
        <v/>
      </c>
      <c r="CE84" s="136">
        <f>IF(X84&gt;0,(BW84^2),"")</f>
        <v/>
      </c>
      <c r="CF84" s="136">
        <f>IF(AB84&gt;0,(BX84^2),"")</f>
        <v/>
      </c>
      <c r="CG84" s="136">
        <f>IF(AF84&gt;0,(BY84^2),"")</f>
        <v/>
      </c>
      <c r="CH84" s="136">
        <f>IF(AJ84&gt;0,(BZ84^2),"")</f>
        <v/>
      </c>
      <c r="CI84" s="136">
        <f>IF(AN84&gt;0,(CA84^2),"")</f>
        <v/>
      </c>
    </row>
    <row r="85" ht="18.75" customHeight="1" s="444">
      <c r="A85" s="340" t="inlineStr">
        <is>
          <t>017/1430</t>
        </is>
      </c>
      <c r="B85" s="65" t="inlineStr">
        <is>
          <t>W25</t>
        </is>
      </c>
      <c r="C85" s="78" t="inlineStr">
        <is>
          <t>Taglio con mola piccola</t>
        </is>
      </c>
      <c r="D85" s="83" t="inlineStr">
        <is>
          <t>/</t>
        </is>
      </c>
      <c r="E85" s="83" t="inlineStr">
        <is>
          <t>/</t>
        </is>
      </c>
      <c r="F85" s="78" t="inlineStr">
        <is>
          <t>Taglio con mola piccola</t>
        </is>
      </c>
      <c r="G85" s="71" t="n">
        <v>46003</v>
      </c>
      <c r="H85" s="77" t="inlineStr">
        <is>
          <t>Compito</t>
        </is>
      </c>
      <c r="I85" s="77">
        <f>IF((V85-R85)&gt;3,"SI","")</f>
        <v/>
      </c>
      <c r="J85" s="77" t="inlineStr">
        <is>
          <t>SI</t>
        </is>
      </c>
      <c r="K85" s="77" t="n"/>
      <c r="L85" s="77" t="n"/>
      <c r="M85" s="137">
        <f>IF(R85&gt;0,(SQRT(CC85*(SUM(CD85:CI85)))),"")</f>
        <v/>
      </c>
      <c r="N85" s="4">
        <f>IF(T85&gt;0,(MAX(T85,Z85,AD85,AH85,AL85,AP85))+SQRT(1.2^2+1^2),"")</f>
        <v/>
      </c>
      <c r="O85" s="3">
        <f>IF(R85="",0,10*LOG10(SUM(BP85:BU85)/(COUNT(R85,X85,AB85,AF85,AJ85,AN85))))</f>
        <v/>
      </c>
      <c r="P85" s="5">
        <f>IF(AND(Y85="",AC85="",AG85="",AK85="",AO85=""),S85,AVERAGE(S85,Y85,AC85,AG85,AK85,AO85)+STDEV(S85,Y85,AC85,AG85,AK85,AO85))</f>
        <v/>
      </c>
      <c r="Q85" s="14" t="n">
        <v>300</v>
      </c>
      <c r="R85" s="11" t="n">
        <v>109.7</v>
      </c>
      <c r="S85" s="12" t="n">
        <v>108.2</v>
      </c>
      <c r="T85" s="13" t="n">
        <v>126.1</v>
      </c>
      <c r="U85" s="79" t="n"/>
      <c r="V85" s="79" t="n"/>
      <c r="W85" s="10" t="n">
        <v>300</v>
      </c>
      <c r="X85" s="11" t="n">
        <v>100.1</v>
      </c>
      <c r="Y85" s="12" t="n">
        <v>99</v>
      </c>
      <c r="Z85" s="13" t="n">
        <v>116.9</v>
      </c>
      <c r="AA85" s="10" t="n">
        <v>300</v>
      </c>
      <c r="AB85" s="11" t="n">
        <v>98.40000000000001</v>
      </c>
      <c r="AC85" s="12" t="n">
        <v>97.2</v>
      </c>
      <c r="AD85" s="13" t="n">
        <v>114.5</v>
      </c>
      <c r="AE85" s="14" t="n">
        <v>300</v>
      </c>
      <c r="AF85" s="11" t="n">
        <v>100.4</v>
      </c>
      <c r="AG85" s="12" t="n">
        <v>99.09999999999999</v>
      </c>
      <c r="AH85" s="13" t="n">
        <v>117.9</v>
      </c>
      <c r="AI85" s="10" t="n">
        <v>300</v>
      </c>
      <c r="AJ85" s="11" t="n">
        <v>100.2</v>
      </c>
      <c r="AK85" s="12" t="n">
        <v>98.90000000000001</v>
      </c>
      <c r="AL85" s="13" t="n">
        <v>116.4</v>
      </c>
      <c r="AM85" s="10" t="n">
        <v>300</v>
      </c>
      <c r="AN85" s="11" t="n">
        <v>99.5</v>
      </c>
      <c r="AO85" s="12" t="n">
        <v>98.3</v>
      </c>
      <c r="AP85" s="13" t="n">
        <v>116.6</v>
      </c>
      <c r="AQ85" s="6">
        <f>IF(AND((O85)&lt;85,N85&lt;137),"NO","SI")</f>
        <v/>
      </c>
      <c r="AR85" s="7">
        <f>IF((480*(10^(7.95-(O85/10))))&lt;480,480*(10^(7.95-(O85/10))),480)</f>
        <v/>
      </c>
      <c r="AS85" s="8">
        <f>IF((480*(10^(8.45-(O85/10))))&lt;480,480*(10^(8.45-(O85/10))),480)</f>
        <v/>
      </c>
      <c r="AT85" s="9">
        <f>IF((480*(10^(8.65-(O85/10))))&lt;480,480*(10^(8.65-(O85/10))),480)</f>
        <v/>
      </c>
      <c r="AU85" s="111">
        <f>IF(O85&lt;80,"0",IF((P85-O85)&lt;=2,('DPI art.191'!$G$3-(('DPI art.191'!$F$3-'DPI art.191'!$G$3)/4)*(P85-O85-2)),('DPI art.191'!$G$3-(('DPI art.191'!$G$3-'DPI art.191'!$H$3)/8)*(P85-O85-2))))</f>
        <v/>
      </c>
      <c r="AV85" s="24">
        <f>O85-AU85</f>
        <v/>
      </c>
      <c r="AW85" s="24">
        <f>IF(N85&lt;135,N85,N85-'DPI art.191'!$I$3)</f>
        <v/>
      </c>
      <c r="AX85" s="111">
        <f>IF(O85&lt;80,"0",IF((P85-O85)&lt;=2,('DPI art.191'!$G$5-(('DPI art.191'!$F$5-'DPI art.191'!$G$5)/4)*(P85-O85-2)),('DPI art.191'!$G$5-(('DPI art.191'!$G$5-'DPI art.191'!$H$5)/8)*(P85-O85-2))))</f>
        <v/>
      </c>
      <c r="AY85" s="24">
        <f>O85-AX85</f>
        <v/>
      </c>
      <c r="AZ85" s="24">
        <f>IF(N85&lt;135,N85,N85-'DPI art.191'!$I$5)</f>
        <v/>
      </c>
      <c r="BA85" s="111">
        <f>IF(O85&lt;80,"0",IF((P85-O85)&lt;=2,('DPI art.191'!$G$7-(('DPI art.191'!$F$7-'DPI art.191'!$G$7)/4)*(P85-O85-2)),('DPI art.191'!$G$7-(('DPI art.191'!$G$7-'DPI art.191'!$H$7)/8)*(P85-O85-2))))</f>
        <v/>
      </c>
      <c r="BB85" s="24">
        <f>O85-BA85</f>
        <v/>
      </c>
      <c r="BC85" s="24">
        <f>IF(N85&lt;135,N85,N85-'DPI art.191'!$I$7)</f>
        <v/>
      </c>
      <c r="BD85" s="111">
        <f>IF(O85&lt;80,"0",IF((P85-O85)&lt;=2,('DPI art.191'!$G$9-(('DPI art.191'!$F$9-'DPI art.191'!$G$9)/4)*(O85-P85-2)),('DPI art.191'!$G$9-(('DPI art.191'!$G$9-'DPI art.191'!$H$9)/8)*(P85-O85-2))))</f>
        <v/>
      </c>
      <c r="BE85" s="24">
        <f>O85-BD85</f>
        <v/>
      </c>
      <c r="BF85" s="24">
        <f>IF(N85&lt;135,N85,N85-'DPI art.191'!$I$9)</f>
        <v/>
      </c>
      <c r="BG85" s="111">
        <f>IF(O85&lt;80,"0",IF((P85-O85)&lt;=2,('DPI art.191'!$G$11-(('DPI art.191'!$F$11-'DPI art.191'!$G$11)/4)*(P85-O85-2)),('DPI art.191'!$G$11-(('DPI art.191'!$G$11-'DPI art.191'!$H$11)/8)*(P85-O85-2))))</f>
        <v/>
      </c>
      <c r="BH85" s="24">
        <f>O85-BG85</f>
        <v/>
      </c>
      <c r="BI85" s="24">
        <f>IF(T85&lt;135,T85,T85-'DPI art.191'!$I$11)</f>
        <v/>
      </c>
      <c r="BJ85" s="111">
        <f>IF(O85&lt;80,"0",IF((P85-O85)&lt;=2,('DPI art.191'!$G$13-(('DPI art.191'!$F$13-'DPI art.191'!$G$13)/4)*(P85-O85-2)),('DPI art.191'!$G$13-(('DPI art.191'!$G$13-'DPI art.191'!$H$13)/8)*(P85-O85-2))))</f>
        <v/>
      </c>
      <c r="BK85" s="24">
        <f>O85-BJ85</f>
        <v/>
      </c>
      <c r="BL85" s="24">
        <f>IF(T85&lt;135,T85,T85-'DPI art.191'!$I$13)</f>
        <v/>
      </c>
      <c r="BM85" s="111">
        <f>IF(O85&lt;80,"0",IF((P85-O85)&lt;=2,('DPI art.191'!$G$15-(('DPI art.191'!$F$15-'DPI art.191'!$G$15)/4)*(P85-O85-2)),('DPI art.191'!$G$15-(('DPI art.191'!$G$15-'DPI art.191'!$H$15)/8)*(P85-O85-2))))</f>
        <v/>
      </c>
      <c r="BN85" s="24">
        <f>O85-BM85</f>
        <v/>
      </c>
      <c r="BO85" s="24">
        <f>IF(Z85&lt;135,Z85,Z85-'DPI art.191'!$I$15)</f>
        <v/>
      </c>
      <c r="BP85" s="108">
        <f>10^(0.1*R85)</f>
        <v/>
      </c>
      <c r="BQ85" s="108">
        <f>10^(0.1*X85)</f>
        <v/>
      </c>
      <c r="BR85" s="108">
        <f>10^(0.1*AB85)</f>
        <v/>
      </c>
      <c r="BS85" s="108">
        <f>10^(0.1*AF85)</f>
        <v/>
      </c>
      <c r="BT85" s="108">
        <f>10^(0.1*AJ85)</f>
        <v/>
      </c>
      <c r="BU85" s="108">
        <f>10^(0.1*AN85)</f>
        <v/>
      </c>
      <c r="BV85" s="106">
        <f>IF(R85&gt;0,(O85-R85),"")</f>
        <v/>
      </c>
      <c r="BW85" s="106">
        <f>IF(X85&gt;0,(O85-X85),"")</f>
        <v/>
      </c>
      <c r="BX85" s="106">
        <f>IF(AB85&gt;0,(O85-AB85),"")</f>
        <v/>
      </c>
      <c r="BY85" s="106">
        <f>IF(AF85&gt;0,(O85-AF85),"")</f>
        <v/>
      </c>
      <c r="BZ85" s="106">
        <f>IF(AJ85&gt;0,(O85-AJ85),"")</f>
        <v/>
      </c>
      <c r="CA85" s="106">
        <f>IF(AN85&gt;0,(O85-AN85),"")</f>
        <v/>
      </c>
      <c r="CB85" s="106">
        <f>COUNT(BV85:CA85)</f>
        <v/>
      </c>
      <c r="CC85" s="464">
        <f>IF(CB85=0,0,IF(CB85=1,0,1/(CB85*(CB85-1))))</f>
        <v/>
      </c>
      <c r="CD85" s="136">
        <f>IF(R85&gt;0,(BV85^2),"")</f>
        <v/>
      </c>
      <c r="CE85" s="136">
        <f>IF(X85&gt;0,(BW85^2),"")</f>
        <v/>
      </c>
      <c r="CF85" s="136">
        <f>IF(AB85&gt;0,(BX85^2),"")</f>
        <v/>
      </c>
      <c r="CG85" s="136">
        <f>IF(AF85&gt;0,(BY85^2),"")</f>
        <v/>
      </c>
      <c r="CH85" s="136">
        <f>IF(AJ85&gt;0,(BZ85^2),"")</f>
        <v/>
      </c>
      <c r="CI85" s="136">
        <f>IF(AN85&gt;0,(CA85^2),"")</f>
        <v/>
      </c>
    </row>
    <row r="86" ht="25.5" customHeight="1" s="444">
      <c r="A86" s="340" t="inlineStr">
        <is>
          <t>017/1430</t>
        </is>
      </c>
      <c r="B86" s="65" t="inlineStr">
        <is>
          <t>W26</t>
        </is>
      </c>
      <c r="C86" s="78" t="inlineStr">
        <is>
          <t>Molatura con mola piccola sgrosso</t>
        </is>
      </c>
      <c r="D86" s="83" t="inlineStr">
        <is>
          <t>/</t>
        </is>
      </c>
      <c r="E86" s="83" t="inlineStr">
        <is>
          <t>/</t>
        </is>
      </c>
      <c r="F86" s="78" t="inlineStr">
        <is>
          <t>Molatura con mola piccola sgrosso</t>
        </is>
      </c>
      <c r="G86" s="71" t="n">
        <v>46003</v>
      </c>
      <c r="H86" s="77" t="inlineStr">
        <is>
          <t>Compito</t>
        </is>
      </c>
      <c r="I86" s="77">
        <f>IF((V86-R86)&gt;3,"SI","")</f>
        <v/>
      </c>
      <c r="J86" s="77" t="inlineStr">
        <is>
          <t>SI</t>
        </is>
      </c>
      <c r="K86" s="77" t="n"/>
      <c r="L86" s="77" t="n"/>
      <c r="M86" s="137">
        <f>IF(R86&gt;0,(SQRT(CC86*(SUM(CD86:CI86)))),"")</f>
        <v/>
      </c>
      <c r="N86" s="4">
        <f>IF(T86&gt;0,(MAX(T86,Z86,AD86,AH86,AL86,AP86))+SQRT(1.2^2+1^2),"")</f>
        <v/>
      </c>
      <c r="O86" s="3">
        <f>IF(R86="",0,10*LOG10(SUM(BP86:BU86)/(COUNT(R86,X86,AB86,AF86,AJ86,AN86))))</f>
        <v/>
      </c>
      <c r="P86" s="5">
        <f>IF(AND(Y86="",AC86="",AG86="",AK86="",AO86=""),S86,AVERAGE(S86,Y86,AC86,AG86,AK86,AO86)+STDEV(S86,Y86,AC86,AG86,AK86,AO86))</f>
        <v/>
      </c>
      <c r="Q86" s="14" t="n">
        <v>300</v>
      </c>
      <c r="R86" s="11" t="n">
        <v>104.8</v>
      </c>
      <c r="S86" s="12" t="n">
        <v>103.3</v>
      </c>
      <c r="T86" s="13" t="n">
        <v>122.9</v>
      </c>
      <c r="U86" s="79" t="n"/>
      <c r="V86" s="79" t="n"/>
      <c r="W86" s="10" t="n">
        <v>300</v>
      </c>
      <c r="X86" s="11" t="n">
        <v>104.5</v>
      </c>
      <c r="Y86" s="12" t="n">
        <v>103</v>
      </c>
      <c r="Z86" s="13" t="n">
        <v>120</v>
      </c>
      <c r="AA86" s="10" t="n">
        <v>300</v>
      </c>
      <c r="AB86" s="11" t="n">
        <v>104.9</v>
      </c>
      <c r="AC86" s="12" t="n">
        <v>103.5</v>
      </c>
      <c r="AD86" s="13" t="n">
        <v>122.7</v>
      </c>
      <c r="AE86" s="14" t="n">
        <v>300</v>
      </c>
      <c r="AF86" s="11" t="n">
        <v>105.2</v>
      </c>
      <c r="AG86" s="12" t="n">
        <v>103.8</v>
      </c>
      <c r="AH86" s="13" t="n">
        <v>122.2</v>
      </c>
      <c r="AI86" s="10" t="n">
        <v>300</v>
      </c>
      <c r="AJ86" s="11" t="n">
        <v>105.8</v>
      </c>
      <c r="AK86" s="12" t="n">
        <v>104.3</v>
      </c>
      <c r="AL86" s="13" t="n">
        <v>123.4</v>
      </c>
      <c r="AM86" s="10" t="n">
        <v>300</v>
      </c>
      <c r="AN86" s="11" t="n">
        <v>105.4</v>
      </c>
      <c r="AO86" s="12" t="n">
        <v>104</v>
      </c>
      <c r="AP86" s="13" t="n">
        <v>122.6</v>
      </c>
      <c r="AQ86" s="6">
        <f>IF(AND((O86)&lt;85,N86&lt;137),"NO","SI")</f>
        <v/>
      </c>
      <c r="AR86" s="7">
        <f>IF((480*(10^(7.95-(O86/10))))&lt;480,480*(10^(7.95-(O86/10))),480)</f>
        <v/>
      </c>
      <c r="AS86" s="8">
        <f>IF((480*(10^(8.45-(O86/10))))&lt;480,480*(10^(8.45-(O86/10))),480)</f>
        <v/>
      </c>
      <c r="AT86" s="9">
        <f>IF((480*(10^(8.65-(O86/10))))&lt;480,480*(10^(8.65-(O86/10))),480)</f>
        <v/>
      </c>
      <c r="AU86" s="111">
        <f>IF(O86&lt;80,"0",IF((P86-O86)&lt;=2,('DPI art.191'!$G$3-(('DPI art.191'!$F$3-'DPI art.191'!$G$3)/4)*(P86-O86-2)),('DPI art.191'!$G$3-(('DPI art.191'!$G$3-'DPI art.191'!$H$3)/8)*(P86-O86-2))))</f>
        <v/>
      </c>
      <c r="AV86" s="24">
        <f>O86-AU86</f>
        <v/>
      </c>
      <c r="AW86" s="24">
        <f>IF(N86&lt;135,N86,N86-'DPI art.191'!$I$3)</f>
        <v/>
      </c>
      <c r="AX86" s="111">
        <f>IF(O86&lt;80,"0",IF((P86-O86)&lt;=2,('DPI art.191'!$G$5-(('DPI art.191'!$F$5-'DPI art.191'!$G$5)/4)*(P86-O86-2)),('DPI art.191'!$G$5-(('DPI art.191'!$G$5-'DPI art.191'!$H$5)/8)*(P86-O86-2))))</f>
        <v/>
      </c>
      <c r="AY86" s="24">
        <f>O86-AX86</f>
        <v/>
      </c>
      <c r="AZ86" s="24">
        <f>IF(N86&lt;135,N86,N86-'DPI art.191'!$I$5)</f>
        <v/>
      </c>
      <c r="BA86" s="111">
        <f>IF(O86&lt;80,"0",IF((P86-O86)&lt;=2,('DPI art.191'!$G$7-(('DPI art.191'!$F$7-'DPI art.191'!$G$7)/4)*(P86-O86-2)),('DPI art.191'!$G$7-(('DPI art.191'!$G$7-'DPI art.191'!$H$7)/8)*(P86-O86-2))))</f>
        <v/>
      </c>
      <c r="BB86" s="24">
        <f>O86-BA86</f>
        <v/>
      </c>
      <c r="BC86" s="24">
        <f>IF(N86&lt;135,N86,N86-'DPI art.191'!$I$7)</f>
        <v/>
      </c>
      <c r="BD86" s="111">
        <f>IF(O86&lt;80,"0",IF((P86-O86)&lt;=2,('DPI art.191'!$G$9-(('DPI art.191'!$F$9-'DPI art.191'!$G$9)/4)*(O86-P86-2)),('DPI art.191'!$G$9-(('DPI art.191'!$G$9-'DPI art.191'!$H$9)/8)*(P86-O86-2))))</f>
        <v/>
      </c>
      <c r="BE86" s="24">
        <f>O86-BD86</f>
        <v/>
      </c>
      <c r="BF86" s="24">
        <f>IF(N86&lt;135,N86,N86-'DPI art.191'!$I$9)</f>
        <v/>
      </c>
      <c r="BG86" s="111">
        <f>IF(O86&lt;80,"0",IF((P86-O86)&lt;=2,('DPI art.191'!$G$11-(('DPI art.191'!$F$11-'DPI art.191'!$G$11)/4)*(P86-O86-2)),('DPI art.191'!$G$11-(('DPI art.191'!$G$11-'DPI art.191'!$H$11)/8)*(P86-O86-2))))</f>
        <v/>
      </c>
      <c r="BH86" s="24">
        <f>O86-BG86</f>
        <v/>
      </c>
      <c r="BI86" s="24">
        <f>IF(T86&lt;135,T86,T86-'DPI art.191'!$I$11)</f>
        <v/>
      </c>
      <c r="BJ86" s="111">
        <f>IF(O86&lt;80,"0",IF((P86-O86)&lt;=2,('DPI art.191'!$G$13-(('DPI art.191'!$F$13-'DPI art.191'!$G$13)/4)*(P86-O86-2)),('DPI art.191'!$G$13-(('DPI art.191'!$G$13-'DPI art.191'!$H$13)/8)*(P86-O86-2))))</f>
        <v/>
      </c>
      <c r="BK86" s="24">
        <f>O86-BJ86</f>
        <v/>
      </c>
      <c r="BL86" s="24">
        <f>IF(T86&lt;135,T86,T86-'DPI art.191'!$I$13)</f>
        <v/>
      </c>
      <c r="BM86" s="111">
        <f>IF(O86&lt;80,"0",IF((P86-O86)&lt;=2,('DPI art.191'!$G$15-(('DPI art.191'!$F$15-'DPI art.191'!$G$15)/4)*(P86-O86-2)),('DPI art.191'!$G$15-(('DPI art.191'!$G$15-'DPI art.191'!$H$15)/8)*(P86-O86-2))))</f>
        <v/>
      </c>
      <c r="BN86" s="24">
        <f>O86-BM86</f>
        <v/>
      </c>
      <c r="BO86" s="24">
        <f>IF(Z86&lt;135,Z86,Z86-'DPI art.191'!$I$15)</f>
        <v/>
      </c>
      <c r="BP86" s="108">
        <f>10^(0.1*R86)</f>
        <v/>
      </c>
      <c r="BQ86" s="108">
        <f>10^(0.1*X86)</f>
        <v/>
      </c>
      <c r="BR86" s="108">
        <f>10^(0.1*AB86)</f>
        <v/>
      </c>
      <c r="BS86" s="108">
        <f>10^(0.1*AF86)</f>
        <v/>
      </c>
      <c r="BT86" s="108">
        <f>10^(0.1*AJ86)</f>
        <v/>
      </c>
      <c r="BU86" s="108">
        <f>10^(0.1*AN86)</f>
        <v/>
      </c>
      <c r="BV86" s="106">
        <f>IF(R86&gt;0,(O86-R86),"")</f>
        <v/>
      </c>
      <c r="BW86" s="106">
        <f>IF(X86&gt;0,(O86-X86),"")</f>
        <v/>
      </c>
      <c r="BX86" s="106">
        <f>IF(AB86&gt;0,(O86-AB86),"")</f>
        <v/>
      </c>
      <c r="BY86" s="106">
        <f>IF(AF86&gt;0,(O86-AF86),"")</f>
        <v/>
      </c>
      <c r="BZ86" s="106">
        <f>IF(AJ86&gt;0,(O86-AJ86),"")</f>
        <v/>
      </c>
      <c r="CA86" s="106">
        <f>IF(AN86&gt;0,(O86-AN86),"")</f>
        <v/>
      </c>
      <c r="CB86" s="106">
        <f>COUNT(BV86:CA86)</f>
        <v/>
      </c>
      <c r="CC86" s="464">
        <f>IF(CB86=0,0,IF(CB86=1,0,1/(CB86*(CB86-1))))</f>
        <v/>
      </c>
      <c r="CD86" s="136">
        <f>IF(R86&gt;0,(BV86^2),"")</f>
        <v/>
      </c>
      <c r="CE86" s="136">
        <f>IF(X86&gt;0,(BW86^2),"")</f>
        <v/>
      </c>
      <c r="CF86" s="136">
        <f>IF(AB86&gt;0,(BX86^2),"")</f>
        <v/>
      </c>
      <c r="CG86" s="136">
        <f>IF(AF86&gt;0,(BY86^2),"")</f>
        <v/>
      </c>
      <c r="CH86" s="136">
        <f>IF(AJ86&gt;0,(BZ86^2),"")</f>
        <v/>
      </c>
      <c r="CI86" s="136">
        <f>IF(AN86&gt;0,(CA86^2),"")</f>
        <v/>
      </c>
    </row>
    <row r="87" ht="25.5" customHeight="1" s="444">
      <c r="A87" s="340" t="inlineStr">
        <is>
          <t>017/1430</t>
        </is>
      </c>
      <c r="B87" s="65" t="inlineStr">
        <is>
          <t>W27</t>
        </is>
      </c>
      <c r="C87" s="78" t="inlineStr">
        <is>
          <t>Molatura con mola piccola lamellare</t>
        </is>
      </c>
      <c r="D87" s="83" t="inlineStr">
        <is>
          <t>/</t>
        </is>
      </c>
      <c r="E87" s="83" t="inlineStr">
        <is>
          <t>/</t>
        </is>
      </c>
      <c r="F87" s="78" t="inlineStr">
        <is>
          <t>Molatura con mola piccola lamellare</t>
        </is>
      </c>
      <c r="G87" s="71" t="n">
        <v>46003</v>
      </c>
      <c r="H87" s="77" t="inlineStr">
        <is>
          <t>Compito</t>
        </is>
      </c>
      <c r="I87" s="77">
        <f>IF((V87-R87)&gt;3,"SI","")</f>
        <v/>
      </c>
      <c r="J87" s="77" t="inlineStr">
        <is>
          <t>SI</t>
        </is>
      </c>
      <c r="K87" s="77" t="n"/>
      <c r="L87" s="77" t="n"/>
      <c r="M87" s="137">
        <f>IF(R87&gt;0,(SQRT(CC87*(SUM(CD87:CI87)))),"")</f>
        <v/>
      </c>
      <c r="N87" s="4">
        <f>IF(T87&gt;0,(MAX(T87,Z87,AD87,AH87,AL87,AP87))+SQRT(1.2^2+1^2),"")</f>
        <v/>
      </c>
      <c r="O87" s="3">
        <f>IF(R87="",0,10*LOG10(SUM(BP87:BU87)/(COUNT(R87,X87,AB87,AF87,AJ87,AN87))))</f>
        <v/>
      </c>
      <c r="P87" s="5">
        <f>IF(AND(Y87="",AC87="",AG87="",AK87="",AO87=""),S87,AVERAGE(S87,Y87,AC87,AG87,AK87,AO87)+STDEV(S87,Y87,AC87,AG87,AK87,AO87))</f>
        <v/>
      </c>
      <c r="Q87" s="14" t="n">
        <v>300</v>
      </c>
      <c r="R87" s="11" t="n">
        <v>101.3</v>
      </c>
      <c r="S87" s="12" t="n">
        <v>100</v>
      </c>
      <c r="T87" s="13" t="n">
        <v>115.7</v>
      </c>
      <c r="U87" s="79" t="n"/>
      <c r="V87" s="79" t="n"/>
      <c r="W87" s="10" t="n">
        <v>300</v>
      </c>
      <c r="X87" s="11" t="n">
        <v>101.4</v>
      </c>
      <c r="Y87" s="12" t="n">
        <v>100</v>
      </c>
      <c r="Z87" s="13" t="n">
        <v>115.4</v>
      </c>
      <c r="AA87" s="10" t="n">
        <v>300</v>
      </c>
      <c r="AB87" s="11" t="n">
        <v>100.5</v>
      </c>
      <c r="AC87" s="12" t="n">
        <v>99.2</v>
      </c>
      <c r="AD87" s="13" t="n">
        <v>115.3</v>
      </c>
      <c r="AE87" s="14" t="n">
        <v>300</v>
      </c>
      <c r="AF87" s="11" t="n">
        <v>104.7</v>
      </c>
      <c r="AG87" s="12" t="n">
        <v>103.1</v>
      </c>
      <c r="AH87" s="13" t="n">
        <v>119.5</v>
      </c>
      <c r="AI87" s="10" t="n">
        <v>300</v>
      </c>
      <c r="AJ87" s="11" t="n">
        <v>104.8</v>
      </c>
      <c r="AK87" s="12" t="n">
        <v>103.2</v>
      </c>
      <c r="AL87" s="13" t="n">
        <v>119.4</v>
      </c>
      <c r="AM87" s="10" t="n">
        <v>300</v>
      </c>
      <c r="AN87" s="11" t="n">
        <v>103.9</v>
      </c>
      <c r="AO87" s="12" t="n">
        <v>102.3</v>
      </c>
      <c r="AP87" s="13" t="n">
        <v>119.6</v>
      </c>
      <c r="AQ87" s="6">
        <f>IF(AND((O87)&lt;85,N87&lt;137),"NO","SI")</f>
        <v/>
      </c>
      <c r="AR87" s="7">
        <f>IF((480*(10^(7.95-(O87/10))))&lt;480,480*(10^(7.95-(O87/10))),480)</f>
        <v/>
      </c>
      <c r="AS87" s="8">
        <f>IF((480*(10^(8.45-(O87/10))))&lt;480,480*(10^(8.45-(O87/10))),480)</f>
        <v/>
      </c>
      <c r="AT87" s="9">
        <f>IF((480*(10^(8.65-(O87/10))))&lt;480,480*(10^(8.65-(O87/10))),480)</f>
        <v/>
      </c>
      <c r="AU87" s="111">
        <f>IF(O87&lt;80,"0",IF((P87-O87)&lt;=2,('DPI art.191'!$G$3-(('DPI art.191'!$F$3-'DPI art.191'!$G$3)/4)*(P87-O87-2)),('DPI art.191'!$G$3-(('DPI art.191'!$G$3-'DPI art.191'!$H$3)/8)*(P87-O87-2))))</f>
        <v/>
      </c>
      <c r="AV87" s="24">
        <f>O87-AU87</f>
        <v/>
      </c>
      <c r="AW87" s="24">
        <f>IF(N87&lt;135,N87,N87-'DPI art.191'!$I$3)</f>
        <v/>
      </c>
      <c r="AX87" s="111">
        <f>IF(O87&lt;80,"0",IF((P87-O87)&lt;=2,('DPI art.191'!$G$5-(('DPI art.191'!$F$5-'DPI art.191'!$G$5)/4)*(P87-O87-2)),('DPI art.191'!$G$5-(('DPI art.191'!$G$5-'DPI art.191'!$H$5)/8)*(P87-O87-2))))</f>
        <v/>
      </c>
      <c r="AY87" s="24">
        <f>O87-AX87</f>
        <v/>
      </c>
      <c r="AZ87" s="24">
        <f>IF(N87&lt;135,N87,N87-'DPI art.191'!$I$5)</f>
        <v/>
      </c>
      <c r="BA87" s="111">
        <f>IF(O87&lt;80,"0",IF((P87-O87)&lt;=2,('DPI art.191'!$G$7-(('DPI art.191'!$F$7-'DPI art.191'!$G$7)/4)*(P87-O87-2)),('DPI art.191'!$G$7-(('DPI art.191'!$G$7-'DPI art.191'!$H$7)/8)*(P87-O87-2))))</f>
        <v/>
      </c>
      <c r="BB87" s="24">
        <f>O87-BA87</f>
        <v/>
      </c>
      <c r="BC87" s="24">
        <f>IF(N87&lt;135,N87,N87-'DPI art.191'!$I$7)</f>
        <v/>
      </c>
      <c r="BD87" s="111">
        <f>IF(O87&lt;80,"0",IF((P87-O87)&lt;=2,('DPI art.191'!$G$9-(('DPI art.191'!$F$9-'DPI art.191'!$G$9)/4)*(O87-P87-2)),('DPI art.191'!$G$9-(('DPI art.191'!$G$9-'DPI art.191'!$H$9)/8)*(P87-O87-2))))</f>
        <v/>
      </c>
      <c r="BE87" s="24">
        <f>O87-BD87</f>
        <v/>
      </c>
      <c r="BF87" s="24">
        <f>IF(N87&lt;135,N87,N87-'DPI art.191'!$I$9)</f>
        <v/>
      </c>
      <c r="BG87" s="111">
        <f>IF(O87&lt;80,"0",IF((P87-O87)&lt;=2,('DPI art.191'!$G$11-(('DPI art.191'!$F$11-'DPI art.191'!$G$11)/4)*(P87-O87-2)),('DPI art.191'!$G$11-(('DPI art.191'!$G$11-'DPI art.191'!$H$11)/8)*(P87-O87-2))))</f>
        <v/>
      </c>
      <c r="BH87" s="24">
        <f>O87-BG87</f>
        <v/>
      </c>
      <c r="BI87" s="24">
        <f>IF(T87&lt;135,T87,T87-'DPI art.191'!$I$11)</f>
        <v/>
      </c>
      <c r="BJ87" s="111">
        <f>IF(O87&lt;80,"0",IF((P87-O87)&lt;=2,('DPI art.191'!$G$13-(('DPI art.191'!$F$13-'DPI art.191'!$G$13)/4)*(P87-O87-2)),('DPI art.191'!$G$13-(('DPI art.191'!$G$13-'DPI art.191'!$H$13)/8)*(P87-O87-2))))</f>
        <v/>
      </c>
      <c r="BK87" s="24">
        <f>O87-BJ87</f>
        <v/>
      </c>
      <c r="BL87" s="24">
        <f>IF(T87&lt;135,T87,T87-'DPI art.191'!$I$13)</f>
        <v/>
      </c>
      <c r="BM87" s="111">
        <f>IF(O87&lt;80,"0",IF((P87-O87)&lt;=2,('DPI art.191'!$G$15-(('DPI art.191'!$F$15-'DPI art.191'!$G$15)/4)*(P87-O87-2)),('DPI art.191'!$G$15-(('DPI art.191'!$G$15-'DPI art.191'!$H$15)/8)*(P87-O87-2))))</f>
        <v/>
      </c>
      <c r="BN87" s="24">
        <f>O87-BM87</f>
        <v/>
      </c>
      <c r="BO87" s="24">
        <f>IF(Z87&lt;135,Z87,Z87-'DPI art.191'!$I$15)</f>
        <v/>
      </c>
      <c r="BP87" s="108">
        <f>10^(0.1*R87)</f>
        <v/>
      </c>
      <c r="BQ87" s="108">
        <f>10^(0.1*X87)</f>
        <v/>
      </c>
      <c r="BR87" s="108">
        <f>10^(0.1*AB87)</f>
        <v/>
      </c>
      <c r="BS87" s="108">
        <f>10^(0.1*AF87)</f>
        <v/>
      </c>
      <c r="BT87" s="108">
        <f>10^(0.1*AJ87)</f>
        <v/>
      </c>
      <c r="BU87" s="108">
        <f>10^(0.1*AN87)</f>
        <v/>
      </c>
      <c r="BV87" s="106">
        <f>IF(R87&gt;0,(O87-R87),"")</f>
        <v/>
      </c>
      <c r="BW87" s="106">
        <f>IF(X87&gt;0,(O87-X87),"")</f>
        <v/>
      </c>
      <c r="BX87" s="106">
        <f>IF(AB87&gt;0,(O87-AB87),"")</f>
        <v/>
      </c>
      <c r="BY87" s="106">
        <f>IF(AF87&gt;0,(O87-AF87),"")</f>
        <v/>
      </c>
      <c r="BZ87" s="106">
        <f>IF(AJ87&gt;0,(O87-AJ87),"")</f>
        <v/>
      </c>
      <c r="CA87" s="106">
        <f>IF(AN87&gt;0,(O87-AN87),"")</f>
        <v/>
      </c>
      <c r="CB87" s="106">
        <f>COUNT(BV87:CA87)</f>
        <v/>
      </c>
      <c r="CC87" s="464">
        <f>IF(CB87=0,0,IF(CB87=1,0,1/(CB87*(CB87-1))))</f>
        <v/>
      </c>
      <c r="CD87" s="136">
        <f>IF(R87&gt;0,(BV87^2),"")</f>
        <v/>
      </c>
      <c r="CE87" s="136">
        <f>IF(X87&gt;0,(BW87^2),"")</f>
        <v/>
      </c>
      <c r="CF87" s="136">
        <f>IF(AB87&gt;0,(BX87^2),"")</f>
        <v/>
      </c>
      <c r="CG87" s="136">
        <f>IF(AF87&gt;0,(BY87^2),"")</f>
        <v/>
      </c>
      <c r="CH87" s="136">
        <f>IF(AJ87&gt;0,(BZ87^2),"")</f>
        <v/>
      </c>
      <c r="CI87" s="136">
        <f>IF(AN87&gt;0,(CA87^2),"")</f>
        <v/>
      </c>
    </row>
    <row r="88" ht="18.75" customHeight="1" s="444">
      <c r="A88" s="340" t="inlineStr">
        <is>
          <t>017/0914</t>
        </is>
      </c>
      <c r="B88" s="65" t="inlineStr">
        <is>
          <t>W28</t>
        </is>
      </c>
      <c r="C88" s="78" t="inlineStr">
        <is>
          <t>Taglio con mola piccola</t>
        </is>
      </c>
      <c r="D88" s="83" t="inlineStr">
        <is>
          <t>/</t>
        </is>
      </c>
      <c r="E88" s="83" t="inlineStr">
        <is>
          <t>/</t>
        </is>
      </c>
      <c r="F88" s="78" t="inlineStr">
        <is>
          <t>Taglio con mola piccola</t>
        </is>
      </c>
      <c r="G88" s="71" t="n">
        <v>46003</v>
      </c>
      <c r="H88" s="77" t="inlineStr">
        <is>
          <t>Compito</t>
        </is>
      </c>
      <c r="I88" s="77">
        <f>IF((V88-R88)&gt;3,"SI","")</f>
        <v/>
      </c>
      <c r="J88" s="77" t="inlineStr">
        <is>
          <t>SI</t>
        </is>
      </c>
      <c r="K88" s="77" t="n"/>
      <c r="L88" s="77" t="n"/>
      <c r="M88" s="137">
        <f>IF(R88&gt;0,(SQRT(CC88*(SUM(CD88:CI88)))),"")</f>
        <v/>
      </c>
      <c r="N88" s="4">
        <f>IF(T88&gt;0,(MAX(T88,Z88,AD88,AH88,AL88,AP88))+SQRT(1.2^2+1^2),"")</f>
        <v/>
      </c>
      <c r="O88" s="3">
        <f>IF(R88="",0,10*LOG10(SUM(BP88:BU88)/(COUNT(R88,X88,AB88,AF88,AJ88,AN88))))</f>
        <v/>
      </c>
      <c r="P88" s="5">
        <f>IF(AND(Y88="",AC88="",AG88="",AK88="",AO88=""),S88,AVERAGE(S88,Y88,AC88,AG88,AK88,AO88)+STDEV(S88,Y88,AC88,AG88,AK88,AO88))</f>
        <v/>
      </c>
      <c r="Q88" s="14" t="n">
        <v>300</v>
      </c>
      <c r="R88" s="11" t="n">
        <v>103.8</v>
      </c>
      <c r="S88" s="12" t="n">
        <v>102.3</v>
      </c>
      <c r="T88" s="13" t="n">
        <v>119.7</v>
      </c>
      <c r="U88" s="79" t="n"/>
      <c r="V88" s="79" t="n"/>
      <c r="W88" s="10" t="n">
        <v>300</v>
      </c>
      <c r="X88" s="11" t="n">
        <v>104.8</v>
      </c>
      <c r="Y88" s="12" t="n">
        <v>103.2</v>
      </c>
      <c r="Z88" s="13" t="n">
        <v>122.5</v>
      </c>
      <c r="AA88" s="10" t="n">
        <v>300</v>
      </c>
      <c r="AB88" s="11" t="n">
        <v>107.8</v>
      </c>
      <c r="AC88" s="12" t="n">
        <v>106.1</v>
      </c>
      <c r="AD88" s="13" t="n">
        <v>124.5</v>
      </c>
      <c r="AE88" s="14" t="n">
        <v>300</v>
      </c>
      <c r="AF88" s="11" t="n">
        <v>111.6</v>
      </c>
      <c r="AG88" s="12" t="n">
        <v>110.1</v>
      </c>
      <c r="AH88" s="13" t="n">
        <v>127.9</v>
      </c>
      <c r="AI88" s="10" t="n">
        <v>300</v>
      </c>
      <c r="AJ88" s="11" t="n">
        <v>111.1</v>
      </c>
      <c r="AK88" s="12" t="n">
        <v>109.5</v>
      </c>
      <c r="AL88" s="13" t="n">
        <v>126.7</v>
      </c>
      <c r="AM88" s="10" t="n">
        <v>300</v>
      </c>
      <c r="AN88" s="11" t="n">
        <v>109.5</v>
      </c>
      <c r="AO88" s="12" t="n">
        <v>107.9</v>
      </c>
      <c r="AP88" s="13" t="n">
        <v>126.5</v>
      </c>
      <c r="AQ88" s="6">
        <f>IF(AND((O88)&lt;85,N88&lt;137),"NO","SI")</f>
        <v/>
      </c>
      <c r="AR88" s="7">
        <f>IF((480*(10^(7.95-(O88/10))))&lt;480,480*(10^(7.95-(O88/10))),480)</f>
        <v/>
      </c>
      <c r="AS88" s="8">
        <f>IF((480*(10^(8.45-(O88/10))))&lt;480,480*(10^(8.45-(O88/10))),480)</f>
        <v/>
      </c>
      <c r="AT88" s="9">
        <f>IF((480*(10^(8.65-(O88/10))))&lt;480,480*(10^(8.65-(O88/10))),480)</f>
        <v/>
      </c>
      <c r="AU88" s="111">
        <f>IF(O88&lt;80,"0",IF((P88-O88)&lt;=2,('DPI art.191'!$G$3-(('DPI art.191'!$F$3-'DPI art.191'!$G$3)/4)*(P88-O88-2)),('DPI art.191'!$G$3-(('DPI art.191'!$G$3-'DPI art.191'!$H$3)/8)*(P88-O88-2))))</f>
        <v/>
      </c>
      <c r="AV88" s="24">
        <f>O88-AU88</f>
        <v/>
      </c>
      <c r="AW88" s="24">
        <f>IF(N88&lt;135,N88,N88-'DPI art.191'!$I$3)</f>
        <v/>
      </c>
      <c r="AX88" s="111">
        <f>IF(O88&lt;80,"0",IF((P88-O88)&lt;=2,('DPI art.191'!$G$5-(('DPI art.191'!$F$5-'DPI art.191'!$G$5)/4)*(P88-O88-2)),('DPI art.191'!$G$5-(('DPI art.191'!$G$5-'DPI art.191'!$H$5)/8)*(P88-O88-2))))</f>
        <v/>
      </c>
      <c r="AY88" s="24">
        <f>O88-AX88</f>
        <v/>
      </c>
      <c r="AZ88" s="24">
        <f>IF(N88&lt;135,N88,N88-'DPI art.191'!$I$5)</f>
        <v/>
      </c>
      <c r="BA88" s="111">
        <f>IF(O88&lt;80,"0",IF((P88-O88)&lt;=2,('DPI art.191'!$G$7-(('DPI art.191'!$F$7-'DPI art.191'!$G$7)/4)*(P88-O88-2)),('DPI art.191'!$G$7-(('DPI art.191'!$G$7-'DPI art.191'!$H$7)/8)*(P88-O88-2))))</f>
        <v/>
      </c>
      <c r="BB88" s="24">
        <f>O88-BA88</f>
        <v/>
      </c>
      <c r="BC88" s="24">
        <f>IF(N88&lt;135,N88,N88-'DPI art.191'!$I$7)</f>
        <v/>
      </c>
      <c r="BD88" s="111">
        <f>IF(O88&lt;80,"0",IF((P88-O88)&lt;=2,('DPI art.191'!$G$9-(('DPI art.191'!$F$9-'DPI art.191'!$G$9)/4)*(O88-P88-2)),('DPI art.191'!$G$9-(('DPI art.191'!$G$9-'DPI art.191'!$H$9)/8)*(P88-O88-2))))</f>
        <v/>
      </c>
      <c r="BE88" s="24">
        <f>O88-BD88</f>
        <v/>
      </c>
      <c r="BF88" s="24">
        <f>IF(N88&lt;135,N88,N88-'DPI art.191'!$I$9)</f>
        <v/>
      </c>
      <c r="BG88" s="111">
        <f>IF(O88&lt;80,"0",IF((P88-O88)&lt;=2,('DPI art.191'!$G$11-(('DPI art.191'!$F$11-'DPI art.191'!$G$11)/4)*(P88-O88-2)),('DPI art.191'!$G$11-(('DPI art.191'!$G$11-'DPI art.191'!$H$11)/8)*(P88-O88-2))))</f>
        <v/>
      </c>
      <c r="BH88" s="24">
        <f>O88-BG88</f>
        <v/>
      </c>
      <c r="BI88" s="24">
        <f>IF(T88&lt;135,T88,T88-'DPI art.191'!$I$11)</f>
        <v/>
      </c>
      <c r="BJ88" s="111">
        <f>IF(O88&lt;80,"0",IF((P88-O88)&lt;=2,('DPI art.191'!$G$13-(('DPI art.191'!$F$13-'DPI art.191'!$G$13)/4)*(P88-O88-2)),('DPI art.191'!$G$13-(('DPI art.191'!$G$13-'DPI art.191'!$H$13)/8)*(P88-O88-2))))</f>
        <v/>
      </c>
      <c r="BK88" s="24">
        <f>O88-BJ88</f>
        <v/>
      </c>
      <c r="BL88" s="24">
        <f>IF(T88&lt;135,T88,T88-'DPI art.191'!$I$13)</f>
        <v/>
      </c>
      <c r="BM88" s="111">
        <f>IF(O88&lt;80,"0",IF((P88-O88)&lt;=2,('DPI art.191'!$G$15-(('DPI art.191'!$F$15-'DPI art.191'!$G$15)/4)*(P88-O88-2)),('DPI art.191'!$G$15-(('DPI art.191'!$G$15-'DPI art.191'!$H$15)/8)*(P88-O88-2))))</f>
        <v/>
      </c>
      <c r="BN88" s="24">
        <f>O88-BM88</f>
        <v/>
      </c>
      <c r="BO88" s="24">
        <f>IF(Z88&lt;135,Z88,Z88-'DPI art.191'!$I$15)</f>
        <v/>
      </c>
      <c r="BP88" s="108">
        <f>10^(0.1*R88)</f>
        <v/>
      </c>
      <c r="BQ88" s="108">
        <f>10^(0.1*X88)</f>
        <v/>
      </c>
      <c r="BR88" s="108">
        <f>10^(0.1*AB88)</f>
        <v/>
      </c>
      <c r="BS88" s="108">
        <f>10^(0.1*AF88)</f>
        <v/>
      </c>
      <c r="BT88" s="108">
        <f>10^(0.1*AJ88)</f>
        <v/>
      </c>
      <c r="BU88" s="108">
        <f>10^(0.1*AN88)</f>
        <v/>
      </c>
      <c r="BV88" s="106">
        <f>IF(R88&gt;0,(O88-R88),"")</f>
        <v/>
      </c>
      <c r="BW88" s="106">
        <f>IF(X88&gt;0,(O88-X88),"")</f>
        <v/>
      </c>
      <c r="BX88" s="106">
        <f>IF(AB88&gt;0,(O88-AB88),"")</f>
        <v/>
      </c>
      <c r="BY88" s="106">
        <f>IF(AF88&gt;0,(O88-AF88),"")</f>
        <v/>
      </c>
      <c r="BZ88" s="106">
        <f>IF(AJ88&gt;0,(O88-AJ88),"")</f>
        <v/>
      </c>
      <c r="CA88" s="106">
        <f>IF(AN88&gt;0,(O88-AN88),"")</f>
        <v/>
      </c>
      <c r="CB88" s="106">
        <f>COUNT(BV88:CA88)</f>
        <v/>
      </c>
      <c r="CC88" s="464">
        <f>IF(CB88=0,0,IF(CB88=1,0,1/(CB88*(CB88-1))))</f>
        <v/>
      </c>
      <c r="CD88" s="136">
        <f>IF(R88&gt;0,(BV88^2),"")</f>
        <v/>
      </c>
      <c r="CE88" s="136">
        <f>IF(X88&gt;0,(BW88^2),"")</f>
        <v/>
      </c>
      <c r="CF88" s="136">
        <f>IF(AB88&gt;0,(BX88^2),"")</f>
        <v/>
      </c>
      <c r="CG88" s="136">
        <f>IF(AF88&gt;0,(BY88^2),"")</f>
        <v/>
      </c>
      <c r="CH88" s="136">
        <f>IF(AJ88&gt;0,(BZ88^2),"")</f>
        <v/>
      </c>
      <c r="CI88" s="136">
        <f>IF(AN88&gt;0,(CA88^2),"")</f>
        <v/>
      </c>
    </row>
    <row r="89" ht="25.5" customHeight="1" s="444">
      <c r="A89" s="340" t="inlineStr">
        <is>
          <t>017/0914</t>
        </is>
      </c>
      <c r="B89" s="65" t="inlineStr">
        <is>
          <t>W29</t>
        </is>
      </c>
      <c r="C89" s="78" t="inlineStr">
        <is>
          <t>Molatura con mola piccola sgrosso</t>
        </is>
      </c>
      <c r="D89" s="83" t="inlineStr">
        <is>
          <t>/</t>
        </is>
      </c>
      <c r="E89" s="83" t="inlineStr">
        <is>
          <t>/</t>
        </is>
      </c>
      <c r="F89" s="78" t="inlineStr">
        <is>
          <t>Molatura con mola piccola sgrosso</t>
        </is>
      </c>
      <c r="G89" s="71" t="n">
        <v>46003</v>
      </c>
      <c r="H89" s="77" t="inlineStr">
        <is>
          <t>Compito</t>
        </is>
      </c>
      <c r="I89" s="77">
        <f>IF((V89-R89)&gt;3,"SI","")</f>
        <v/>
      </c>
      <c r="J89" s="77" t="inlineStr">
        <is>
          <t>SI</t>
        </is>
      </c>
      <c r="K89" s="77" t="n"/>
      <c r="L89" s="77" t="n"/>
      <c r="M89" s="137">
        <f>IF(R89&gt;0,(SQRT(CC89*(SUM(CD89:CI89)))),"")</f>
        <v/>
      </c>
      <c r="N89" s="4">
        <f>IF(T89&gt;0,(MAX(T89,Z89,AD89,AH89,AL89,AP89))+SQRT(1.2^2+1^2),"")</f>
        <v/>
      </c>
      <c r="O89" s="3">
        <f>IF(R89="",0,10*LOG10(SUM(BP89:BU89)/(COUNT(R89,X89,AB89,AF89,AJ89,AN89))))</f>
        <v/>
      </c>
      <c r="P89" s="5">
        <f>IF(AND(Y89="",AC89="",AG89="",AK89="",AO89=""),S89,AVERAGE(S89,Y89,AC89,AG89,AK89,AO89)+STDEV(S89,Y89,AC89,AG89,AK89,AO89))</f>
        <v/>
      </c>
      <c r="Q89" s="14" t="n">
        <v>300</v>
      </c>
      <c r="R89" s="11" t="n">
        <v>111.1</v>
      </c>
      <c r="S89" s="12" t="n">
        <v>109.5</v>
      </c>
      <c r="T89" s="13" t="n">
        <v>125.5</v>
      </c>
      <c r="U89" s="79" t="n"/>
      <c r="V89" s="79" t="n"/>
      <c r="W89" s="10" t="n">
        <v>300</v>
      </c>
      <c r="X89" s="11" t="n">
        <v>111.4</v>
      </c>
      <c r="Y89" s="12" t="n">
        <v>109.8</v>
      </c>
      <c r="Z89" s="13" t="n">
        <v>126.1</v>
      </c>
      <c r="AA89" s="10" t="n">
        <v>300</v>
      </c>
      <c r="AB89" s="11" t="n">
        <v>111.3</v>
      </c>
      <c r="AC89" s="12" t="n">
        <v>109.7</v>
      </c>
      <c r="AD89" s="13" t="n">
        <v>127.1</v>
      </c>
      <c r="AE89" s="14" t="n">
        <v>300</v>
      </c>
      <c r="AF89" s="11" t="n">
        <v>103.2</v>
      </c>
      <c r="AG89" s="12" t="n">
        <v>101.7</v>
      </c>
      <c r="AH89" s="13" t="n">
        <v>119.3</v>
      </c>
      <c r="AI89" s="10" t="n">
        <v>300</v>
      </c>
      <c r="AJ89" s="11" t="n">
        <v>103.7</v>
      </c>
      <c r="AK89" s="12" t="n">
        <v>102.3</v>
      </c>
      <c r="AL89" s="13" t="n">
        <v>117.7</v>
      </c>
      <c r="AM89" s="10" t="n">
        <v>300</v>
      </c>
      <c r="AN89" s="11" t="n">
        <v>103.3</v>
      </c>
      <c r="AO89" s="12" t="n">
        <v>101.8</v>
      </c>
      <c r="AP89" s="13" t="n">
        <v>117.9</v>
      </c>
      <c r="AQ89" s="6">
        <f>IF(AND((O89)&lt;85,N89&lt;137),"NO","SI")</f>
        <v/>
      </c>
      <c r="AR89" s="7">
        <f>IF((480*(10^(7.95-(O89/10))))&lt;480,480*(10^(7.95-(O89/10))),480)</f>
        <v/>
      </c>
      <c r="AS89" s="8">
        <f>IF((480*(10^(8.45-(O89/10))))&lt;480,480*(10^(8.45-(O89/10))),480)</f>
        <v/>
      </c>
      <c r="AT89" s="9">
        <f>IF((480*(10^(8.65-(O89/10))))&lt;480,480*(10^(8.65-(O89/10))),480)</f>
        <v/>
      </c>
      <c r="AU89" s="111">
        <f>IF(O89&lt;80,"0",IF((P89-O89)&lt;=2,('DPI art.191'!$G$3-(('DPI art.191'!$F$3-'DPI art.191'!$G$3)/4)*(P89-O89-2)),('DPI art.191'!$G$3-(('DPI art.191'!$G$3-'DPI art.191'!$H$3)/8)*(P89-O89-2))))</f>
        <v/>
      </c>
      <c r="AV89" s="24">
        <f>O89-AU89</f>
        <v/>
      </c>
      <c r="AW89" s="24">
        <f>IF(N89&lt;135,N89,N89-'DPI art.191'!$I$3)</f>
        <v/>
      </c>
      <c r="AX89" s="111">
        <f>IF(O89&lt;80,"0",IF((P89-O89)&lt;=2,('DPI art.191'!$G$5-(('DPI art.191'!$F$5-'DPI art.191'!$G$5)/4)*(P89-O89-2)),('DPI art.191'!$G$5-(('DPI art.191'!$G$5-'DPI art.191'!$H$5)/8)*(P89-O89-2))))</f>
        <v/>
      </c>
      <c r="AY89" s="24">
        <f>O89-AX89</f>
        <v/>
      </c>
      <c r="AZ89" s="24">
        <f>IF(N89&lt;135,N89,N89-'DPI art.191'!$I$5)</f>
        <v/>
      </c>
      <c r="BA89" s="111">
        <f>IF(O89&lt;80,"0",IF((P89-O89)&lt;=2,('DPI art.191'!$G$7-(('DPI art.191'!$F$7-'DPI art.191'!$G$7)/4)*(P89-O89-2)),('DPI art.191'!$G$7-(('DPI art.191'!$G$7-'DPI art.191'!$H$7)/8)*(P89-O89-2))))</f>
        <v/>
      </c>
      <c r="BB89" s="24">
        <f>O89-BA89</f>
        <v/>
      </c>
      <c r="BC89" s="24">
        <f>IF(N89&lt;135,N89,N89-'DPI art.191'!$I$7)</f>
        <v/>
      </c>
      <c r="BD89" s="111">
        <f>IF(O89&lt;80,"0",IF((P89-O89)&lt;=2,('DPI art.191'!$G$9-(('DPI art.191'!$F$9-'DPI art.191'!$G$9)/4)*(O89-P89-2)),('DPI art.191'!$G$9-(('DPI art.191'!$G$9-'DPI art.191'!$H$9)/8)*(P89-O89-2))))</f>
        <v/>
      </c>
      <c r="BE89" s="24">
        <f>O89-BD89</f>
        <v/>
      </c>
      <c r="BF89" s="24">
        <f>IF(N89&lt;135,N89,N89-'DPI art.191'!$I$9)</f>
        <v/>
      </c>
      <c r="BG89" s="111">
        <f>IF(O89&lt;80,"0",IF((P89-O89)&lt;=2,('DPI art.191'!$G$11-(('DPI art.191'!$F$11-'DPI art.191'!$G$11)/4)*(P89-O89-2)),('DPI art.191'!$G$11-(('DPI art.191'!$G$11-'DPI art.191'!$H$11)/8)*(P89-O89-2))))</f>
        <v/>
      </c>
      <c r="BH89" s="24">
        <f>O89-BG89</f>
        <v/>
      </c>
      <c r="BI89" s="24">
        <f>IF(T89&lt;135,T89,T89-'DPI art.191'!$I$11)</f>
        <v/>
      </c>
      <c r="BJ89" s="111">
        <f>IF(O89&lt;80,"0",IF((P89-O89)&lt;=2,('DPI art.191'!$G$13-(('DPI art.191'!$F$13-'DPI art.191'!$G$13)/4)*(P89-O89-2)),('DPI art.191'!$G$13-(('DPI art.191'!$G$13-'DPI art.191'!$H$13)/8)*(P89-O89-2))))</f>
        <v/>
      </c>
      <c r="BK89" s="24">
        <f>O89-BJ89</f>
        <v/>
      </c>
      <c r="BL89" s="24">
        <f>IF(T89&lt;135,T89,T89-'DPI art.191'!$I$13)</f>
        <v/>
      </c>
      <c r="BM89" s="111">
        <f>IF(O89&lt;80,"0",IF((P89-O89)&lt;=2,('DPI art.191'!$G$15-(('DPI art.191'!$F$15-'DPI art.191'!$G$15)/4)*(P89-O89-2)),('DPI art.191'!$G$15-(('DPI art.191'!$G$15-'DPI art.191'!$H$15)/8)*(P89-O89-2))))</f>
        <v/>
      </c>
      <c r="BN89" s="24">
        <f>O89-BM89</f>
        <v/>
      </c>
      <c r="BO89" s="24">
        <f>IF(Z89&lt;135,Z89,Z89-'DPI art.191'!$I$15)</f>
        <v/>
      </c>
      <c r="BP89" s="108">
        <f>10^(0.1*R89)</f>
        <v/>
      </c>
      <c r="BQ89" s="108">
        <f>10^(0.1*X89)</f>
        <v/>
      </c>
      <c r="BR89" s="108">
        <f>10^(0.1*AB89)</f>
        <v/>
      </c>
      <c r="BS89" s="108">
        <f>10^(0.1*AF89)</f>
        <v/>
      </c>
      <c r="BT89" s="108">
        <f>10^(0.1*AJ89)</f>
        <v/>
      </c>
      <c r="BU89" s="108">
        <f>10^(0.1*AN89)</f>
        <v/>
      </c>
      <c r="BV89" s="106">
        <f>IF(R89&gt;0,(O89-R89),"")</f>
        <v/>
      </c>
      <c r="BW89" s="106">
        <f>IF(X89&gt;0,(O89-X89),"")</f>
        <v/>
      </c>
      <c r="BX89" s="106">
        <f>IF(AB89&gt;0,(O89-AB89),"")</f>
        <v/>
      </c>
      <c r="BY89" s="106">
        <f>IF(AF89&gt;0,(O89-AF89),"")</f>
        <v/>
      </c>
      <c r="BZ89" s="106">
        <f>IF(AJ89&gt;0,(O89-AJ89),"")</f>
        <v/>
      </c>
      <c r="CA89" s="106">
        <f>IF(AN89&gt;0,(O89-AN89),"")</f>
        <v/>
      </c>
      <c r="CB89" s="106">
        <f>COUNT(BV89:CA89)</f>
        <v/>
      </c>
      <c r="CC89" s="464">
        <f>IF(CB89=0,0,IF(CB89=1,0,1/(CB89*(CB89-1))))</f>
        <v/>
      </c>
      <c r="CD89" s="136">
        <f>IF(R89&gt;0,(BV89^2),"")</f>
        <v/>
      </c>
      <c r="CE89" s="136">
        <f>IF(X89&gt;0,(BW89^2),"")</f>
        <v/>
      </c>
      <c r="CF89" s="136">
        <f>IF(AB89&gt;0,(BX89^2),"")</f>
        <v/>
      </c>
      <c r="CG89" s="136">
        <f>IF(AF89&gt;0,(BY89^2),"")</f>
        <v/>
      </c>
      <c r="CH89" s="136">
        <f>IF(AJ89&gt;0,(BZ89^2),"")</f>
        <v/>
      </c>
      <c r="CI89" s="136">
        <f>IF(AN89&gt;0,(CA89^2),"")</f>
        <v/>
      </c>
    </row>
    <row r="90" ht="25.5" customHeight="1" s="444">
      <c r="A90" s="340" t="inlineStr">
        <is>
          <t>017/0914</t>
        </is>
      </c>
      <c r="B90" s="65" t="inlineStr">
        <is>
          <t>W30</t>
        </is>
      </c>
      <c r="C90" s="78" t="inlineStr">
        <is>
          <t>Molatura con mola piccola lamellare</t>
        </is>
      </c>
      <c r="D90" s="83" t="inlineStr">
        <is>
          <t>/</t>
        </is>
      </c>
      <c r="E90" s="83" t="inlineStr">
        <is>
          <t>/</t>
        </is>
      </c>
      <c r="F90" s="78" t="inlineStr">
        <is>
          <t>Molatura con mola piccola lamellare</t>
        </is>
      </c>
      <c r="G90" s="71" t="n">
        <v>46003</v>
      </c>
      <c r="H90" s="77" t="inlineStr">
        <is>
          <t>Compito</t>
        </is>
      </c>
      <c r="I90" s="77">
        <f>IF((V90-R90)&gt;3,"SI","")</f>
        <v/>
      </c>
      <c r="J90" s="77" t="inlineStr">
        <is>
          <t>SI</t>
        </is>
      </c>
      <c r="K90" s="77" t="n"/>
      <c r="L90" s="77" t="n"/>
      <c r="M90" s="137">
        <f>IF(R90&gt;0,(SQRT(CC90*(SUM(CD90:CI90)))),"")</f>
        <v/>
      </c>
      <c r="N90" s="4">
        <f>IF(T90&gt;0,(MAX(T90,Z90,AD90,AH90,AL90,AP90))+SQRT(1.2^2+1^2),"")</f>
        <v/>
      </c>
      <c r="O90" s="3">
        <f>IF(R90="",0,10*LOG10(SUM(BP90:BU90)/(COUNT(R90,X90,AB90,AF90,AJ90,AN90))))</f>
        <v/>
      </c>
      <c r="P90" s="5">
        <f>IF(AND(Y90="",AC90="",AG90="",AK90="",AO90=""),S90,AVERAGE(S90,Y90,AC90,AG90,AK90,AO90)+STDEV(S90,Y90,AC90,AG90,AK90,AO90))</f>
        <v/>
      </c>
      <c r="Q90" s="14" t="n">
        <v>300</v>
      </c>
      <c r="R90" s="11" t="n">
        <v>103.8</v>
      </c>
      <c r="S90" s="12" t="n">
        <v>102.3</v>
      </c>
      <c r="T90" s="13" t="n">
        <v>118.6</v>
      </c>
      <c r="U90" s="79" t="n"/>
      <c r="V90" s="79" t="n"/>
      <c r="W90" s="10" t="n">
        <v>300</v>
      </c>
      <c r="X90" s="11" t="n">
        <v>104</v>
      </c>
      <c r="Y90" s="12" t="n">
        <v>102.5</v>
      </c>
      <c r="Z90" s="13" t="n">
        <v>119.3</v>
      </c>
      <c r="AA90" s="10" t="n">
        <v>300</v>
      </c>
      <c r="AB90" s="11" t="n">
        <v>104.3</v>
      </c>
      <c r="AC90" s="12" t="n">
        <v>102.8</v>
      </c>
      <c r="AD90" s="13" t="n">
        <v>118.7</v>
      </c>
      <c r="AE90" s="14" t="n">
        <v>300</v>
      </c>
      <c r="AF90" s="11" t="n">
        <v>108.8</v>
      </c>
      <c r="AG90" s="12" t="n">
        <v>107.2</v>
      </c>
      <c r="AH90" s="13" t="n">
        <v>124.9</v>
      </c>
      <c r="AI90" s="10" t="n">
        <v>300</v>
      </c>
      <c r="AJ90" s="11" t="n">
        <v>109</v>
      </c>
      <c r="AK90" s="12" t="n">
        <v>107.4</v>
      </c>
      <c r="AL90" s="13" t="n">
        <v>124.9</v>
      </c>
      <c r="AM90" s="10" t="n">
        <v>300</v>
      </c>
      <c r="AN90" s="11" t="n">
        <v>109.5</v>
      </c>
      <c r="AO90" s="12" t="n">
        <v>107.9</v>
      </c>
      <c r="AP90" s="13" t="n">
        <v>125.3</v>
      </c>
      <c r="AQ90" s="6">
        <f>IF(AND((O90)&lt;85,N90&lt;137),"NO","SI")</f>
        <v/>
      </c>
      <c r="AR90" s="7">
        <f>IF((480*(10^(7.95-(O90/10))))&lt;480,480*(10^(7.95-(O90/10))),480)</f>
        <v/>
      </c>
      <c r="AS90" s="8">
        <f>IF((480*(10^(8.45-(O90/10))))&lt;480,480*(10^(8.45-(O90/10))),480)</f>
        <v/>
      </c>
      <c r="AT90" s="9">
        <f>IF((480*(10^(8.65-(O90/10))))&lt;480,480*(10^(8.65-(O90/10))),480)</f>
        <v/>
      </c>
      <c r="AU90" s="111">
        <f>IF(O90&lt;80,"0",IF((P90-O90)&lt;=2,('DPI art.191'!$G$3-(('DPI art.191'!$F$3-'DPI art.191'!$G$3)/4)*(P90-O90-2)),('DPI art.191'!$G$3-(('DPI art.191'!$G$3-'DPI art.191'!$H$3)/8)*(P90-O90-2))))</f>
        <v/>
      </c>
      <c r="AV90" s="24">
        <f>O90-AU90</f>
        <v/>
      </c>
      <c r="AW90" s="24">
        <f>IF(N90&lt;135,N90,N90-'DPI art.191'!$I$3)</f>
        <v/>
      </c>
      <c r="AX90" s="111">
        <f>IF(O90&lt;80,"0",IF((P90-O90)&lt;=2,('DPI art.191'!$G$5-(('DPI art.191'!$F$5-'DPI art.191'!$G$5)/4)*(P90-O90-2)),('DPI art.191'!$G$5-(('DPI art.191'!$G$5-'DPI art.191'!$H$5)/8)*(P90-O90-2))))</f>
        <v/>
      </c>
      <c r="AY90" s="24">
        <f>O90-AX90</f>
        <v/>
      </c>
      <c r="AZ90" s="24">
        <f>IF(N90&lt;135,N90,N90-'DPI art.191'!$I$5)</f>
        <v/>
      </c>
      <c r="BA90" s="111">
        <f>IF(O90&lt;80,"0",IF((P90-O90)&lt;=2,('DPI art.191'!$G$7-(('DPI art.191'!$F$7-'DPI art.191'!$G$7)/4)*(P90-O90-2)),('DPI art.191'!$G$7-(('DPI art.191'!$G$7-'DPI art.191'!$H$7)/8)*(P90-O90-2))))</f>
        <v/>
      </c>
      <c r="BB90" s="24">
        <f>O90-BA90</f>
        <v/>
      </c>
      <c r="BC90" s="24">
        <f>IF(N90&lt;135,N90,N90-'DPI art.191'!$I$7)</f>
        <v/>
      </c>
      <c r="BD90" s="111">
        <f>IF(O90&lt;80,"0",IF((P90-O90)&lt;=2,('DPI art.191'!$G$9-(('DPI art.191'!$F$9-'DPI art.191'!$G$9)/4)*(O90-P90-2)),('DPI art.191'!$G$9-(('DPI art.191'!$G$9-'DPI art.191'!$H$9)/8)*(P90-O90-2))))</f>
        <v/>
      </c>
      <c r="BE90" s="24">
        <f>O90-BD90</f>
        <v/>
      </c>
      <c r="BF90" s="24">
        <f>IF(N90&lt;135,N90,N90-'DPI art.191'!$I$9)</f>
        <v/>
      </c>
      <c r="BG90" s="111">
        <f>IF(O90&lt;80,"0",IF((P90-O90)&lt;=2,('DPI art.191'!$G$11-(('DPI art.191'!$F$11-'DPI art.191'!$G$11)/4)*(P90-O90-2)),('DPI art.191'!$G$11-(('DPI art.191'!$G$11-'DPI art.191'!$H$11)/8)*(P90-O90-2))))</f>
        <v/>
      </c>
      <c r="BH90" s="24">
        <f>O90-BG90</f>
        <v/>
      </c>
      <c r="BI90" s="24">
        <f>IF(T90&lt;135,T90,T90-'DPI art.191'!$I$11)</f>
        <v/>
      </c>
      <c r="BJ90" s="111">
        <f>IF(O90&lt;80,"0",IF((P90-O90)&lt;=2,('DPI art.191'!$G$13-(('DPI art.191'!$F$13-'DPI art.191'!$G$13)/4)*(P90-O90-2)),('DPI art.191'!$G$13-(('DPI art.191'!$G$13-'DPI art.191'!$H$13)/8)*(P90-O90-2))))</f>
        <v/>
      </c>
      <c r="BK90" s="24">
        <f>O90-BJ90</f>
        <v/>
      </c>
      <c r="BL90" s="24">
        <f>IF(T90&lt;135,T90,T90-'DPI art.191'!$I$13)</f>
        <v/>
      </c>
      <c r="BM90" s="111">
        <f>IF(O90&lt;80,"0",IF((P90-O90)&lt;=2,('DPI art.191'!$G$15-(('DPI art.191'!$F$15-'DPI art.191'!$G$15)/4)*(P90-O90-2)),('DPI art.191'!$G$15-(('DPI art.191'!$G$15-'DPI art.191'!$H$15)/8)*(P90-O90-2))))</f>
        <v/>
      </c>
      <c r="BN90" s="24">
        <f>O90-BM90</f>
        <v/>
      </c>
      <c r="BO90" s="24">
        <f>IF(Z90&lt;135,Z90,Z90-'DPI art.191'!$I$15)</f>
        <v/>
      </c>
      <c r="BP90" s="108">
        <f>10^(0.1*R90)</f>
        <v/>
      </c>
      <c r="BQ90" s="108">
        <f>10^(0.1*X90)</f>
        <v/>
      </c>
      <c r="BR90" s="108">
        <f>10^(0.1*AB90)</f>
        <v/>
      </c>
      <c r="BS90" s="108">
        <f>10^(0.1*AF90)</f>
        <v/>
      </c>
      <c r="BT90" s="108">
        <f>10^(0.1*AJ90)</f>
        <v/>
      </c>
      <c r="BU90" s="108">
        <f>10^(0.1*AN90)</f>
        <v/>
      </c>
      <c r="BV90" s="106">
        <f>IF(R90&gt;0,(O90-R90),"")</f>
        <v/>
      </c>
      <c r="BW90" s="106">
        <f>IF(X90&gt;0,(O90-X90),"")</f>
        <v/>
      </c>
      <c r="BX90" s="106">
        <f>IF(AB90&gt;0,(O90-AB90),"")</f>
        <v/>
      </c>
      <c r="BY90" s="106">
        <f>IF(AF90&gt;0,(O90-AF90),"")</f>
        <v/>
      </c>
      <c r="BZ90" s="106">
        <f>IF(AJ90&gt;0,(O90-AJ90),"")</f>
        <v/>
      </c>
      <c r="CA90" s="106">
        <f>IF(AN90&gt;0,(O90-AN90),"")</f>
        <v/>
      </c>
      <c r="CB90" s="106">
        <f>COUNT(BV90:CA90)</f>
        <v/>
      </c>
      <c r="CC90" s="464">
        <f>IF(CB90=0,0,IF(CB90=1,0,1/(CB90*(CB90-1))))</f>
        <v/>
      </c>
      <c r="CD90" s="136">
        <f>IF(R90&gt;0,(BV90^2),"")</f>
        <v/>
      </c>
      <c r="CE90" s="136">
        <f>IF(X90&gt;0,(BW90^2),"")</f>
        <v/>
      </c>
      <c r="CF90" s="136">
        <f>IF(AB90&gt;0,(BX90^2),"")</f>
        <v/>
      </c>
      <c r="CG90" s="136">
        <f>IF(AF90&gt;0,(BY90^2),"")</f>
        <v/>
      </c>
      <c r="CH90" s="136">
        <f>IF(AJ90&gt;0,(BZ90^2),"")</f>
        <v/>
      </c>
      <c r="CI90" s="136">
        <f>IF(AN90&gt;0,(CA90^2),"")</f>
        <v/>
      </c>
    </row>
    <row r="91" ht="18.75" customHeight="1" s="444">
      <c r="A91" s="340" t="inlineStr">
        <is>
          <t>017/0914</t>
        </is>
      </c>
      <c r="B91" s="65" t="inlineStr">
        <is>
          <t>W31</t>
        </is>
      </c>
      <c r="C91" s="78" t="inlineStr">
        <is>
          <t>Taglio con mola piccola</t>
        </is>
      </c>
      <c r="D91" s="83" t="inlineStr">
        <is>
          <t>/</t>
        </is>
      </c>
      <c r="E91" s="83" t="inlineStr">
        <is>
          <t>/</t>
        </is>
      </c>
      <c r="F91" s="78" t="inlineStr">
        <is>
          <t>Taglio con mola piccola</t>
        </is>
      </c>
      <c r="G91" s="71" t="n">
        <v>46003</v>
      </c>
      <c r="H91" s="77" t="inlineStr">
        <is>
          <t>Compito</t>
        </is>
      </c>
      <c r="I91" s="77">
        <f>IF((V91-R91)&gt;3,"SI","")</f>
        <v/>
      </c>
      <c r="J91" s="77" t="inlineStr">
        <is>
          <t>SI</t>
        </is>
      </c>
      <c r="K91" s="77" t="n"/>
      <c r="L91" s="77" t="n"/>
      <c r="M91" s="137">
        <f>IF(R91&gt;0,(SQRT(CC91*(SUM(CD91:CI91)))),"")</f>
        <v/>
      </c>
      <c r="N91" s="4">
        <f>IF(T91&gt;0,(MAX(T91,Z91,AD91,AH91,AL91,AP91))+SQRT(1.2^2+1^2),"")</f>
        <v/>
      </c>
      <c r="O91" s="3">
        <f>IF(R91="",0,10*LOG10(SUM(BP91:BU91)/(COUNT(R91,X91,AB91,AF91,AJ91,AN91))))</f>
        <v/>
      </c>
      <c r="P91" s="5">
        <f>IF(AND(Y91="",AC91="",AG91="",AK91="",AO91=""),S91,AVERAGE(S91,Y91,AC91,AG91,AK91,AO91)+STDEV(S91,Y91,AC91,AG91,AK91,AO91))</f>
        <v/>
      </c>
      <c r="Q91" s="14" t="n">
        <v>300</v>
      </c>
      <c r="R91" s="11" t="n">
        <v>109.1</v>
      </c>
      <c r="S91" s="12" t="n">
        <v>107.4</v>
      </c>
      <c r="T91" s="13" t="n">
        <v>126.4</v>
      </c>
      <c r="U91" s="79" t="n"/>
      <c r="V91" s="79" t="n"/>
      <c r="W91" s="10" t="n">
        <v>300</v>
      </c>
      <c r="X91" s="11" t="n">
        <v>108.6</v>
      </c>
      <c r="Y91" s="12" t="n">
        <v>107</v>
      </c>
      <c r="Z91" s="13" t="n">
        <v>124.9</v>
      </c>
      <c r="AA91" s="10" t="n">
        <v>300</v>
      </c>
      <c r="AB91" s="11" t="n">
        <v>109.2</v>
      </c>
      <c r="AC91" s="12" t="n">
        <v>107.5</v>
      </c>
      <c r="AD91" s="13" t="n">
        <v>124</v>
      </c>
      <c r="AE91" s="14" t="n">
        <v>300</v>
      </c>
      <c r="AF91" s="11" t="n">
        <v>109.1</v>
      </c>
      <c r="AG91" s="12" t="n">
        <v>107.4</v>
      </c>
      <c r="AH91" s="13" t="n">
        <v>124.2</v>
      </c>
      <c r="AI91" s="10" t="n">
        <v>300</v>
      </c>
      <c r="AJ91" s="11" t="n">
        <v>108.2</v>
      </c>
      <c r="AK91" s="12" t="n">
        <v>106.5</v>
      </c>
      <c r="AL91" s="13" t="n">
        <v>123.6</v>
      </c>
      <c r="AM91" s="10" t="n">
        <v>300</v>
      </c>
      <c r="AN91" s="11" t="n">
        <v>106.5</v>
      </c>
      <c r="AO91" s="12" t="n">
        <v>104.9</v>
      </c>
      <c r="AP91" s="13" t="n">
        <v>122.6</v>
      </c>
      <c r="AQ91" s="6">
        <f>IF(AND((O91)&lt;85,N91&lt;137),"NO","SI")</f>
        <v/>
      </c>
      <c r="AR91" s="7">
        <f>IF((480*(10^(7.95-(O91/10))))&lt;480,480*(10^(7.95-(O91/10))),480)</f>
        <v/>
      </c>
      <c r="AS91" s="8">
        <f>IF((480*(10^(8.45-(O91/10))))&lt;480,480*(10^(8.45-(O91/10))),480)</f>
        <v/>
      </c>
      <c r="AT91" s="9">
        <f>IF((480*(10^(8.65-(O91/10))))&lt;480,480*(10^(8.65-(O91/10))),480)</f>
        <v/>
      </c>
      <c r="AU91" s="111">
        <f>IF(O91&lt;80,"0",IF((P91-O91)&lt;=2,('DPI art.191'!$G$3-(('DPI art.191'!$F$3-'DPI art.191'!$G$3)/4)*(P91-O91-2)),('DPI art.191'!$G$3-(('DPI art.191'!$G$3-'DPI art.191'!$H$3)/8)*(P91-O91-2))))</f>
        <v/>
      </c>
      <c r="AV91" s="24">
        <f>O91-AU91</f>
        <v/>
      </c>
      <c r="AW91" s="24">
        <f>IF(N91&lt;135,N91,N91-'DPI art.191'!$I$3)</f>
        <v/>
      </c>
      <c r="AX91" s="111">
        <f>IF(O91&lt;80,"0",IF((P91-O91)&lt;=2,('DPI art.191'!$G$5-(('DPI art.191'!$F$5-'DPI art.191'!$G$5)/4)*(P91-O91-2)),('DPI art.191'!$G$5-(('DPI art.191'!$G$5-'DPI art.191'!$H$5)/8)*(P91-O91-2))))</f>
        <v/>
      </c>
      <c r="AY91" s="24">
        <f>O91-AX91</f>
        <v/>
      </c>
      <c r="AZ91" s="24">
        <f>IF(N91&lt;135,N91,N91-'DPI art.191'!$I$5)</f>
        <v/>
      </c>
      <c r="BA91" s="111">
        <f>IF(O91&lt;80,"0",IF((P91-O91)&lt;=2,('DPI art.191'!$G$7-(('DPI art.191'!$F$7-'DPI art.191'!$G$7)/4)*(P91-O91-2)),('DPI art.191'!$G$7-(('DPI art.191'!$G$7-'DPI art.191'!$H$7)/8)*(P91-O91-2))))</f>
        <v/>
      </c>
      <c r="BB91" s="24">
        <f>O91-BA91</f>
        <v/>
      </c>
      <c r="BC91" s="24">
        <f>IF(N91&lt;135,N91,N91-'DPI art.191'!$I$7)</f>
        <v/>
      </c>
      <c r="BD91" s="111">
        <f>IF(O91&lt;80,"0",IF((P91-O91)&lt;=2,('DPI art.191'!$G$9-(('DPI art.191'!$F$9-'DPI art.191'!$G$9)/4)*(O91-P91-2)),('DPI art.191'!$G$9-(('DPI art.191'!$G$9-'DPI art.191'!$H$9)/8)*(P91-O91-2))))</f>
        <v/>
      </c>
      <c r="BE91" s="24">
        <f>O91-BD91</f>
        <v/>
      </c>
      <c r="BF91" s="24">
        <f>IF(N91&lt;135,N91,N91-'DPI art.191'!$I$9)</f>
        <v/>
      </c>
      <c r="BG91" s="111">
        <f>IF(O91&lt;80,"0",IF((P91-O91)&lt;=2,('DPI art.191'!$G$11-(('DPI art.191'!$F$11-'DPI art.191'!$G$11)/4)*(P91-O91-2)),('DPI art.191'!$G$11-(('DPI art.191'!$G$11-'DPI art.191'!$H$11)/8)*(P91-O91-2))))</f>
        <v/>
      </c>
      <c r="BH91" s="24">
        <f>O91-BG91</f>
        <v/>
      </c>
      <c r="BI91" s="24">
        <f>IF(T91&lt;135,T91,T91-'DPI art.191'!$I$11)</f>
        <v/>
      </c>
      <c r="BJ91" s="111">
        <f>IF(O91&lt;80,"0",IF((P91-O91)&lt;=2,('DPI art.191'!$G$13-(('DPI art.191'!$F$13-'DPI art.191'!$G$13)/4)*(P91-O91-2)),('DPI art.191'!$G$13-(('DPI art.191'!$G$13-'DPI art.191'!$H$13)/8)*(P91-O91-2))))</f>
        <v/>
      </c>
      <c r="BK91" s="24">
        <f>O91-BJ91</f>
        <v/>
      </c>
      <c r="BL91" s="24">
        <f>IF(T91&lt;135,T91,T91-'DPI art.191'!$I$13)</f>
        <v/>
      </c>
      <c r="BM91" s="111">
        <f>IF(O91&lt;80,"0",IF((P91-O91)&lt;=2,('DPI art.191'!$G$15-(('DPI art.191'!$F$15-'DPI art.191'!$G$15)/4)*(P91-O91-2)),('DPI art.191'!$G$15-(('DPI art.191'!$G$15-'DPI art.191'!$H$15)/8)*(P91-O91-2))))</f>
        <v/>
      </c>
      <c r="BN91" s="24">
        <f>O91-BM91</f>
        <v/>
      </c>
      <c r="BO91" s="24">
        <f>IF(Z91&lt;135,Z91,Z91-'DPI art.191'!$I$15)</f>
        <v/>
      </c>
      <c r="BP91" s="108">
        <f>10^(0.1*R91)</f>
        <v/>
      </c>
      <c r="BQ91" s="108">
        <f>10^(0.1*X91)</f>
        <v/>
      </c>
      <c r="BR91" s="108">
        <f>10^(0.1*AB91)</f>
        <v/>
      </c>
      <c r="BS91" s="108">
        <f>10^(0.1*AF91)</f>
        <v/>
      </c>
      <c r="BT91" s="108">
        <f>10^(0.1*AJ91)</f>
        <v/>
      </c>
      <c r="BU91" s="108">
        <f>10^(0.1*AN91)</f>
        <v/>
      </c>
      <c r="BV91" s="106">
        <f>IF(R91&gt;0,(O91-R91),"")</f>
        <v/>
      </c>
      <c r="BW91" s="106">
        <f>IF(X91&gt;0,(O91-X91),"")</f>
        <v/>
      </c>
      <c r="BX91" s="106">
        <f>IF(AB91&gt;0,(O91-AB91),"")</f>
        <v/>
      </c>
      <c r="BY91" s="106">
        <f>IF(AF91&gt;0,(O91-AF91),"")</f>
        <v/>
      </c>
      <c r="BZ91" s="106">
        <f>IF(AJ91&gt;0,(O91-AJ91),"")</f>
        <v/>
      </c>
      <c r="CA91" s="106">
        <f>IF(AN91&gt;0,(O91-AN91),"")</f>
        <v/>
      </c>
      <c r="CB91" s="106">
        <f>COUNT(BV91:CA91)</f>
        <v/>
      </c>
      <c r="CC91" s="464">
        <f>IF(CB91=0,0,IF(CB91=1,0,1/(CB91*(CB91-1))))</f>
        <v/>
      </c>
      <c r="CD91" s="136">
        <f>IF(R91&gt;0,(BV91^2),"")</f>
        <v/>
      </c>
      <c r="CE91" s="136">
        <f>IF(X91&gt;0,(BW91^2),"")</f>
        <v/>
      </c>
      <c r="CF91" s="136">
        <f>IF(AB91&gt;0,(BX91^2),"")</f>
        <v/>
      </c>
      <c r="CG91" s="136">
        <f>IF(AF91&gt;0,(BY91^2),"")</f>
        <v/>
      </c>
      <c r="CH91" s="136">
        <f>IF(AJ91&gt;0,(BZ91^2),"")</f>
        <v/>
      </c>
      <c r="CI91" s="136">
        <f>IF(AN91&gt;0,(CA91^2),"")</f>
        <v/>
      </c>
    </row>
    <row r="92" ht="25.5" customHeight="1" s="444">
      <c r="A92" s="340" t="inlineStr">
        <is>
          <t>017/0914</t>
        </is>
      </c>
      <c r="B92" s="65" t="inlineStr">
        <is>
          <t>W32</t>
        </is>
      </c>
      <c r="C92" s="78" t="inlineStr">
        <is>
          <t>Molatura con mola piccola sgrosso</t>
        </is>
      </c>
      <c r="D92" s="83" t="inlineStr">
        <is>
          <t>/</t>
        </is>
      </c>
      <c r="E92" s="83" t="inlineStr">
        <is>
          <t>/</t>
        </is>
      </c>
      <c r="F92" s="78" t="inlineStr">
        <is>
          <t>Molatura con mola piccola sgrosso</t>
        </is>
      </c>
      <c r="G92" s="71" t="n">
        <v>46003</v>
      </c>
      <c r="H92" s="77" t="inlineStr">
        <is>
          <t>Compito</t>
        </is>
      </c>
      <c r="I92" s="77">
        <f>IF((V92-R92)&gt;3,"SI","")</f>
        <v/>
      </c>
      <c r="J92" s="77" t="inlineStr">
        <is>
          <t>SI</t>
        </is>
      </c>
      <c r="K92" s="77" t="n"/>
      <c r="L92" s="77" t="n"/>
      <c r="M92" s="137">
        <f>IF(R92&gt;0,(SQRT(CC92*(SUM(CD92:CI92)))),"")</f>
        <v/>
      </c>
      <c r="N92" s="4">
        <f>IF(T92&gt;0,(MAX(T92,Z92,AD92,AH92,AL92,AP92))+SQRT(1.2^2+1^2),"")</f>
        <v/>
      </c>
      <c r="O92" s="3">
        <f>IF(R92="",0,10*LOG10(SUM(BP92:BU92)/(COUNT(R92,X92,AB92,AF92,AJ92,AN92))))</f>
        <v/>
      </c>
      <c r="P92" s="5">
        <f>IF(AND(Y92="",AC92="",AG92="",AK92="",AO92=""),S92,AVERAGE(S92,Y92,AC92,AG92,AK92,AO92)+STDEV(S92,Y92,AC92,AG92,AK92,AO92))</f>
        <v/>
      </c>
      <c r="Q92" s="14" t="n">
        <v>300</v>
      </c>
      <c r="R92" s="11" t="n">
        <v>105.4</v>
      </c>
      <c r="S92" s="12" t="n">
        <v>103.9</v>
      </c>
      <c r="T92" s="13" t="n">
        <v>121.1</v>
      </c>
      <c r="U92" s="79" t="n"/>
      <c r="V92" s="79" t="n"/>
      <c r="W92" s="10" t="n">
        <v>300</v>
      </c>
      <c r="X92" s="11" t="n">
        <v>104.3</v>
      </c>
      <c r="Y92" s="12" t="n">
        <v>102.8</v>
      </c>
      <c r="Z92" s="13" t="n">
        <v>120.1</v>
      </c>
      <c r="AA92" s="10" t="n">
        <v>300</v>
      </c>
      <c r="AB92" s="11" t="n">
        <v>109.4</v>
      </c>
      <c r="AC92" s="12" t="n">
        <v>107.8</v>
      </c>
      <c r="AD92" s="13" t="n">
        <v>123</v>
      </c>
      <c r="AE92" s="14" t="n">
        <v>300</v>
      </c>
      <c r="AF92" s="11" t="n">
        <v>106.9</v>
      </c>
      <c r="AG92" s="12" t="n">
        <v>105.3</v>
      </c>
      <c r="AH92" s="13" t="n">
        <v>122.5</v>
      </c>
      <c r="AI92" s="10" t="n">
        <v>300</v>
      </c>
      <c r="AJ92" s="11" t="n">
        <v>106.6</v>
      </c>
      <c r="AK92" s="12" t="n">
        <v>105.1</v>
      </c>
      <c r="AL92" s="13" t="n">
        <v>120.2</v>
      </c>
      <c r="AM92" s="10" t="n">
        <v>300</v>
      </c>
      <c r="AN92" s="11" t="n">
        <v>106.7</v>
      </c>
      <c r="AO92" s="12" t="n">
        <v>105.2</v>
      </c>
      <c r="AP92" s="13" t="n">
        <v>120.8</v>
      </c>
      <c r="AQ92" s="6">
        <f>IF(AND((O92)&lt;85,N92&lt;137),"NO","SI")</f>
        <v/>
      </c>
      <c r="AR92" s="7">
        <f>IF((480*(10^(7.95-(O92/10))))&lt;480,480*(10^(7.95-(O92/10))),480)</f>
        <v/>
      </c>
      <c r="AS92" s="8">
        <f>IF((480*(10^(8.45-(O92/10))))&lt;480,480*(10^(8.45-(O92/10))),480)</f>
        <v/>
      </c>
      <c r="AT92" s="9">
        <f>IF((480*(10^(8.65-(O92/10))))&lt;480,480*(10^(8.65-(O92/10))),480)</f>
        <v/>
      </c>
      <c r="AU92" s="111">
        <f>IF(O92&lt;80,"0",IF((P92-O92)&lt;=2,('DPI art.191'!$G$3-(('DPI art.191'!$F$3-'DPI art.191'!$G$3)/4)*(P92-O92-2)),('DPI art.191'!$G$3-(('DPI art.191'!$G$3-'DPI art.191'!$H$3)/8)*(P92-O92-2))))</f>
        <v/>
      </c>
      <c r="AV92" s="24">
        <f>O92-AU92</f>
        <v/>
      </c>
      <c r="AW92" s="24">
        <f>IF(N92&lt;135,N92,N92-'DPI art.191'!$I$3)</f>
        <v/>
      </c>
      <c r="AX92" s="111">
        <f>IF(O92&lt;80,"0",IF((P92-O92)&lt;=2,('DPI art.191'!$G$5-(('DPI art.191'!$F$5-'DPI art.191'!$G$5)/4)*(P92-O92-2)),('DPI art.191'!$G$5-(('DPI art.191'!$G$5-'DPI art.191'!$H$5)/8)*(P92-O92-2))))</f>
        <v/>
      </c>
      <c r="AY92" s="24">
        <f>O92-AX92</f>
        <v/>
      </c>
      <c r="AZ92" s="24">
        <f>IF(N92&lt;135,N92,N92-'DPI art.191'!$I$5)</f>
        <v/>
      </c>
      <c r="BA92" s="111">
        <f>IF(O92&lt;80,"0",IF((P92-O92)&lt;=2,('DPI art.191'!$G$7-(('DPI art.191'!$F$7-'DPI art.191'!$G$7)/4)*(P92-O92-2)),('DPI art.191'!$G$7-(('DPI art.191'!$G$7-'DPI art.191'!$H$7)/8)*(P92-O92-2))))</f>
        <v/>
      </c>
      <c r="BB92" s="24">
        <f>O92-BA92</f>
        <v/>
      </c>
      <c r="BC92" s="24">
        <f>IF(N92&lt;135,N92,N92-'DPI art.191'!$I$7)</f>
        <v/>
      </c>
      <c r="BD92" s="111">
        <f>IF(O92&lt;80,"0",IF((P92-O92)&lt;=2,('DPI art.191'!$G$9-(('DPI art.191'!$F$9-'DPI art.191'!$G$9)/4)*(O92-P92-2)),('DPI art.191'!$G$9-(('DPI art.191'!$G$9-'DPI art.191'!$H$9)/8)*(P92-O92-2))))</f>
        <v/>
      </c>
      <c r="BE92" s="24">
        <f>O92-BD92</f>
        <v/>
      </c>
      <c r="BF92" s="24">
        <f>IF(N92&lt;135,N92,N92-'DPI art.191'!$I$9)</f>
        <v/>
      </c>
      <c r="BG92" s="111">
        <f>IF(O92&lt;80,"0",IF((P92-O92)&lt;=2,('DPI art.191'!$G$11-(('DPI art.191'!$F$11-'DPI art.191'!$G$11)/4)*(P92-O92-2)),('DPI art.191'!$G$11-(('DPI art.191'!$G$11-'DPI art.191'!$H$11)/8)*(P92-O92-2))))</f>
        <v/>
      </c>
      <c r="BH92" s="24">
        <f>O92-BG92</f>
        <v/>
      </c>
      <c r="BI92" s="24">
        <f>IF(T92&lt;135,T92,T92-'DPI art.191'!$I$11)</f>
        <v/>
      </c>
      <c r="BJ92" s="111">
        <f>IF(O92&lt;80,"0",IF((P92-O92)&lt;=2,('DPI art.191'!$G$13-(('DPI art.191'!$F$13-'DPI art.191'!$G$13)/4)*(P92-O92-2)),('DPI art.191'!$G$13-(('DPI art.191'!$G$13-'DPI art.191'!$H$13)/8)*(P92-O92-2))))</f>
        <v/>
      </c>
      <c r="BK92" s="24">
        <f>O92-BJ92</f>
        <v/>
      </c>
      <c r="BL92" s="24">
        <f>IF(T92&lt;135,T92,T92-'DPI art.191'!$I$13)</f>
        <v/>
      </c>
      <c r="BM92" s="111">
        <f>IF(O92&lt;80,"0",IF((P92-O92)&lt;=2,('DPI art.191'!$G$15-(('DPI art.191'!$F$15-'DPI art.191'!$G$15)/4)*(P92-O92-2)),('DPI art.191'!$G$15-(('DPI art.191'!$G$15-'DPI art.191'!$H$15)/8)*(P92-O92-2))))</f>
        <v/>
      </c>
      <c r="BN92" s="24">
        <f>O92-BM92</f>
        <v/>
      </c>
      <c r="BO92" s="24">
        <f>IF(Z92&lt;135,Z92,Z92-'DPI art.191'!$I$15)</f>
        <v/>
      </c>
      <c r="BP92" s="108">
        <f>10^(0.1*R92)</f>
        <v/>
      </c>
      <c r="BQ92" s="108">
        <f>10^(0.1*X92)</f>
        <v/>
      </c>
      <c r="BR92" s="108">
        <f>10^(0.1*AB92)</f>
        <v/>
      </c>
      <c r="BS92" s="108">
        <f>10^(0.1*AF92)</f>
        <v/>
      </c>
      <c r="BT92" s="108">
        <f>10^(0.1*AJ92)</f>
        <v/>
      </c>
      <c r="BU92" s="108">
        <f>10^(0.1*AN92)</f>
        <v/>
      </c>
      <c r="BV92" s="106">
        <f>IF(R92&gt;0,(O92-R92),"")</f>
        <v/>
      </c>
      <c r="BW92" s="106">
        <f>IF(X92&gt;0,(O92-X92),"")</f>
        <v/>
      </c>
      <c r="BX92" s="106">
        <f>IF(AB92&gt;0,(O92-AB92),"")</f>
        <v/>
      </c>
      <c r="BY92" s="106">
        <f>IF(AF92&gt;0,(O92-AF92),"")</f>
        <v/>
      </c>
      <c r="BZ92" s="106">
        <f>IF(AJ92&gt;0,(O92-AJ92),"")</f>
        <v/>
      </c>
      <c r="CA92" s="106">
        <f>IF(AN92&gt;0,(O92-AN92),"")</f>
        <v/>
      </c>
      <c r="CB92" s="106">
        <f>COUNT(BV92:CA92)</f>
        <v/>
      </c>
      <c r="CC92" s="464">
        <f>IF(CB92=0,0,IF(CB92=1,0,1/(CB92*(CB92-1))))</f>
        <v/>
      </c>
      <c r="CD92" s="136">
        <f>IF(R92&gt;0,(BV92^2),"")</f>
        <v/>
      </c>
      <c r="CE92" s="136">
        <f>IF(X92&gt;0,(BW92^2),"")</f>
        <v/>
      </c>
      <c r="CF92" s="136">
        <f>IF(AB92&gt;0,(BX92^2),"")</f>
        <v/>
      </c>
      <c r="CG92" s="136">
        <f>IF(AF92&gt;0,(BY92^2),"")</f>
        <v/>
      </c>
      <c r="CH92" s="136">
        <f>IF(AJ92&gt;0,(BZ92^2),"")</f>
        <v/>
      </c>
      <c r="CI92" s="136">
        <f>IF(AN92&gt;0,(CA92^2),"")</f>
        <v/>
      </c>
    </row>
    <row r="93" ht="25.5" customHeight="1" s="444">
      <c r="A93" s="340" t="inlineStr">
        <is>
          <t>017/0914</t>
        </is>
      </c>
      <c r="B93" s="65" t="inlineStr">
        <is>
          <t>W33</t>
        </is>
      </c>
      <c r="C93" s="78" t="inlineStr">
        <is>
          <t>Molatura con mola piccola lamellare</t>
        </is>
      </c>
      <c r="D93" s="83" t="inlineStr">
        <is>
          <t>/</t>
        </is>
      </c>
      <c r="E93" s="83" t="inlineStr">
        <is>
          <t>/</t>
        </is>
      </c>
      <c r="F93" s="78" t="inlineStr">
        <is>
          <t>Molatura con mola piccola lamellare</t>
        </is>
      </c>
      <c r="G93" s="71" t="n">
        <v>46003</v>
      </c>
      <c r="H93" s="77" t="inlineStr">
        <is>
          <t>Compito</t>
        </is>
      </c>
      <c r="I93" s="77">
        <f>IF((V93-R93)&gt;3,"SI","")</f>
        <v/>
      </c>
      <c r="J93" s="77" t="inlineStr">
        <is>
          <t>SI</t>
        </is>
      </c>
      <c r="K93" s="77" t="n"/>
      <c r="L93" s="77" t="n"/>
      <c r="M93" s="137">
        <f>IF(R93&gt;0,(SQRT(CC93*(SUM(CD93:CI93)))),"")</f>
        <v/>
      </c>
      <c r="N93" s="4">
        <f>IF(T93&gt;0,(MAX(T93,Z93,AD93,AH93,AL93,AP93))+SQRT(1.2^2+1^2),"")</f>
        <v/>
      </c>
      <c r="O93" s="3">
        <f>IF(R93="",0,10*LOG10(SUM(BP93:BU93)/(COUNT(R93,X93,AB93,AF93,AJ93,AN93))))</f>
        <v/>
      </c>
      <c r="P93" s="5">
        <f>IF(AND(Y93="",AC93="",AG93="",AK93="",AO93=""),S93,AVERAGE(S93,Y93,AC93,AG93,AK93,AO93)+STDEV(S93,Y93,AC93,AG93,AK93,AO93))</f>
        <v/>
      </c>
      <c r="Q93" s="14" t="n">
        <v>300</v>
      </c>
      <c r="R93" s="11" t="n">
        <v>108.8</v>
      </c>
      <c r="S93" s="12" t="n">
        <v>107.2</v>
      </c>
      <c r="T93" s="13" t="n">
        <v>124.9</v>
      </c>
      <c r="U93" s="79" t="n"/>
      <c r="V93" s="79" t="n"/>
      <c r="W93" s="10" t="n">
        <v>300</v>
      </c>
      <c r="X93" s="11" t="n">
        <v>107.8</v>
      </c>
      <c r="Y93" s="12" t="n">
        <v>106.2</v>
      </c>
      <c r="Z93" s="13" t="n">
        <v>123.7</v>
      </c>
      <c r="AA93" s="10" t="n">
        <v>300</v>
      </c>
      <c r="AB93" s="11" t="n">
        <v>109.2</v>
      </c>
      <c r="AC93" s="12" t="n">
        <v>107.7</v>
      </c>
      <c r="AD93" s="13" t="n">
        <v>124.4</v>
      </c>
      <c r="AE93" s="14" t="n">
        <v>300</v>
      </c>
      <c r="AF93" s="11" t="n">
        <v>108.8</v>
      </c>
      <c r="AG93" s="12" t="n">
        <v>107.2</v>
      </c>
      <c r="AH93" s="13" t="n">
        <v>124.9</v>
      </c>
      <c r="AI93" s="10" t="n">
        <v>300</v>
      </c>
      <c r="AJ93" s="11" t="n">
        <v>110.2</v>
      </c>
      <c r="AK93" s="12" t="n">
        <v>108.6</v>
      </c>
      <c r="AL93" s="13" t="n">
        <v>125.2</v>
      </c>
      <c r="AM93" s="10" t="n">
        <v>300</v>
      </c>
      <c r="AN93" s="11" t="n">
        <v>109.8</v>
      </c>
      <c r="AO93" s="12" t="n">
        <v>108.2</v>
      </c>
      <c r="AP93" s="13" t="n">
        <v>125.3</v>
      </c>
      <c r="AQ93" s="6">
        <f>IF(AND((O93)&lt;85,N93&lt;137),"NO","SI")</f>
        <v/>
      </c>
      <c r="AR93" s="7">
        <f>IF((480*(10^(7.95-(O93/10))))&lt;480,480*(10^(7.95-(O93/10))),480)</f>
        <v/>
      </c>
      <c r="AS93" s="8">
        <f>IF((480*(10^(8.45-(O93/10))))&lt;480,480*(10^(8.45-(O93/10))),480)</f>
        <v/>
      </c>
      <c r="AT93" s="9">
        <f>IF((480*(10^(8.65-(O93/10))))&lt;480,480*(10^(8.65-(O93/10))),480)</f>
        <v/>
      </c>
      <c r="AU93" s="111">
        <f>IF(O93&lt;80,"0",IF((P93-O93)&lt;=2,('DPI art.191'!$G$3-(('DPI art.191'!$F$3-'DPI art.191'!$G$3)/4)*(P93-O93-2)),('DPI art.191'!$G$3-(('DPI art.191'!$G$3-'DPI art.191'!$H$3)/8)*(P93-O93-2))))</f>
        <v/>
      </c>
      <c r="AV93" s="24">
        <f>O93-AU93</f>
        <v/>
      </c>
      <c r="AW93" s="24">
        <f>IF(N93&lt;135,N93,N93-'DPI art.191'!$I$3)</f>
        <v/>
      </c>
      <c r="AX93" s="111">
        <f>IF(O93&lt;80,"0",IF((P93-O93)&lt;=2,('DPI art.191'!$G$5-(('DPI art.191'!$F$5-'DPI art.191'!$G$5)/4)*(P93-O93-2)),('DPI art.191'!$G$5-(('DPI art.191'!$G$5-'DPI art.191'!$H$5)/8)*(P93-O93-2))))</f>
        <v/>
      </c>
      <c r="AY93" s="24">
        <f>O93-AX93</f>
        <v/>
      </c>
      <c r="AZ93" s="24">
        <f>IF(N93&lt;135,N93,N93-'DPI art.191'!$I$5)</f>
        <v/>
      </c>
      <c r="BA93" s="111">
        <f>IF(O93&lt;80,"0",IF((P93-O93)&lt;=2,('DPI art.191'!$G$7-(('DPI art.191'!$F$7-'DPI art.191'!$G$7)/4)*(P93-O93-2)),('DPI art.191'!$G$7-(('DPI art.191'!$G$7-'DPI art.191'!$H$7)/8)*(P93-O93-2))))</f>
        <v/>
      </c>
      <c r="BB93" s="24">
        <f>O93-BA93</f>
        <v/>
      </c>
      <c r="BC93" s="24">
        <f>IF(N93&lt;135,N93,N93-'DPI art.191'!$I$7)</f>
        <v/>
      </c>
      <c r="BD93" s="111">
        <f>IF(O93&lt;80,"0",IF((P93-O93)&lt;=2,('DPI art.191'!$G$9-(('DPI art.191'!$F$9-'DPI art.191'!$G$9)/4)*(O93-P93-2)),('DPI art.191'!$G$9-(('DPI art.191'!$G$9-'DPI art.191'!$H$9)/8)*(P93-O93-2))))</f>
        <v/>
      </c>
      <c r="BE93" s="24">
        <f>O93-BD93</f>
        <v/>
      </c>
      <c r="BF93" s="24">
        <f>IF(N93&lt;135,N93,N93-'DPI art.191'!$I$9)</f>
        <v/>
      </c>
      <c r="BG93" s="111">
        <f>IF(O93&lt;80,"0",IF((P93-O93)&lt;=2,('DPI art.191'!$G$11-(('DPI art.191'!$F$11-'DPI art.191'!$G$11)/4)*(P93-O93-2)),('DPI art.191'!$G$11-(('DPI art.191'!$G$11-'DPI art.191'!$H$11)/8)*(P93-O93-2))))</f>
        <v/>
      </c>
      <c r="BH93" s="24">
        <f>O93-BG93</f>
        <v/>
      </c>
      <c r="BI93" s="24">
        <f>IF(T93&lt;135,T93,T93-'DPI art.191'!$I$11)</f>
        <v/>
      </c>
      <c r="BJ93" s="111">
        <f>IF(O93&lt;80,"0",IF((P93-O93)&lt;=2,('DPI art.191'!$G$13-(('DPI art.191'!$F$13-'DPI art.191'!$G$13)/4)*(P93-O93-2)),('DPI art.191'!$G$13-(('DPI art.191'!$G$13-'DPI art.191'!$H$13)/8)*(P93-O93-2))))</f>
        <v/>
      </c>
      <c r="BK93" s="24">
        <f>O93-BJ93</f>
        <v/>
      </c>
      <c r="BL93" s="24">
        <f>IF(T93&lt;135,T93,T93-'DPI art.191'!$I$13)</f>
        <v/>
      </c>
      <c r="BM93" s="111">
        <f>IF(O93&lt;80,"0",IF((P93-O93)&lt;=2,('DPI art.191'!$G$15-(('DPI art.191'!$F$15-'DPI art.191'!$G$15)/4)*(P93-O93-2)),('DPI art.191'!$G$15-(('DPI art.191'!$G$15-'DPI art.191'!$H$15)/8)*(P93-O93-2))))</f>
        <v/>
      </c>
      <c r="BN93" s="24">
        <f>O93-BM93</f>
        <v/>
      </c>
      <c r="BO93" s="24">
        <f>IF(Z93&lt;135,Z93,Z93-'DPI art.191'!$I$15)</f>
        <v/>
      </c>
      <c r="BP93" s="108">
        <f>10^(0.1*R93)</f>
        <v/>
      </c>
      <c r="BQ93" s="108">
        <f>10^(0.1*X93)</f>
        <v/>
      </c>
      <c r="BR93" s="108">
        <f>10^(0.1*AB93)</f>
        <v/>
      </c>
      <c r="BS93" s="108">
        <f>10^(0.1*AF93)</f>
        <v/>
      </c>
      <c r="BT93" s="108">
        <f>10^(0.1*AJ93)</f>
        <v/>
      </c>
      <c r="BU93" s="108">
        <f>10^(0.1*AN93)</f>
        <v/>
      </c>
      <c r="BV93" s="106">
        <f>IF(R93&gt;0,(O93-R93),"")</f>
        <v/>
      </c>
      <c r="BW93" s="106">
        <f>IF(X93&gt;0,(O93-X93),"")</f>
        <v/>
      </c>
      <c r="BX93" s="106">
        <f>IF(AB93&gt;0,(O93-AB93),"")</f>
        <v/>
      </c>
      <c r="BY93" s="106">
        <f>IF(AF93&gt;0,(O93-AF93),"")</f>
        <v/>
      </c>
      <c r="BZ93" s="106">
        <f>IF(AJ93&gt;0,(O93-AJ93),"")</f>
        <v/>
      </c>
      <c r="CA93" s="106">
        <f>IF(AN93&gt;0,(O93-AN93),"")</f>
        <v/>
      </c>
      <c r="CB93" s="106">
        <f>COUNT(BV93:CA93)</f>
        <v/>
      </c>
      <c r="CC93" s="464">
        <f>IF(CB93=0,0,IF(CB93=1,0,1/(CB93*(CB93-1))))</f>
        <v/>
      </c>
      <c r="CD93" s="136">
        <f>IF(R93&gt;0,(BV93^2),"")</f>
        <v/>
      </c>
      <c r="CE93" s="136">
        <f>IF(X93&gt;0,(BW93^2),"")</f>
        <v/>
      </c>
      <c r="CF93" s="136">
        <f>IF(AB93&gt;0,(BX93^2),"")</f>
        <v/>
      </c>
      <c r="CG93" s="136">
        <f>IF(AF93&gt;0,(BY93^2),"")</f>
        <v/>
      </c>
      <c r="CH93" s="136">
        <f>IF(AJ93&gt;0,(BZ93^2),"")</f>
        <v/>
      </c>
      <c r="CI93" s="136">
        <f>IF(AN93&gt;0,(CA93^2),"")</f>
        <v/>
      </c>
    </row>
    <row r="94" ht="18.75" customHeight="1" s="444">
      <c r="A94" s="340" t="inlineStr">
        <is>
          <t>017/0914</t>
        </is>
      </c>
      <c r="B94" s="65" t="inlineStr">
        <is>
          <t>W34</t>
        </is>
      </c>
      <c r="C94" s="78" t="inlineStr">
        <is>
          <t>Avvitatore</t>
        </is>
      </c>
      <c r="D94" s="83" t="inlineStr">
        <is>
          <t>/</t>
        </is>
      </c>
      <c r="E94" s="83" t="inlineStr">
        <is>
          <t>/</t>
        </is>
      </c>
      <c r="F94" s="78" t="inlineStr">
        <is>
          <t>fein ascm.CMG</t>
        </is>
      </c>
      <c r="G94" s="71" t="n">
        <v>46003</v>
      </c>
      <c r="H94" s="77" t="inlineStr">
        <is>
          <t>Compito</t>
        </is>
      </c>
      <c r="I94" s="77">
        <f>IF((V94-R94)&gt;3,"SI","")</f>
        <v/>
      </c>
      <c r="J94" s="77" t="inlineStr">
        <is>
          <t>SI</t>
        </is>
      </c>
      <c r="K94" s="77" t="n"/>
      <c r="L94" s="77" t="n"/>
      <c r="M94" s="137">
        <f>IF(R94&gt;0,(SQRT(CC94*(SUM(CD94:CI94)))),"")</f>
        <v/>
      </c>
      <c r="N94" s="4">
        <f>IF(T94&gt;0,(MAX(T94,Z94,AD94,AH94,AL94,AP94))+SQRT(1.2^2+1^2),"")</f>
        <v/>
      </c>
      <c r="O94" s="3">
        <f>IF(R94="",0,10*LOG10(SUM(BP94:BU94)/(COUNT(R94,X94,AB94,AF94,AJ94,AN94))))</f>
        <v/>
      </c>
      <c r="P94" s="5">
        <f>IF(AND(Y94="",AC94="",AG94="",AK94="",AO94=""),S94,AVERAGE(S94,Y94,AC94,AG94,AK94,AO94)+STDEV(S94,Y94,AC94,AG94,AK94,AO94))</f>
        <v/>
      </c>
      <c r="Q94" s="14" t="n">
        <v>300</v>
      </c>
      <c r="R94" s="11" t="n">
        <v>86.2</v>
      </c>
      <c r="S94" s="12" t="n">
        <v>84.59999999999999</v>
      </c>
      <c r="T94" s="13" t="n">
        <v>100.7</v>
      </c>
      <c r="U94" s="79" t="n"/>
      <c r="V94" s="79" t="n"/>
      <c r="W94" s="10" t="n">
        <v>300</v>
      </c>
      <c r="X94" s="11" t="n">
        <v>86.40000000000001</v>
      </c>
      <c r="Y94" s="12" t="n">
        <v>84.7</v>
      </c>
      <c r="Z94" s="13" t="n">
        <v>113</v>
      </c>
      <c r="AA94" s="10" t="n">
        <v>300</v>
      </c>
      <c r="AB94" s="11" t="n">
        <v>85.7</v>
      </c>
      <c r="AC94" s="12" t="n">
        <v>84</v>
      </c>
      <c r="AD94" s="13" t="n">
        <v>98.09999999999999</v>
      </c>
      <c r="AE94" s="14" t="n">
        <v>300</v>
      </c>
      <c r="AF94" s="11" t="n">
        <v>85.40000000000001</v>
      </c>
      <c r="AG94" s="12" t="n">
        <v>83.7</v>
      </c>
      <c r="AH94" s="13" t="n">
        <v>98.7</v>
      </c>
      <c r="AI94" s="10" t="n">
        <v>300</v>
      </c>
      <c r="AJ94" s="11" t="n">
        <v>84.7</v>
      </c>
      <c r="AK94" s="12" t="n">
        <v>83</v>
      </c>
      <c r="AL94" s="13" t="n">
        <v>99.40000000000001</v>
      </c>
      <c r="AM94" s="10" t="n">
        <v>300</v>
      </c>
      <c r="AN94" s="11" t="n">
        <v>84.40000000000001</v>
      </c>
      <c r="AO94" s="12" t="n">
        <v>82.8</v>
      </c>
      <c r="AP94" s="13" t="n">
        <v>106.1</v>
      </c>
      <c r="AQ94" s="6">
        <f>IF(AND((O94)&lt;85,N94&lt;137),"NO","SI")</f>
        <v/>
      </c>
      <c r="AR94" s="7">
        <f>IF((480*(10^(7.95-(O94/10))))&lt;480,480*(10^(7.95-(O94/10))),480)</f>
        <v/>
      </c>
      <c r="AS94" s="8">
        <f>IF((480*(10^(8.45-(O94/10))))&lt;480,480*(10^(8.45-(O94/10))),480)</f>
        <v/>
      </c>
      <c r="AT94" s="9">
        <f>IF((480*(10^(8.65-(O94/10))))&lt;480,480*(10^(8.65-(O94/10))),480)</f>
        <v/>
      </c>
      <c r="AU94" s="111">
        <f>IF(O94&lt;80,"0",IF((P94-O94)&lt;=2,('DPI art.191'!$G$3-(('DPI art.191'!$F$3-'DPI art.191'!$G$3)/4)*(P94-O94-2)),('DPI art.191'!$G$3-(('DPI art.191'!$G$3-'DPI art.191'!$H$3)/8)*(P94-O94-2))))</f>
        <v/>
      </c>
      <c r="AV94" s="24">
        <f>O94-AU94</f>
        <v/>
      </c>
      <c r="AW94" s="24">
        <f>IF(N94&lt;135,N94,N94-'DPI art.191'!$I$3)</f>
        <v/>
      </c>
      <c r="AX94" s="111">
        <f>IF(O94&lt;80,"0",IF((P94-O94)&lt;=2,('DPI art.191'!$G$5-(('DPI art.191'!$F$5-'DPI art.191'!$G$5)/4)*(P94-O94-2)),('DPI art.191'!$G$5-(('DPI art.191'!$G$5-'DPI art.191'!$H$5)/8)*(P94-O94-2))))</f>
        <v/>
      </c>
      <c r="AY94" s="24">
        <f>O94-AX94</f>
        <v/>
      </c>
      <c r="AZ94" s="24">
        <f>IF(N94&lt;135,N94,N94-'DPI art.191'!$I$5)</f>
        <v/>
      </c>
      <c r="BA94" s="111">
        <f>IF(O94&lt;80,"0",IF((P94-O94)&lt;=2,('DPI art.191'!$G$7-(('DPI art.191'!$F$7-'DPI art.191'!$G$7)/4)*(P94-O94-2)),('DPI art.191'!$G$7-(('DPI art.191'!$G$7-'DPI art.191'!$H$7)/8)*(P94-O94-2))))</f>
        <v/>
      </c>
      <c r="BB94" s="24">
        <f>O94-BA94</f>
        <v/>
      </c>
      <c r="BC94" s="24">
        <f>IF(N94&lt;135,N94,N94-'DPI art.191'!$I$7)</f>
        <v/>
      </c>
      <c r="BD94" s="111">
        <f>IF(O94&lt;80,"0",IF((P94-O94)&lt;=2,('DPI art.191'!$G$9-(('DPI art.191'!$F$9-'DPI art.191'!$G$9)/4)*(O94-P94-2)),('DPI art.191'!$G$9-(('DPI art.191'!$G$9-'DPI art.191'!$H$9)/8)*(P94-O94-2))))</f>
        <v/>
      </c>
      <c r="BE94" s="24">
        <f>O94-BD94</f>
        <v/>
      </c>
      <c r="BF94" s="24">
        <f>IF(N94&lt;135,N94,N94-'DPI art.191'!$I$9)</f>
        <v/>
      </c>
      <c r="BG94" s="111">
        <f>IF(O94&lt;80,"0",IF((P94-O94)&lt;=2,('DPI art.191'!$G$11-(('DPI art.191'!$F$11-'DPI art.191'!$G$11)/4)*(P94-O94-2)),('DPI art.191'!$G$11-(('DPI art.191'!$G$11-'DPI art.191'!$H$11)/8)*(P94-O94-2))))</f>
        <v/>
      </c>
      <c r="BH94" s="24">
        <f>O94-BG94</f>
        <v/>
      </c>
      <c r="BI94" s="24">
        <f>IF(T94&lt;135,T94,T94-'DPI art.191'!$I$11)</f>
        <v/>
      </c>
      <c r="BJ94" s="111">
        <f>IF(O94&lt;80,"0",IF((P94-O94)&lt;=2,('DPI art.191'!$G$13-(('DPI art.191'!$F$13-'DPI art.191'!$G$13)/4)*(P94-O94-2)),('DPI art.191'!$G$13-(('DPI art.191'!$G$13-'DPI art.191'!$H$13)/8)*(P94-O94-2))))</f>
        <v/>
      </c>
      <c r="BK94" s="24">
        <f>O94-BJ94</f>
        <v/>
      </c>
      <c r="BL94" s="24">
        <f>IF(T94&lt;135,T94,T94-'DPI art.191'!$I$13)</f>
        <v/>
      </c>
      <c r="BM94" s="111">
        <f>IF(O94&lt;80,"0",IF((P94-O94)&lt;=2,('DPI art.191'!$G$15-(('DPI art.191'!$F$15-'DPI art.191'!$G$15)/4)*(P94-O94-2)),('DPI art.191'!$G$15-(('DPI art.191'!$G$15-'DPI art.191'!$H$15)/8)*(P94-O94-2))))</f>
        <v/>
      </c>
      <c r="BN94" s="24">
        <f>O94-BM94</f>
        <v/>
      </c>
      <c r="BO94" s="24">
        <f>IF(Z94&lt;135,Z94,Z94-'DPI art.191'!$I$15)</f>
        <v/>
      </c>
      <c r="BP94" s="108">
        <f>10^(0.1*R94)</f>
        <v/>
      </c>
      <c r="BQ94" s="108">
        <f>10^(0.1*X94)</f>
        <v/>
      </c>
      <c r="BR94" s="108">
        <f>10^(0.1*AB94)</f>
        <v/>
      </c>
      <c r="BS94" s="108">
        <f>10^(0.1*AF94)</f>
        <v/>
      </c>
      <c r="BT94" s="108">
        <f>10^(0.1*AJ94)</f>
        <v/>
      </c>
      <c r="BU94" s="108">
        <f>10^(0.1*AN94)</f>
        <v/>
      </c>
      <c r="BV94" s="106">
        <f>IF(R94&gt;0,(O94-R94),"")</f>
        <v/>
      </c>
      <c r="BW94" s="106">
        <f>IF(X94&gt;0,(O94-X94),"")</f>
        <v/>
      </c>
      <c r="BX94" s="106">
        <f>IF(AB94&gt;0,(O94-AB94),"")</f>
        <v/>
      </c>
      <c r="BY94" s="106">
        <f>IF(AF94&gt;0,(O94-AF94),"")</f>
        <v/>
      </c>
      <c r="BZ94" s="106">
        <f>IF(AJ94&gt;0,(O94-AJ94),"")</f>
        <v/>
      </c>
      <c r="CA94" s="106">
        <f>IF(AN94&gt;0,(O94-AN94),"")</f>
        <v/>
      </c>
      <c r="CB94" s="106">
        <f>COUNT(BV94:CA94)</f>
        <v/>
      </c>
      <c r="CC94" s="464">
        <f>IF(CB94=0,0,IF(CB94=1,0,1/(CB94*(CB94-1))))</f>
        <v/>
      </c>
      <c r="CD94" s="136">
        <f>IF(R94&gt;0,(BV94^2),"")</f>
        <v/>
      </c>
      <c r="CE94" s="136">
        <f>IF(X94&gt;0,(BW94^2),"")</f>
        <v/>
      </c>
      <c r="CF94" s="136">
        <f>IF(AB94&gt;0,(BX94^2),"")</f>
        <v/>
      </c>
      <c r="CG94" s="136">
        <f>IF(AF94&gt;0,(BY94^2),"")</f>
        <v/>
      </c>
      <c r="CH94" s="136">
        <f>IF(AJ94&gt;0,(BZ94^2),"")</f>
        <v/>
      </c>
      <c r="CI94" s="136">
        <f>IF(AN94&gt;0,(CA94^2),"")</f>
        <v/>
      </c>
    </row>
    <row r="95" ht="25.5" customHeight="1" s="444">
      <c r="A95" s="340" t="inlineStr">
        <is>
          <t>533/031</t>
        </is>
      </c>
      <c r="B95" s="65" t="inlineStr">
        <is>
          <t>W35</t>
        </is>
      </c>
      <c r="C95" s="78" t="inlineStr">
        <is>
          <t>Molatura con mola assiale sgrosso</t>
        </is>
      </c>
      <c r="D95" s="83" t="inlineStr">
        <is>
          <t>/</t>
        </is>
      </c>
      <c r="E95" s="83" t="inlineStr">
        <is>
          <t>/</t>
        </is>
      </c>
      <c r="F95" s="192" t="inlineStr">
        <is>
          <t>Molatura con mola assiale sgrosso</t>
        </is>
      </c>
      <c r="G95" s="71" t="n">
        <v>46003</v>
      </c>
      <c r="H95" s="77" t="inlineStr">
        <is>
          <t>Compito</t>
        </is>
      </c>
      <c r="I95" s="77">
        <f>IF((V95-R95)&gt;3,"SI","")</f>
        <v/>
      </c>
      <c r="J95" s="77" t="inlineStr">
        <is>
          <t>SI</t>
        </is>
      </c>
      <c r="K95" s="77" t="n"/>
      <c r="L95" s="77" t="n"/>
      <c r="M95" s="137">
        <f>IF(R95&gt;0,(SQRT(CC95*(SUM(CD95:CI95)))),"")</f>
        <v/>
      </c>
      <c r="N95" s="4">
        <f>IF(T95&gt;0,(MAX(T95,Z95,AD95,AH95,AL95,AP95))+SQRT(1.2^2+1^2),"")</f>
        <v/>
      </c>
      <c r="O95" s="3">
        <f>IF(R95="",0,10*LOG10(SUM(BP95:BU95)/(COUNT(R95,X95,AB95,AF95,AJ95,AN95))))</f>
        <v/>
      </c>
      <c r="P95" s="5">
        <f>IF(AND(Y95="",AC95="",AG95="",AK95="",AO95=""),S95,AVERAGE(S95,Y95,AC95,AG95,AK95,AO95)+STDEV(S95,Y95,AC95,AG95,AK95,AO95))</f>
        <v/>
      </c>
      <c r="Q95" s="14" t="n">
        <v>300</v>
      </c>
      <c r="R95" s="11" t="n">
        <v>95.5</v>
      </c>
      <c r="S95" s="12" t="n">
        <v>95.2</v>
      </c>
      <c r="T95" s="13" t="n">
        <v>117.1</v>
      </c>
      <c r="U95" s="79" t="n"/>
      <c r="V95" s="79" t="n"/>
      <c r="W95" s="10" t="n">
        <v>300</v>
      </c>
      <c r="X95" s="11" t="n">
        <v>98.40000000000001</v>
      </c>
      <c r="Y95" s="12" t="n">
        <v>97.40000000000001</v>
      </c>
      <c r="Z95" s="13" t="n">
        <v>113.6</v>
      </c>
      <c r="AA95" s="10" t="n">
        <v>300</v>
      </c>
      <c r="AB95" s="11" t="n">
        <v>96.90000000000001</v>
      </c>
      <c r="AC95" s="12" t="n">
        <v>96</v>
      </c>
      <c r="AD95" s="13" t="n">
        <v>113.7</v>
      </c>
      <c r="AE95" s="14" t="n">
        <v>300</v>
      </c>
      <c r="AF95" s="11" t="n">
        <v>98.7</v>
      </c>
      <c r="AG95" s="12" t="n">
        <v>97.7</v>
      </c>
      <c r="AH95" s="13" t="n">
        <v>113.1</v>
      </c>
      <c r="AI95" s="10" t="n">
        <v>300</v>
      </c>
      <c r="AJ95" s="11" t="n">
        <v>99</v>
      </c>
      <c r="AK95" s="12" t="n">
        <v>97.8</v>
      </c>
      <c r="AL95" s="13" t="n">
        <v>113.1</v>
      </c>
      <c r="AM95" s="10" t="n">
        <v>300</v>
      </c>
      <c r="AN95" s="11" t="n">
        <v>99.5</v>
      </c>
      <c r="AO95" s="12" t="n">
        <v>98.2</v>
      </c>
      <c r="AP95" s="13" t="n">
        <v>115</v>
      </c>
      <c r="AQ95" s="6">
        <f>IF(AND((O95)&lt;85,N95&lt;137),"NO","SI")</f>
        <v/>
      </c>
      <c r="AR95" s="7">
        <f>IF((480*(10^(7.95-(O95/10))))&lt;480,480*(10^(7.95-(O95/10))),480)</f>
        <v/>
      </c>
      <c r="AS95" s="8">
        <f>IF((480*(10^(8.45-(O95/10))))&lt;480,480*(10^(8.45-(O95/10))),480)</f>
        <v/>
      </c>
      <c r="AT95" s="9">
        <f>IF((480*(10^(8.65-(O95/10))))&lt;480,480*(10^(8.65-(O95/10))),480)</f>
        <v/>
      </c>
      <c r="AU95" s="111">
        <f>IF(O95&lt;80,"0",IF((P95-O95)&lt;=2,('DPI art.191'!$G$3-(('DPI art.191'!$F$3-'DPI art.191'!$G$3)/4)*(P95-O95-2)),('DPI art.191'!$G$3-(('DPI art.191'!$G$3-'DPI art.191'!$H$3)/8)*(P95-O95-2))))</f>
        <v/>
      </c>
      <c r="AV95" s="24">
        <f>O95-AU95</f>
        <v/>
      </c>
      <c r="AW95" s="24">
        <f>IF(N95&lt;135,N95,N95-'DPI art.191'!$I$3)</f>
        <v/>
      </c>
      <c r="AX95" s="111">
        <f>IF(O95&lt;80,"0",IF((P95-O95)&lt;=2,('DPI art.191'!$G$5-(('DPI art.191'!$F$5-'DPI art.191'!$G$5)/4)*(P95-O95-2)),('DPI art.191'!$G$5-(('DPI art.191'!$G$5-'DPI art.191'!$H$5)/8)*(P95-O95-2))))</f>
        <v/>
      </c>
      <c r="AY95" s="24">
        <f>O95-AX95</f>
        <v/>
      </c>
      <c r="AZ95" s="24">
        <f>IF(N95&lt;135,N95,N95-'DPI art.191'!$I$5)</f>
        <v/>
      </c>
      <c r="BA95" s="111">
        <f>IF(O95&lt;80,"0",IF((P95-O95)&lt;=2,('DPI art.191'!$G$7-(('DPI art.191'!$F$7-'DPI art.191'!$G$7)/4)*(P95-O95-2)),('DPI art.191'!$G$7-(('DPI art.191'!$G$7-'DPI art.191'!$H$7)/8)*(P95-O95-2))))</f>
        <v/>
      </c>
      <c r="BB95" s="24">
        <f>O95-BA95</f>
        <v/>
      </c>
      <c r="BC95" s="24">
        <f>IF(N95&lt;135,N95,N95-'DPI art.191'!$I$7)</f>
        <v/>
      </c>
      <c r="BD95" s="111">
        <f>IF(O95&lt;80,"0",IF((P95-O95)&lt;=2,('DPI art.191'!$G$9-(('DPI art.191'!$F$9-'DPI art.191'!$G$9)/4)*(O95-P95-2)),('DPI art.191'!$G$9-(('DPI art.191'!$G$9-'DPI art.191'!$H$9)/8)*(P95-O95-2))))</f>
        <v/>
      </c>
      <c r="BE95" s="24">
        <f>O95-BD95</f>
        <v/>
      </c>
      <c r="BF95" s="24">
        <f>IF(N95&lt;135,N95,N95-'DPI art.191'!$I$9)</f>
        <v/>
      </c>
      <c r="BG95" s="111">
        <f>IF(O95&lt;80,"0",IF((P95-O95)&lt;=2,('DPI art.191'!$G$11-(('DPI art.191'!$F$11-'DPI art.191'!$G$11)/4)*(P95-O95-2)),('DPI art.191'!$G$11-(('DPI art.191'!$G$11-'DPI art.191'!$H$11)/8)*(P95-O95-2))))</f>
        <v/>
      </c>
      <c r="BH95" s="24">
        <f>O95-BG95</f>
        <v/>
      </c>
      <c r="BI95" s="24">
        <f>IF(T95&lt;135,T95,T95-'DPI art.191'!$I$11)</f>
        <v/>
      </c>
      <c r="BJ95" s="111">
        <f>IF(O95&lt;80,"0",IF((P95-O95)&lt;=2,('DPI art.191'!$G$13-(('DPI art.191'!$F$13-'DPI art.191'!$G$13)/4)*(P95-O95-2)),('DPI art.191'!$G$13-(('DPI art.191'!$G$13-'DPI art.191'!$H$13)/8)*(P95-O95-2))))</f>
        <v/>
      </c>
      <c r="BK95" s="24">
        <f>O95-BJ95</f>
        <v/>
      </c>
      <c r="BL95" s="24">
        <f>IF(T95&lt;135,T95,T95-'DPI art.191'!$I$13)</f>
        <v/>
      </c>
      <c r="BM95" s="111">
        <f>IF(O95&lt;80,"0",IF((P95-O95)&lt;=2,('DPI art.191'!$G$15-(('DPI art.191'!$F$15-'DPI art.191'!$G$15)/4)*(P95-O95-2)),('DPI art.191'!$G$15-(('DPI art.191'!$G$15-'DPI art.191'!$H$15)/8)*(P95-O95-2))))</f>
        <v/>
      </c>
      <c r="BN95" s="24">
        <f>O95-BM95</f>
        <v/>
      </c>
      <c r="BO95" s="24">
        <f>IF(Z95&lt;135,Z95,Z95-'DPI art.191'!$I$15)</f>
        <v/>
      </c>
      <c r="BP95" s="108">
        <f>10^(0.1*R95)</f>
        <v/>
      </c>
      <c r="BQ95" s="108">
        <f>10^(0.1*X95)</f>
        <v/>
      </c>
      <c r="BR95" s="108">
        <f>10^(0.1*AB95)</f>
        <v/>
      </c>
      <c r="BS95" s="108">
        <f>10^(0.1*AF95)</f>
        <v/>
      </c>
      <c r="BT95" s="108">
        <f>10^(0.1*AJ95)</f>
        <v/>
      </c>
      <c r="BU95" s="108">
        <f>10^(0.1*AN95)</f>
        <v/>
      </c>
      <c r="BV95" s="106">
        <f>IF(R95&gt;0,(O95-R95),"")</f>
        <v/>
      </c>
      <c r="BW95" s="106">
        <f>IF(X95&gt;0,(O95-X95),"")</f>
        <v/>
      </c>
      <c r="BX95" s="106">
        <f>IF(AB95&gt;0,(O95-AB95),"")</f>
        <v/>
      </c>
      <c r="BY95" s="106">
        <f>IF(AF95&gt;0,(O95-AF95),"")</f>
        <v/>
      </c>
      <c r="BZ95" s="106">
        <f>IF(AJ95&gt;0,(O95-AJ95),"")</f>
        <v/>
      </c>
      <c r="CA95" s="106">
        <f>IF(AN95&gt;0,(O95-AN95),"")</f>
        <v/>
      </c>
      <c r="CB95" s="106">
        <f>COUNT(BV95:CA95)</f>
        <v/>
      </c>
      <c r="CC95" s="464">
        <f>IF(CB95=0,0,IF(CB95=1,0,1/(CB95*(CB95-1))))</f>
        <v/>
      </c>
      <c r="CD95" s="136">
        <f>IF(R95&gt;0,(BV95^2),"")</f>
        <v/>
      </c>
      <c r="CE95" s="136">
        <f>IF(X95&gt;0,(BW95^2),"")</f>
        <v/>
      </c>
      <c r="CF95" s="136">
        <f>IF(AB95&gt;0,(BX95^2),"")</f>
        <v/>
      </c>
      <c r="CG95" s="136">
        <f>IF(AF95&gt;0,(BY95^2),"")</f>
        <v/>
      </c>
      <c r="CH95" s="136">
        <f>IF(AJ95&gt;0,(BZ95^2),"")</f>
        <v/>
      </c>
      <c r="CI95" s="136">
        <f>IF(AN95&gt;0,(CA95^2),"")</f>
        <v/>
      </c>
    </row>
    <row r="96" ht="18.75" customHeight="1" s="444">
      <c r="A96" s="340" t="inlineStr">
        <is>
          <t>533/031</t>
        </is>
      </c>
      <c r="B96" s="65" t="inlineStr">
        <is>
          <t>W36</t>
        </is>
      </c>
      <c r="C96" s="78" t="inlineStr">
        <is>
          <t>Taglio  con mola assiale</t>
        </is>
      </c>
      <c r="D96" s="83" t="inlineStr">
        <is>
          <t>/</t>
        </is>
      </c>
      <c r="E96" s="83" t="inlineStr">
        <is>
          <t>/</t>
        </is>
      </c>
      <c r="F96" s="192" t="inlineStr">
        <is>
          <t>Taglio  con mola assiale</t>
        </is>
      </c>
      <c r="G96" s="71" t="n">
        <v>46003</v>
      </c>
      <c r="H96" s="77" t="inlineStr">
        <is>
          <t>Compito</t>
        </is>
      </c>
      <c r="I96" s="77">
        <f>IF((V96-R96)&gt;3,"SI","")</f>
        <v/>
      </c>
      <c r="J96" s="77" t="inlineStr">
        <is>
          <t>SI</t>
        </is>
      </c>
      <c r="K96" s="77" t="n"/>
      <c r="L96" s="77" t="n"/>
      <c r="M96" s="137">
        <f>IF(R96&gt;0,(SQRT(CC96*(SUM(CD96:CI96)))),"")</f>
        <v/>
      </c>
      <c r="N96" s="4">
        <f>IF(T96&gt;0,(MAX(T96,Z96,AD96,AH96,AL96,AP96))+SQRT(1.2^2+1^2),"")</f>
        <v/>
      </c>
      <c r="O96" s="3">
        <f>IF(R96="",0,10*LOG10(SUM(BP96:BU96)/(COUNT(R96,X96,AB96,AF96,AJ96,AN96))))</f>
        <v/>
      </c>
      <c r="P96" s="5">
        <f>IF(AND(Y96="",AC96="",AG96="",AK96="",AO96=""),S96,AVERAGE(S96,Y96,AC96,AG96,AK96,AO96)+STDEV(S96,Y96,AC96,AG96,AK96,AO96))</f>
        <v/>
      </c>
      <c r="Q96" s="14" t="n">
        <v>300</v>
      </c>
      <c r="R96" s="11" t="n">
        <v>92.8</v>
      </c>
      <c r="S96" s="12" t="n">
        <v>91.59999999999999</v>
      </c>
      <c r="T96" s="13" t="n">
        <v>108.7</v>
      </c>
      <c r="U96" s="79" t="n"/>
      <c r="V96" s="79" t="n"/>
      <c r="W96" s="10" t="n">
        <v>300</v>
      </c>
      <c r="X96" s="11" t="n">
        <v>91.7</v>
      </c>
      <c r="Y96" s="12" t="n">
        <v>90.40000000000001</v>
      </c>
      <c r="Z96" s="13" t="n">
        <v>106.2</v>
      </c>
      <c r="AA96" s="10" t="n">
        <v>300</v>
      </c>
      <c r="AB96" s="11" t="n">
        <v>93.59999999999999</v>
      </c>
      <c r="AC96" s="12" t="n">
        <v>92.3</v>
      </c>
      <c r="AD96" s="13" t="n">
        <v>108.8</v>
      </c>
      <c r="AE96" s="14" t="n">
        <v>300</v>
      </c>
      <c r="AF96" s="11" t="n">
        <v>91</v>
      </c>
      <c r="AG96" s="12" t="n">
        <v>89.7</v>
      </c>
      <c r="AH96" s="13" t="n">
        <v>106.2</v>
      </c>
      <c r="AI96" s="10" t="n">
        <v>300</v>
      </c>
      <c r="AJ96" s="11" t="n">
        <v>94</v>
      </c>
      <c r="AK96" s="12" t="n">
        <v>92.7</v>
      </c>
      <c r="AL96" s="13" t="n">
        <v>109.7</v>
      </c>
      <c r="AM96" s="10" t="n">
        <v>300</v>
      </c>
      <c r="AN96" s="11" t="n">
        <v>95.59999999999999</v>
      </c>
      <c r="AO96" s="12" t="n">
        <v>94.40000000000001</v>
      </c>
      <c r="AP96" s="13" t="n">
        <v>110.6</v>
      </c>
      <c r="AQ96" s="6">
        <f>IF(AND((O96)&lt;85,N96&lt;137),"NO","SI")</f>
        <v/>
      </c>
      <c r="AR96" s="7">
        <f>IF((480*(10^(7.95-(O96/10))))&lt;480,480*(10^(7.95-(O96/10))),480)</f>
        <v/>
      </c>
      <c r="AS96" s="8">
        <f>IF((480*(10^(8.45-(O96/10))))&lt;480,480*(10^(8.45-(O96/10))),480)</f>
        <v/>
      </c>
      <c r="AT96" s="9">
        <f>IF((480*(10^(8.65-(O96/10))))&lt;480,480*(10^(8.65-(O96/10))),480)</f>
        <v/>
      </c>
      <c r="AU96" s="111">
        <f>IF(O96&lt;80,"0",IF((P96-O96)&lt;=2,('DPI art.191'!$G$3-(('DPI art.191'!$F$3-'DPI art.191'!$G$3)/4)*(P96-O96-2)),('DPI art.191'!$G$3-(('DPI art.191'!$G$3-'DPI art.191'!$H$3)/8)*(P96-O96-2))))</f>
        <v/>
      </c>
      <c r="AV96" s="24">
        <f>O96-AU96</f>
        <v/>
      </c>
      <c r="AW96" s="24">
        <f>IF(N96&lt;135,N96,N96-'DPI art.191'!$I$3)</f>
        <v/>
      </c>
      <c r="AX96" s="111">
        <f>IF(O96&lt;80,"0",IF((P96-O96)&lt;=2,('DPI art.191'!$G$5-(('DPI art.191'!$F$5-'DPI art.191'!$G$5)/4)*(P96-O96-2)),('DPI art.191'!$G$5-(('DPI art.191'!$G$5-'DPI art.191'!$H$5)/8)*(P96-O96-2))))</f>
        <v/>
      </c>
      <c r="AY96" s="24">
        <f>O96-AX96</f>
        <v/>
      </c>
      <c r="AZ96" s="24">
        <f>IF(N96&lt;135,N96,N96-'DPI art.191'!$I$5)</f>
        <v/>
      </c>
      <c r="BA96" s="111">
        <f>IF(O96&lt;80,"0",IF((P96-O96)&lt;=2,('DPI art.191'!$G$7-(('DPI art.191'!$F$7-'DPI art.191'!$G$7)/4)*(P96-O96-2)),('DPI art.191'!$G$7-(('DPI art.191'!$G$7-'DPI art.191'!$H$7)/8)*(P96-O96-2))))</f>
        <v/>
      </c>
      <c r="BB96" s="24">
        <f>O96-BA96</f>
        <v/>
      </c>
      <c r="BC96" s="24">
        <f>IF(N96&lt;135,N96,N96-'DPI art.191'!$I$7)</f>
        <v/>
      </c>
      <c r="BD96" s="111">
        <f>IF(O96&lt;80,"0",IF((P96-O96)&lt;=2,('DPI art.191'!$G$9-(('DPI art.191'!$F$9-'DPI art.191'!$G$9)/4)*(O96-P96-2)),('DPI art.191'!$G$9-(('DPI art.191'!$G$9-'DPI art.191'!$H$9)/8)*(P96-O96-2))))</f>
        <v/>
      </c>
      <c r="BE96" s="24">
        <f>O96-BD96</f>
        <v/>
      </c>
      <c r="BF96" s="24">
        <f>IF(N96&lt;135,N96,N96-'DPI art.191'!$I$9)</f>
        <v/>
      </c>
      <c r="BG96" s="111">
        <f>IF(O96&lt;80,"0",IF((P96-O96)&lt;=2,('DPI art.191'!$G$11-(('DPI art.191'!$F$11-'DPI art.191'!$G$11)/4)*(P96-O96-2)),('DPI art.191'!$G$11-(('DPI art.191'!$G$11-'DPI art.191'!$H$11)/8)*(P96-O96-2))))</f>
        <v/>
      </c>
      <c r="BH96" s="24">
        <f>O96-BG96</f>
        <v/>
      </c>
      <c r="BI96" s="24">
        <f>IF(T96&lt;135,T96,T96-'DPI art.191'!$I$11)</f>
        <v/>
      </c>
      <c r="BJ96" s="111">
        <f>IF(O96&lt;80,"0",IF((P96-O96)&lt;=2,('DPI art.191'!$G$13-(('DPI art.191'!$F$13-'DPI art.191'!$G$13)/4)*(P96-O96-2)),('DPI art.191'!$G$13-(('DPI art.191'!$G$13-'DPI art.191'!$H$13)/8)*(P96-O96-2))))</f>
        <v/>
      </c>
      <c r="BK96" s="24">
        <f>O96-BJ96</f>
        <v/>
      </c>
      <c r="BL96" s="24">
        <f>IF(T96&lt;135,T96,T96-'DPI art.191'!$I$13)</f>
        <v/>
      </c>
      <c r="BM96" s="111">
        <f>IF(O96&lt;80,"0",IF((P96-O96)&lt;=2,('DPI art.191'!$G$15-(('DPI art.191'!$F$15-'DPI art.191'!$G$15)/4)*(P96-O96-2)),('DPI art.191'!$G$15-(('DPI art.191'!$G$15-'DPI art.191'!$H$15)/8)*(P96-O96-2))))</f>
        <v/>
      </c>
      <c r="BN96" s="24">
        <f>O96-BM96</f>
        <v/>
      </c>
      <c r="BO96" s="24">
        <f>IF(Z96&lt;135,Z96,Z96-'DPI art.191'!$I$15)</f>
        <v/>
      </c>
      <c r="BP96" s="108">
        <f>10^(0.1*R96)</f>
        <v/>
      </c>
      <c r="BQ96" s="108">
        <f>10^(0.1*X96)</f>
        <v/>
      </c>
      <c r="BR96" s="108">
        <f>10^(0.1*AB96)</f>
        <v/>
      </c>
      <c r="BS96" s="108">
        <f>10^(0.1*AF96)</f>
        <v/>
      </c>
      <c r="BT96" s="108">
        <f>10^(0.1*AJ96)</f>
        <v/>
      </c>
      <c r="BU96" s="108">
        <f>10^(0.1*AN96)</f>
        <v/>
      </c>
      <c r="BV96" s="106">
        <f>IF(R96&gt;0,(O96-R96),"")</f>
        <v/>
      </c>
      <c r="BW96" s="106">
        <f>IF(X96&gt;0,(O96-X96),"")</f>
        <v/>
      </c>
      <c r="BX96" s="106">
        <f>IF(AB96&gt;0,(O96-AB96),"")</f>
        <v/>
      </c>
      <c r="BY96" s="106">
        <f>IF(AF96&gt;0,(O96-AF96),"")</f>
        <v/>
      </c>
      <c r="BZ96" s="106">
        <f>IF(AJ96&gt;0,(O96-AJ96),"")</f>
        <v/>
      </c>
      <c r="CA96" s="106">
        <f>IF(AN96&gt;0,(O96-AN96),"")</f>
        <v/>
      </c>
      <c r="CB96" s="106">
        <f>COUNT(BV96:CA96)</f>
        <v/>
      </c>
      <c r="CC96" s="464">
        <f>IF(CB96=0,0,IF(CB96=1,0,1/(CB96*(CB96-1))))</f>
        <v/>
      </c>
      <c r="CD96" s="136">
        <f>IF(R96&gt;0,(BV96^2),"")</f>
        <v/>
      </c>
      <c r="CE96" s="136">
        <f>IF(X96&gt;0,(BW96^2),"")</f>
        <v/>
      </c>
      <c r="CF96" s="136">
        <f>IF(AB96&gt;0,(BX96^2),"")</f>
        <v/>
      </c>
      <c r="CG96" s="136">
        <f>IF(AF96&gt;0,(BY96^2),"")</f>
        <v/>
      </c>
      <c r="CH96" s="136">
        <f>IF(AJ96&gt;0,(BZ96^2),"")</f>
        <v/>
      </c>
      <c r="CI96" s="136">
        <f>IF(AN96&gt;0,(CA96^2),"")</f>
        <v/>
      </c>
    </row>
    <row r="97" ht="18.75" customHeight="1" s="444">
      <c r="A97" s="340" t="inlineStr">
        <is>
          <t>533/031</t>
        </is>
      </c>
      <c r="B97" s="65" t="inlineStr">
        <is>
          <t>W37</t>
        </is>
      </c>
      <c r="C97" s="78" t="inlineStr">
        <is>
          <t>Spazzolatura con mola assiale</t>
        </is>
      </c>
      <c r="D97" s="83" t="inlineStr">
        <is>
          <t>/</t>
        </is>
      </c>
      <c r="E97" s="83" t="inlineStr">
        <is>
          <t>/</t>
        </is>
      </c>
      <c r="F97" s="78" t="inlineStr">
        <is>
          <t>Spazzolatura con mola assiale</t>
        </is>
      </c>
      <c r="G97" s="71" t="n">
        <v>46003</v>
      </c>
      <c r="H97" s="77" t="inlineStr">
        <is>
          <t>Compito</t>
        </is>
      </c>
      <c r="I97" s="77">
        <f>IF((V97-R97)&gt;3,"SI","")</f>
        <v/>
      </c>
      <c r="J97" s="77" t="inlineStr">
        <is>
          <t>SI</t>
        </is>
      </c>
      <c r="K97" s="77" t="n"/>
      <c r="L97" s="77" t="n"/>
      <c r="M97" s="137">
        <f>IF(R97&gt;0,(SQRT(CC97*(SUM(CD97:CI97)))),"")</f>
        <v/>
      </c>
      <c r="N97" s="4">
        <f>IF(T97&gt;0,(MAX(T97,Z97,AD97,AH97,AL97,AP97))+SQRT(1.2^2+1^2),"")</f>
        <v/>
      </c>
      <c r="O97" s="3">
        <f>IF(R97="",0,10*LOG10(SUM(BP97:BU97)/(COUNT(R97,X97,AB97,AF97,AJ97,AN97))))</f>
        <v/>
      </c>
      <c r="P97" s="5">
        <f>IF(AND(Y97="",AC97="",AG97="",AK97="",AO97=""),S97,AVERAGE(S97,Y97,AC97,AG97,AK97,AO97)+STDEV(S97,Y97,AC97,AG97,AK97,AO97))</f>
        <v/>
      </c>
      <c r="Q97" s="14" t="n">
        <v>300</v>
      </c>
      <c r="R97" s="11" t="n">
        <v>97.3</v>
      </c>
      <c r="S97" s="12" t="n">
        <v>97.09999999999999</v>
      </c>
      <c r="T97" s="13" t="n">
        <v>112.9</v>
      </c>
      <c r="U97" s="79" t="n"/>
      <c r="V97" s="79" t="n"/>
      <c r="W97" s="10" t="n">
        <v>300</v>
      </c>
      <c r="X97" s="11" t="n">
        <v>97.40000000000001</v>
      </c>
      <c r="Y97" s="12" t="n">
        <v>96.90000000000001</v>
      </c>
      <c r="Z97" s="13" t="n">
        <v>108.9</v>
      </c>
      <c r="AA97" s="10" t="n">
        <v>300</v>
      </c>
      <c r="AB97" s="11" t="n">
        <v>98.09999999999999</v>
      </c>
      <c r="AC97" s="12" t="n">
        <v>97.5</v>
      </c>
      <c r="AD97" s="13" t="n">
        <v>109.6</v>
      </c>
      <c r="AE97" s="14" t="n">
        <v>300</v>
      </c>
      <c r="AF97" s="11" t="n">
        <v>98.2</v>
      </c>
      <c r="AG97" s="12" t="n">
        <v>97.7</v>
      </c>
      <c r="AH97" s="13" t="n">
        <v>113.4</v>
      </c>
      <c r="AI97" s="10" t="n">
        <v>300</v>
      </c>
      <c r="AJ97" s="11" t="n">
        <v>98.3</v>
      </c>
      <c r="AK97" s="12" t="n">
        <v>98</v>
      </c>
      <c r="AL97" s="13" t="n">
        <v>113.4</v>
      </c>
      <c r="AM97" s="10" t="n">
        <v>300</v>
      </c>
      <c r="AN97" s="11" t="n">
        <v>96.90000000000001</v>
      </c>
      <c r="AO97" s="12" t="n">
        <v>96.3</v>
      </c>
      <c r="AP97" s="13" t="n">
        <v>110.4</v>
      </c>
      <c r="AQ97" s="6">
        <f>IF(AND((O97)&lt;85,N97&lt;137),"NO","SI")</f>
        <v/>
      </c>
      <c r="AR97" s="7">
        <f>IF((480*(10^(7.95-(O97/10))))&lt;480,480*(10^(7.95-(O97/10))),480)</f>
        <v/>
      </c>
      <c r="AS97" s="8">
        <f>IF((480*(10^(8.45-(O97/10))))&lt;480,480*(10^(8.45-(O97/10))),480)</f>
        <v/>
      </c>
      <c r="AT97" s="9">
        <f>IF((480*(10^(8.65-(O97/10))))&lt;480,480*(10^(8.65-(O97/10))),480)</f>
        <v/>
      </c>
      <c r="AU97" s="111">
        <f>IF(O97&lt;80,"0",IF((P97-O97)&lt;=2,('DPI art.191'!$G$3-(('DPI art.191'!$F$3-'DPI art.191'!$G$3)/4)*(P97-O97-2)),('DPI art.191'!$G$3-(('DPI art.191'!$G$3-'DPI art.191'!$H$3)/8)*(P97-O97-2))))</f>
        <v/>
      </c>
      <c r="AV97" s="24">
        <f>O97-AU97</f>
        <v/>
      </c>
      <c r="AW97" s="24">
        <f>IF(N97&lt;135,N97,N97-'DPI art.191'!$I$3)</f>
        <v/>
      </c>
      <c r="AX97" s="111">
        <f>IF(O97&lt;80,"0",IF((P97-O97)&lt;=2,('DPI art.191'!$G$5-(('DPI art.191'!$F$5-'DPI art.191'!$G$5)/4)*(P97-O97-2)),('DPI art.191'!$G$5-(('DPI art.191'!$G$5-'DPI art.191'!$H$5)/8)*(P97-O97-2))))</f>
        <v/>
      </c>
      <c r="AY97" s="24">
        <f>O97-AX97</f>
        <v/>
      </c>
      <c r="AZ97" s="24">
        <f>IF(N97&lt;135,N97,N97-'DPI art.191'!$I$5)</f>
        <v/>
      </c>
      <c r="BA97" s="111">
        <f>IF(O97&lt;80,"0",IF((P97-O97)&lt;=2,('DPI art.191'!$G$7-(('DPI art.191'!$F$7-'DPI art.191'!$G$7)/4)*(P97-O97-2)),('DPI art.191'!$G$7-(('DPI art.191'!$G$7-'DPI art.191'!$H$7)/8)*(P97-O97-2))))</f>
        <v/>
      </c>
      <c r="BB97" s="24">
        <f>O97-BA97</f>
        <v/>
      </c>
      <c r="BC97" s="24">
        <f>IF(N97&lt;135,N97,N97-'DPI art.191'!$I$7)</f>
        <v/>
      </c>
      <c r="BD97" s="111">
        <f>IF(O97&lt;80,"0",IF((P97-O97)&lt;=2,('DPI art.191'!$G$9-(('DPI art.191'!$F$9-'DPI art.191'!$G$9)/4)*(O97-P97-2)),('DPI art.191'!$G$9-(('DPI art.191'!$G$9-'DPI art.191'!$H$9)/8)*(P97-O97-2))))</f>
        <v/>
      </c>
      <c r="BE97" s="24">
        <f>O97-BD97</f>
        <v/>
      </c>
      <c r="BF97" s="24">
        <f>IF(N97&lt;135,N97,N97-'DPI art.191'!$I$9)</f>
        <v/>
      </c>
      <c r="BG97" s="111">
        <f>IF(O97&lt;80,"0",IF((P97-O97)&lt;=2,('DPI art.191'!$G$11-(('DPI art.191'!$F$11-'DPI art.191'!$G$11)/4)*(P97-O97-2)),('DPI art.191'!$G$11-(('DPI art.191'!$G$11-'DPI art.191'!$H$11)/8)*(P97-O97-2))))</f>
        <v/>
      </c>
      <c r="BH97" s="24">
        <f>O97-BG97</f>
        <v/>
      </c>
      <c r="BI97" s="24">
        <f>IF(T97&lt;135,T97,T97-'DPI art.191'!$I$11)</f>
        <v/>
      </c>
      <c r="BJ97" s="111">
        <f>IF(O97&lt;80,"0",IF((P97-O97)&lt;=2,('DPI art.191'!$G$13-(('DPI art.191'!$F$13-'DPI art.191'!$G$13)/4)*(P97-O97-2)),('DPI art.191'!$G$13-(('DPI art.191'!$G$13-'DPI art.191'!$H$13)/8)*(P97-O97-2))))</f>
        <v/>
      </c>
      <c r="BK97" s="24">
        <f>O97-BJ97</f>
        <v/>
      </c>
      <c r="BL97" s="24">
        <f>IF(T97&lt;135,T97,T97-'DPI art.191'!$I$13)</f>
        <v/>
      </c>
      <c r="BM97" s="111">
        <f>IF(O97&lt;80,"0",IF((P97-O97)&lt;=2,('DPI art.191'!$G$15-(('DPI art.191'!$F$15-'DPI art.191'!$G$15)/4)*(P97-O97-2)),('DPI art.191'!$G$15-(('DPI art.191'!$G$15-'DPI art.191'!$H$15)/8)*(P97-O97-2))))</f>
        <v/>
      </c>
      <c r="BN97" s="24">
        <f>O97-BM97</f>
        <v/>
      </c>
      <c r="BO97" s="24">
        <f>IF(Z97&lt;135,Z97,Z97-'DPI art.191'!$I$15)</f>
        <v/>
      </c>
      <c r="BP97" s="108">
        <f>10^(0.1*R97)</f>
        <v/>
      </c>
      <c r="BQ97" s="108">
        <f>10^(0.1*X97)</f>
        <v/>
      </c>
      <c r="BR97" s="108">
        <f>10^(0.1*AB97)</f>
        <v/>
      </c>
      <c r="BS97" s="108">
        <f>10^(0.1*AF97)</f>
        <v/>
      </c>
      <c r="BT97" s="108">
        <f>10^(0.1*AJ97)</f>
        <v/>
      </c>
      <c r="BU97" s="108">
        <f>10^(0.1*AN97)</f>
        <v/>
      </c>
      <c r="BV97" s="106">
        <f>IF(R97&gt;0,(O97-R97),"")</f>
        <v/>
      </c>
      <c r="BW97" s="106">
        <f>IF(X97&gt;0,(O97-X97),"")</f>
        <v/>
      </c>
      <c r="BX97" s="106">
        <f>IF(AB97&gt;0,(O97-AB97),"")</f>
        <v/>
      </c>
      <c r="BY97" s="106">
        <f>IF(AF97&gt;0,(O97-AF97),"")</f>
        <v/>
      </c>
      <c r="BZ97" s="106">
        <f>IF(AJ97&gt;0,(O97-AJ97),"")</f>
        <v/>
      </c>
      <c r="CA97" s="106">
        <f>IF(AN97&gt;0,(O97-AN97),"")</f>
        <v/>
      </c>
      <c r="CB97" s="106">
        <f>COUNT(BV97:CA97)</f>
        <v/>
      </c>
      <c r="CC97" s="464">
        <f>IF(CB97=0,0,IF(CB97=1,0,1/(CB97*(CB97-1))))</f>
        <v/>
      </c>
      <c r="CD97" s="136">
        <f>IF(R97&gt;0,(BV97^2),"")</f>
        <v/>
      </c>
      <c r="CE97" s="136">
        <f>IF(X97&gt;0,(BW97^2),"")</f>
        <v/>
      </c>
      <c r="CF97" s="136">
        <f>IF(AB97&gt;0,(BX97^2),"")</f>
        <v/>
      </c>
      <c r="CG97" s="136">
        <f>IF(AF97&gt;0,(BY97^2),"")</f>
        <v/>
      </c>
      <c r="CH97" s="136">
        <f>IF(AJ97&gt;0,(BZ97^2),"")</f>
        <v/>
      </c>
      <c r="CI97" s="136">
        <f>IF(AN97&gt;0,(CA97^2),"")</f>
        <v/>
      </c>
    </row>
    <row r="98" ht="18.75" customHeight="1" s="444">
      <c r="A98" s="340" t="inlineStr">
        <is>
          <t>/</t>
        </is>
      </c>
      <c r="B98" s="65">
        <f>B97+1</f>
        <v/>
      </c>
      <c r="C98" s="78" t="n"/>
      <c r="D98" s="83" t="n"/>
      <c r="E98" s="83" t="n"/>
      <c r="F98" s="329" t="n"/>
      <c r="G98" s="71" t="n">
        <v>40725</v>
      </c>
      <c r="H98" s="77" t="inlineStr">
        <is>
          <t>Compito</t>
        </is>
      </c>
      <c r="I98" s="77">
        <f>IF((V98-R98)&gt;3,"SI","")</f>
        <v/>
      </c>
      <c r="J98" s="77">
        <f>IF((U98-R98)&gt;3,"SI","")</f>
        <v/>
      </c>
      <c r="K98" s="77" t="n"/>
      <c r="L98" s="77" t="n"/>
      <c r="M98" s="137">
        <f>IF(R98&gt;0,(SQRT(CC98*(SUM(CD98:CI98)))),"")</f>
        <v/>
      </c>
      <c r="N98" s="4">
        <f>IF(T98&gt;0,(MAX(T98,Z98,AD98,AH98,AL98,AP98))+SQRT(1.2^2+1^2),"")</f>
        <v/>
      </c>
      <c r="O98" s="3">
        <f>IF(R98="",0,10*LOG10(SUM(BP98:BU98)/(COUNT(R98,X98,AB98,AF98,AJ98,AN98))))</f>
        <v/>
      </c>
      <c r="P98" s="5">
        <f>IF(AND(Y98="",AC98="",AG98="",AK98="",AO98=""),S98,AVERAGE(S98,Y98,AC98,AG98,AK98,AO98)+STDEV(S98,Y98,AC98,AG98,AK98,AO98))</f>
        <v/>
      </c>
      <c r="Q98" s="14" t="n"/>
      <c r="R98" s="11" t="n"/>
      <c r="S98" s="12" t="n"/>
      <c r="T98" s="13" t="n"/>
      <c r="U98" s="79" t="n"/>
      <c r="V98" s="79" t="n"/>
      <c r="W98" s="10" t="n"/>
      <c r="X98" s="11" t="n"/>
      <c r="Y98" s="12" t="n"/>
      <c r="Z98" s="13" t="n"/>
      <c r="AA98" s="10" t="n"/>
      <c r="AB98" s="11" t="n"/>
      <c r="AC98" s="12" t="n"/>
      <c r="AD98" s="13" t="n"/>
      <c r="AE98" s="14" t="n"/>
      <c r="AF98" s="11" t="n"/>
      <c r="AG98" s="12" t="n"/>
      <c r="AH98" s="13" t="n"/>
      <c r="AI98" s="10" t="n"/>
      <c r="AJ98" s="11" t="n"/>
      <c r="AK98" s="12" t="n"/>
      <c r="AL98" s="13" t="n"/>
      <c r="AM98" s="10" t="n"/>
      <c r="AN98" s="11" t="n"/>
      <c r="AO98" s="12" t="n"/>
      <c r="AP98" s="13" t="n"/>
      <c r="AQ98" s="6">
        <f>IF(AND((O98)&lt;85,N98&lt;137),"NO","SI")</f>
        <v/>
      </c>
      <c r="AR98" s="7">
        <f>IF((480*(10^(7.95-(O98/10))))&lt;480,480*(10^(7.95-(O98/10))),480)</f>
        <v/>
      </c>
      <c r="AS98" s="8">
        <f>IF((480*(10^(8.45-(O98/10))))&lt;480,480*(10^(8.45-(O98/10))),480)</f>
        <v/>
      </c>
      <c r="AT98" s="9">
        <f>IF((480*(10^(8.65-(O98/10))))&lt;480,480*(10^(8.65-(O98/10))),480)</f>
        <v/>
      </c>
      <c r="AU98" s="111">
        <f>IF(O98&lt;80,"0",IF((P98-O98)&lt;=2,('DPI art.191'!$G$3-(('DPI art.191'!$F$3-'DPI art.191'!$G$3)/4)*(P98-O98-2)),('DPI art.191'!$G$3-(('DPI art.191'!$G$3-'DPI art.191'!$H$3)/8)*(P98-O98-2))))</f>
        <v/>
      </c>
      <c r="AV98" s="24">
        <f>O98-AU98</f>
        <v/>
      </c>
      <c r="AW98" s="24">
        <f>IF(N98&lt;135,N98,N98-'DPI art.191'!$I$3)</f>
        <v/>
      </c>
      <c r="AX98" s="111">
        <f>IF(I98&lt;80,"0",IF((J98-I98)&lt;=2,('DPI art.191'!$G$7-(('DPI art.191'!$F$7-'DPI art.191'!$G$7)/4)*(I98-J98-2)),('DPI art.191'!$G$7-(('DPI art.191'!$G$7-'DPI art.191'!$H$7)/8)*(J98-I98-2))))</f>
        <v/>
      </c>
      <c r="AY98" s="24">
        <f>I98-AX98</f>
        <v/>
      </c>
      <c r="AZ98" s="24">
        <f>IF(H98&lt;135,H98,H98-'DPI art.191'!$I$7)</f>
        <v/>
      </c>
      <c r="BA98" s="111">
        <f>IF(O98&lt;80,"0",IF((P98-O98)&lt;=2,('DPI art.191'!$G$5-(('DPI art.191'!$F$5-'DPI art.191'!$G$5)/4)*(P98-O98-2)),('DPI art.191'!$G$5-(('DPI art.191'!$G$5-'DPI art.191'!$H$5)/8)*(P98-O98-2))))</f>
        <v/>
      </c>
      <c r="BB98" s="24">
        <f>R98-BA98</f>
        <v/>
      </c>
      <c r="BC98" s="24">
        <f>IF(N98&lt;135,N98,N98-'DPI art.191'!$I$5)</f>
        <v/>
      </c>
      <c r="BD98" s="111">
        <f>IF(O98&lt;80,"0",IF((P98-O98)&lt;=2,('DPI art.191'!$G$7-(('DPI art.191'!$F$7-'DPI art.191'!$G$7)/4)*(O98-P98-2)),('DPI art.191'!$G$7-(('DPI art.191'!$G$7-'DPI art.191'!$H$7)/8)*(P98-O98-2))))</f>
        <v/>
      </c>
      <c r="BE98" s="24">
        <f>O98-BD98</f>
        <v/>
      </c>
      <c r="BF98" s="24">
        <f>IF(N98&lt;135,N98,N98-'DPI art.191'!$I$7)</f>
        <v/>
      </c>
      <c r="BG98" s="111">
        <f>IF(AA98&lt;80,"0",IF((AB98-AA98)&lt;=2,('DPI art.191'!$G$3-(('DPI art.191'!$F$3-'DPI art.191'!$G$3)/4)*(AB98-AA98-2)),('DPI art.191'!$G$3-(('DPI art.191'!$G$3-'DPI art.191'!$H$3)/8)*(AB98-AA98-2))))</f>
        <v/>
      </c>
      <c r="BH98" s="24">
        <f>AA98-BG98</f>
        <v/>
      </c>
      <c r="BI98" s="24">
        <f>IF(Z98&lt;135,Z98,Z98-'DPI art.191'!$I$3)</f>
        <v/>
      </c>
      <c r="BJ98" s="111">
        <f>IF(U98&lt;80,"0",IF((V98-U98)&lt;=2,('DPI art.191'!$G$7-(('DPI art.191'!$F$7-'DPI art.191'!$G$7)/4)*(U98-V98-2)),('DPI art.191'!$G$7-(('DPI art.191'!$G$7-'DPI art.191'!$H$7)/8)*(V98-U98-2))))</f>
        <v/>
      </c>
      <c r="BK98" s="24">
        <f>U98-BJ98</f>
        <v/>
      </c>
      <c r="BL98" s="24">
        <f>IF(T98&lt;135,T98,T98-'DPI art.191'!$I$7)</f>
        <v/>
      </c>
      <c r="BM98" s="111">
        <f>IF(AA98&lt;80,"0",IF((AB98-AA98)&lt;=2,('DPI art.191'!$G$5-(('DPI art.191'!$F$5-'DPI art.191'!$G$5)/4)*(AB98-AA98-2)),('DPI art.191'!$G$5-(('DPI art.191'!$G$5-'DPI art.191'!$H$5)/8)*(AB98-AA98-2))))</f>
        <v/>
      </c>
      <c r="BN98" s="24">
        <f>AD98-BM98</f>
        <v/>
      </c>
      <c r="BO98" s="24">
        <f>IF(Z98&lt;135,Z98,Z98-'DPI art.191'!$I$5)</f>
        <v/>
      </c>
      <c r="BP98" s="108">
        <f>10^(0.1*R98)</f>
        <v/>
      </c>
      <c r="BQ98" s="108">
        <f>10^(0.1*X98)</f>
        <v/>
      </c>
      <c r="BR98" s="108">
        <f>10^(0.1*AB98)</f>
        <v/>
      </c>
      <c r="BS98" s="108">
        <f>10^(0.1*AF98)</f>
        <v/>
      </c>
      <c r="BT98" s="108">
        <f>10^(0.1*AJ98)</f>
        <v/>
      </c>
      <c r="BU98" s="108">
        <f>10^(0.1*AN98)</f>
        <v/>
      </c>
      <c r="BV98" s="106">
        <f>IF(R98&gt;0,(O98-R98),"")</f>
        <v/>
      </c>
      <c r="BW98" s="106">
        <f>IF(X98&gt;0,(O98-X98),"")</f>
        <v/>
      </c>
      <c r="BX98" s="106">
        <f>IF(AB98&gt;0,(O98-AB98),"")</f>
        <v/>
      </c>
      <c r="BY98" s="106">
        <f>IF(AF98&gt;0,(O98-AF98),"")</f>
        <v/>
      </c>
      <c r="BZ98" s="106">
        <f>IF(AJ98&gt;0,(O98-AJ98),"")</f>
        <v/>
      </c>
      <c r="CA98" s="106">
        <f>IF(AN98&gt;0,(O98-AN98),"")</f>
        <v/>
      </c>
      <c r="CB98" s="106">
        <f>COUNT(BV98:CA98)</f>
        <v/>
      </c>
      <c r="CC98" s="464">
        <f>IF(CB98=0,0,IF(CB98=1,0,1/(CB98*(CB98-1))))</f>
        <v/>
      </c>
      <c r="CD98" s="136">
        <f>IF(R98&gt;0,(BV98^2),"")</f>
        <v/>
      </c>
      <c r="CE98" s="136">
        <f>IF(X98&gt;0,(BW98^2),"")</f>
        <v/>
      </c>
      <c r="CF98" s="136">
        <f>IF(AB98&gt;0,(BX98^2),"")</f>
        <v/>
      </c>
      <c r="CG98" s="136">
        <f>IF(AF98&gt;0,(BY98^2),"")</f>
        <v/>
      </c>
      <c r="CH98" s="136">
        <f>IF(AJ98&gt;0,(BZ98^2),"")</f>
        <v/>
      </c>
      <c r="CI98" s="136">
        <f>IF(AN98&gt;0,(CA98^2),"")</f>
        <v/>
      </c>
    </row>
    <row r="99" ht="18.75" customHeight="1" s="444">
      <c r="A99" s="340" t="inlineStr">
        <is>
          <t>/</t>
        </is>
      </c>
      <c r="B99" s="65">
        <f>B98+1</f>
        <v/>
      </c>
      <c r="C99" s="78" t="n"/>
      <c r="D99" s="83" t="n"/>
      <c r="E99" s="83" t="n"/>
      <c r="F99" s="329" t="n"/>
      <c r="G99" s="71" t="n">
        <v>40725</v>
      </c>
      <c r="H99" s="77" t="inlineStr">
        <is>
          <t>Compito</t>
        </is>
      </c>
      <c r="I99" s="77">
        <f>IF((V99-R99)&gt;3,"SI","")</f>
        <v/>
      </c>
      <c r="J99" s="77">
        <f>IF((U99-R99)&gt;3,"SI","")</f>
        <v/>
      </c>
      <c r="K99" s="77" t="n"/>
      <c r="L99" s="77" t="n"/>
      <c r="M99" s="137">
        <f>IF(R99&gt;0,(SQRT(CC99*(SUM(CD99:CI99)))),"")</f>
        <v/>
      </c>
      <c r="N99" s="4">
        <f>IF(T99&gt;0,(MAX(T99,Z99,AD99,AH99,AL99,AP99))+SQRT(1.2^2+1^2),"")</f>
        <v/>
      </c>
      <c r="O99" s="3">
        <f>IF(R99="",0,10*LOG10(SUM(BP99:BU99)/(COUNT(R99,X99,AB99,AF99,AJ99,AN99))))</f>
        <v/>
      </c>
      <c r="P99" s="5">
        <f>IF(AND(Y99="",AC99="",AG99="",AK99="",AO99=""),S99,AVERAGE(S99,Y99,AC99,AG99,AK99,AO99)+STDEV(S99,Y99,AC99,AG99,AK99,AO99))</f>
        <v/>
      </c>
      <c r="Q99" s="14" t="n"/>
      <c r="R99" s="11" t="n"/>
      <c r="S99" s="12" t="n"/>
      <c r="T99" s="13" t="n"/>
      <c r="U99" s="79" t="n"/>
      <c r="V99" s="79" t="n"/>
      <c r="W99" s="10" t="n"/>
      <c r="X99" s="11" t="n"/>
      <c r="Y99" s="12" t="n"/>
      <c r="Z99" s="13" t="n"/>
      <c r="AA99" s="10" t="n"/>
      <c r="AB99" s="11" t="n"/>
      <c r="AC99" s="12" t="n"/>
      <c r="AD99" s="13" t="n"/>
      <c r="AE99" s="14" t="n"/>
      <c r="AF99" s="11" t="n"/>
      <c r="AG99" s="12" t="n"/>
      <c r="AH99" s="13" t="n"/>
      <c r="AI99" s="10" t="n"/>
      <c r="AJ99" s="11" t="n"/>
      <c r="AK99" s="12" t="n"/>
      <c r="AL99" s="13" t="n"/>
      <c r="AM99" s="10" t="n"/>
      <c r="AN99" s="11" t="n"/>
      <c r="AO99" s="12" t="n"/>
      <c r="AP99" s="13" t="n"/>
      <c r="AQ99" s="6">
        <f>IF(AND((O99)&lt;85,N99&lt;137),"NO","SI")</f>
        <v/>
      </c>
      <c r="AR99" s="7">
        <f>IF((480*(10^(7.95-(O99/10))))&lt;480,480*(10^(7.95-(O99/10))),480)</f>
        <v/>
      </c>
      <c r="AS99" s="8">
        <f>IF((480*(10^(8.45-(O99/10))))&lt;480,480*(10^(8.45-(O99/10))),480)</f>
        <v/>
      </c>
      <c r="AT99" s="9">
        <f>IF((480*(10^(8.65-(O99/10))))&lt;480,480*(10^(8.65-(O99/10))),480)</f>
        <v/>
      </c>
      <c r="AU99" s="111">
        <f>IF(O99&lt;80,"0",IF((P99-O99)&lt;=2,('DPI art.191'!$G$3-(('DPI art.191'!$F$3-'DPI art.191'!$G$3)/4)*(P99-O99-2)),('DPI art.191'!$G$3-(('DPI art.191'!$G$3-'DPI art.191'!$H$3)/8)*(P99-O99-2))))</f>
        <v/>
      </c>
      <c r="AV99" s="24">
        <f>O99-AU99</f>
        <v/>
      </c>
      <c r="AW99" s="24">
        <f>IF(N99&lt;135,N99,N99-'DPI art.191'!$I$3)</f>
        <v/>
      </c>
      <c r="AX99" s="111">
        <f>IF(I99&lt;80,"0",IF((J99-I99)&lt;=2,('DPI art.191'!$G$7-(('DPI art.191'!$F$7-'DPI art.191'!$G$7)/4)*(I99-J99-2)),('DPI art.191'!$G$7-(('DPI art.191'!$G$7-'DPI art.191'!$H$7)/8)*(J99-I99-2))))</f>
        <v/>
      </c>
      <c r="AY99" s="24">
        <f>I99-AX99</f>
        <v/>
      </c>
      <c r="AZ99" s="24">
        <f>IF(H99&lt;135,H99,H99-'DPI art.191'!$I$7)</f>
        <v/>
      </c>
      <c r="BA99" s="111">
        <f>IF(O99&lt;80,"0",IF((P99-O99)&lt;=2,('DPI art.191'!$G$5-(('DPI art.191'!$F$5-'DPI art.191'!$G$5)/4)*(P99-O99-2)),('DPI art.191'!$G$5-(('DPI art.191'!$G$5-'DPI art.191'!$H$5)/8)*(P99-O99-2))))</f>
        <v/>
      </c>
      <c r="BB99" s="24">
        <f>R99-BA99</f>
        <v/>
      </c>
      <c r="BC99" s="24">
        <f>IF(N99&lt;135,N99,N99-'DPI art.191'!$I$5)</f>
        <v/>
      </c>
      <c r="BD99" s="111">
        <f>IF(O99&lt;80,"0",IF((P99-O99)&lt;=2,('DPI art.191'!$G$7-(('DPI art.191'!$F$7-'DPI art.191'!$G$7)/4)*(O99-P99-2)),('DPI art.191'!$G$7-(('DPI art.191'!$G$7-'DPI art.191'!$H$7)/8)*(P99-O99-2))))</f>
        <v/>
      </c>
      <c r="BE99" s="24">
        <f>O99-BD99</f>
        <v/>
      </c>
      <c r="BF99" s="24">
        <f>IF(N99&lt;135,N99,N99-'DPI art.191'!$I$7)</f>
        <v/>
      </c>
      <c r="BG99" s="111">
        <f>IF(AA99&lt;80,"0",IF((AB99-AA99)&lt;=2,('DPI art.191'!$G$3-(('DPI art.191'!$F$3-'DPI art.191'!$G$3)/4)*(AB99-AA99-2)),('DPI art.191'!$G$3-(('DPI art.191'!$G$3-'DPI art.191'!$H$3)/8)*(AB99-AA99-2))))</f>
        <v/>
      </c>
      <c r="BH99" s="24">
        <f>AA99-BG99</f>
        <v/>
      </c>
      <c r="BI99" s="24">
        <f>IF(Z99&lt;135,Z99,Z99-'DPI art.191'!$I$3)</f>
        <v/>
      </c>
      <c r="BJ99" s="111">
        <f>IF(U99&lt;80,"0",IF((V99-U99)&lt;=2,('DPI art.191'!$G$7-(('DPI art.191'!$F$7-'DPI art.191'!$G$7)/4)*(U99-V99-2)),('DPI art.191'!$G$7-(('DPI art.191'!$G$7-'DPI art.191'!$H$7)/8)*(V99-U99-2))))</f>
        <v/>
      </c>
      <c r="BK99" s="24">
        <f>U99-BJ99</f>
        <v/>
      </c>
      <c r="BL99" s="24">
        <f>IF(T99&lt;135,T99,T99-'DPI art.191'!$I$7)</f>
        <v/>
      </c>
      <c r="BM99" s="111">
        <f>IF(AA99&lt;80,"0",IF((AB99-AA99)&lt;=2,('DPI art.191'!$G$5-(('DPI art.191'!$F$5-'DPI art.191'!$G$5)/4)*(AB99-AA99-2)),('DPI art.191'!$G$5-(('DPI art.191'!$G$5-'DPI art.191'!$H$5)/8)*(AB99-AA99-2))))</f>
        <v/>
      </c>
      <c r="BN99" s="24">
        <f>AD99-BM99</f>
        <v/>
      </c>
      <c r="BO99" s="24">
        <f>IF(Z99&lt;135,Z99,Z99-'DPI art.191'!$I$5)</f>
        <v/>
      </c>
      <c r="BP99" s="108">
        <f>10^(0.1*R99)</f>
        <v/>
      </c>
      <c r="BQ99" s="108">
        <f>10^(0.1*X99)</f>
        <v/>
      </c>
      <c r="BR99" s="108">
        <f>10^(0.1*AB99)</f>
        <v/>
      </c>
      <c r="BS99" s="108">
        <f>10^(0.1*AF99)</f>
        <v/>
      </c>
      <c r="BT99" s="108">
        <f>10^(0.1*AJ99)</f>
        <v/>
      </c>
      <c r="BU99" s="108">
        <f>10^(0.1*AN99)</f>
        <v/>
      </c>
      <c r="BV99" s="106">
        <f>IF(R99&gt;0,(O99-R99),"")</f>
        <v/>
      </c>
      <c r="BW99" s="106">
        <f>IF(X99&gt;0,(O99-X99),"")</f>
        <v/>
      </c>
      <c r="BX99" s="106">
        <f>IF(AB99&gt;0,(O99-AB99),"")</f>
        <v/>
      </c>
      <c r="BY99" s="106">
        <f>IF(AF99&gt;0,(O99-AF99),"")</f>
        <v/>
      </c>
      <c r="BZ99" s="106">
        <f>IF(AJ99&gt;0,(O99-AJ99),"")</f>
        <v/>
      </c>
      <c r="CA99" s="106">
        <f>IF(AN99&gt;0,(O99-AN99),"")</f>
        <v/>
      </c>
      <c r="CB99" s="106">
        <f>COUNT(BV99:CA99)</f>
        <v/>
      </c>
      <c r="CC99" s="464">
        <f>IF(CB99=0,0,IF(CB99=1,0,1/(CB99*(CB99-1))))</f>
        <v/>
      </c>
      <c r="CD99" s="136">
        <f>IF(R99&gt;0,(BV99^2),"")</f>
        <v/>
      </c>
      <c r="CE99" s="136">
        <f>IF(X99&gt;0,(BW99^2),"")</f>
        <v/>
      </c>
      <c r="CF99" s="136">
        <f>IF(AB99&gt;0,(BX99^2),"")</f>
        <v/>
      </c>
      <c r="CG99" s="136">
        <f>IF(AF99&gt;0,(BY99^2),"")</f>
        <v/>
      </c>
      <c r="CH99" s="136">
        <f>IF(AJ99&gt;0,(BZ99^2),"")</f>
        <v/>
      </c>
      <c r="CI99" s="136">
        <f>IF(AN99&gt;0,(CA99^2),"")</f>
        <v/>
      </c>
    </row>
    <row r="100" ht="18.75" customHeight="1" s="444">
      <c r="A100" s="340" t="inlineStr">
        <is>
          <t>/</t>
        </is>
      </c>
      <c r="B100" s="65">
        <f>B99+1</f>
        <v/>
      </c>
      <c r="C100" s="78" t="n"/>
      <c r="D100" s="83" t="n"/>
      <c r="E100" s="83" t="n"/>
      <c r="F100" s="329" t="n"/>
      <c r="G100" s="71" t="n">
        <v>40725</v>
      </c>
      <c r="H100" s="77" t="inlineStr">
        <is>
          <t>Compito</t>
        </is>
      </c>
      <c r="I100" s="77">
        <f>IF((V100-R100)&gt;3,"SI","")</f>
        <v/>
      </c>
      <c r="J100" s="77">
        <f>IF((U100-R100)&gt;3,"SI","")</f>
        <v/>
      </c>
      <c r="K100" s="77" t="n"/>
      <c r="L100" s="77" t="n"/>
      <c r="M100" s="137">
        <f>IF(R100&gt;0,(SQRT(CC100*(SUM(CD100:CI100)))),"")</f>
        <v/>
      </c>
      <c r="N100" s="4">
        <f>IF(T100&gt;0,(MAX(T100,Z100,AD100,AH100,AL100,AP100))+SQRT(1.2^2+1^2),"")</f>
        <v/>
      </c>
      <c r="O100" s="3">
        <f>IF(R100="",0,10*LOG10(SUM(BP100:BU100)/(COUNT(R100,X100,AB100,AF100,AJ100,AN100))))</f>
        <v/>
      </c>
      <c r="P100" s="5">
        <f>IF(AND(Y100="",AC100="",AG100="",AK100="",AO100=""),S100,AVERAGE(S100,Y100,AC100,AG100,AK100,AO100)+STDEV(S100,Y100,AC100,AG100,AK100,AO100))</f>
        <v/>
      </c>
      <c r="Q100" s="14" t="n"/>
      <c r="R100" s="11" t="n"/>
      <c r="S100" s="12" t="n"/>
      <c r="T100" s="13" t="n"/>
      <c r="U100" s="79" t="n"/>
      <c r="V100" s="79" t="n"/>
      <c r="W100" s="10" t="n"/>
      <c r="X100" s="11" t="n"/>
      <c r="Y100" s="12" t="n"/>
      <c r="Z100" s="13" t="n"/>
      <c r="AA100" s="10" t="n"/>
      <c r="AB100" s="11" t="n"/>
      <c r="AC100" s="12" t="n"/>
      <c r="AD100" s="13" t="n"/>
      <c r="AE100" s="14" t="n"/>
      <c r="AF100" s="11" t="n"/>
      <c r="AG100" s="12" t="n"/>
      <c r="AH100" s="13" t="n"/>
      <c r="AI100" s="10" t="n"/>
      <c r="AJ100" s="11" t="n"/>
      <c r="AK100" s="12" t="n"/>
      <c r="AL100" s="13" t="n"/>
      <c r="AM100" s="10" t="n"/>
      <c r="AN100" s="11" t="n"/>
      <c r="AO100" s="12" t="n"/>
      <c r="AP100" s="13" t="n"/>
      <c r="AQ100" s="6">
        <f>IF(AND((O100)&lt;85,N100&lt;137),"NO","SI")</f>
        <v/>
      </c>
      <c r="AR100" s="7">
        <f>IF((480*(10^(7.95-(O100/10))))&lt;480,480*(10^(7.95-(O100/10))),480)</f>
        <v/>
      </c>
      <c r="AS100" s="8">
        <f>IF((480*(10^(8.45-(O100/10))))&lt;480,480*(10^(8.45-(O100/10))),480)</f>
        <v/>
      </c>
      <c r="AT100" s="9">
        <f>IF((480*(10^(8.65-(O100/10))))&lt;480,480*(10^(8.65-(O100/10))),480)</f>
        <v/>
      </c>
      <c r="AU100" s="111">
        <f>IF(O100&lt;80,"0",IF((P100-O100)&lt;=2,('DPI art.191'!$G$3-(('DPI art.191'!$F$3-'DPI art.191'!$G$3)/4)*(P100-O100-2)),('DPI art.191'!$G$3-(('DPI art.191'!$G$3-'DPI art.191'!$H$3)/8)*(P100-O100-2))))</f>
        <v/>
      </c>
      <c r="AV100" s="24">
        <f>O100-AU100</f>
        <v/>
      </c>
      <c r="AW100" s="24">
        <f>IF(N100&lt;135,N100,N100-'DPI art.191'!$I$3)</f>
        <v/>
      </c>
      <c r="AX100" s="111">
        <f>IF(I100&lt;80,"0",IF((J100-I100)&lt;=2,('DPI art.191'!$G$7-(('DPI art.191'!$F$7-'DPI art.191'!$G$7)/4)*(I100-J100-2)),('DPI art.191'!$G$7-(('DPI art.191'!$G$7-'DPI art.191'!$H$7)/8)*(J100-I100-2))))</f>
        <v/>
      </c>
      <c r="AY100" s="24">
        <f>I100-AX100</f>
        <v/>
      </c>
      <c r="AZ100" s="24">
        <f>IF(H100&lt;135,H100,H100-'DPI art.191'!$I$7)</f>
        <v/>
      </c>
      <c r="BA100" s="111">
        <f>IF(O100&lt;80,"0",IF((P100-O100)&lt;=2,('DPI art.191'!$G$5-(('DPI art.191'!$F$5-'DPI art.191'!$G$5)/4)*(P100-O100-2)),('DPI art.191'!$G$5-(('DPI art.191'!$G$5-'DPI art.191'!$H$5)/8)*(P100-O100-2))))</f>
        <v/>
      </c>
      <c r="BB100" s="24">
        <f>R100-BA100</f>
        <v/>
      </c>
      <c r="BC100" s="24">
        <f>IF(N100&lt;135,N100,N100-'DPI art.191'!$I$5)</f>
        <v/>
      </c>
      <c r="BD100" s="111">
        <f>IF(O100&lt;80,"0",IF((P100-O100)&lt;=2,('DPI art.191'!$G$7-(('DPI art.191'!$F$7-'DPI art.191'!$G$7)/4)*(O100-P100-2)),('DPI art.191'!$G$7-(('DPI art.191'!$G$7-'DPI art.191'!$H$7)/8)*(P100-O100-2))))</f>
        <v/>
      </c>
      <c r="BE100" s="24">
        <f>O100-BD100</f>
        <v/>
      </c>
      <c r="BF100" s="24">
        <f>IF(N100&lt;135,N100,N100-'DPI art.191'!$I$7)</f>
        <v/>
      </c>
      <c r="BG100" s="111">
        <f>IF(AA100&lt;80,"0",IF((AB100-AA100)&lt;=2,('DPI art.191'!$G$3-(('DPI art.191'!$F$3-'DPI art.191'!$G$3)/4)*(AB100-AA100-2)),('DPI art.191'!$G$3-(('DPI art.191'!$G$3-'DPI art.191'!$H$3)/8)*(AB100-AA100-2))))</f>
        <v/>
      </c>
      <c r="BH100" s="24">
        <f>AA100-BG100</f>
        <v/>
      </c>
      <c r="BI100" s="24">
        <f>IF(Z100&lt;135,Z100,Z100-'DPI art.191'!$I$3)</f>
        <v/>
      </c>
      <c r="BJ100" s="111">
        <f>IF(U100&lt;80,"0",IF((V100-U100)&lt;=2,('DPI art.191'!$G$7-(('DPI art.191'!$F$7-'DPI art.191'!$G$7)/4)*(U100-V100-2)),('DPI art.191'!$G$7-(('DPI art.191'!$G$7-'DPI art.191'!$H$7)/8)*(V100-U100-2))))</f>
        <v/>
      </c>
      <c r="BK100" s="24">
        <f>U100-BJ100</f>
        <v/>
      </c>
      <c r="BL100" s="24">
        <f>IF(T100&lt;135,T100,T100-'DPI art.191'!$I$7)</f>
        <v/>
      </c>
      <c r="BM100" s="111">
        <f>IF(AA100&lt;80,"0",IF((AB100-AA100)&lt;=2,('DPI art.191'!$G$5-(('DPI art.191'!$F$5-'DPI art.191'!$G$5)/4)*(AB100-AA100-2)),('DPI art.191'!$G$5-(('DPI art.191'!$G$5-'DPI art.191'!$H$5)/8)*(AB100-AA100-2))))</f>
        <v/>
      </c>
      <c r="BN100" s="24">
        <f>AD100-BM100</f>
        <v/>
      </c>
      <c r="BO100" s="24">
        <f>IF(Z100&lt;135,Z100,Z100-'DPI art.191'!$I$5)</f>
        <v/>
      </c>
      <c r="BP100" s="108">
        <f>10^(0.1*R100)</f>
        <v/>
      </c>
      <c r="BQ100" s="108">
        <f>10^(0.1*X100)</f>
        <v/>
      </c>
      <c r="BR100" s="108">
        <f>10^(0.1*AB100)</f>
        <v/>
      </c>
      <c r="BS100" s="108">
        <f>10^(0.1*AF100)</f>
        <v/>
      </c>
      <c r="BT100" s="108">
        <f>10^(0.1*AJ100)</f>
        <v/>
      </c>
      <c r="BU100" s="108">
        <f>10^(0.1*AN100)</f>
        <v/>
      </c>
      <c r="BV100" s="106">
        <f>IF(R100&gt;0,(O100-R100),"")</f>
        <v/>
      </c>
      <c r="BW100" s="106">
        <f>IF(X100&gt;0,(O100-X100),"")</f>
        <v/>
      </c>
      <c r="BX100" s="106">
        <f>IF(AB100&gt;0,(O100-AB100),"")</f>
        <v/>
      </c>
      <c r="BY100" s="106">
        <f>IF(AF100&gt;0,(O100-AF100),"")</f>
        <v/>
      </c>
      <c r="BZ100" s="106">
        <f>IF(AJ100&gt;0,(O100-AJ100),"")</f>
        <v/>
      </c>
      <c r="CA100" s="106">
        <f>IF(AN100&gt;0,(O100-AN100),"")</f>
        <v/>
      </c>
      <c r="CB100" s="106">
        <f>COUNT(BV100:CA100)</f>
        <v/>
      </c>
      <c r="CC100" s="464">
        <f>IF(CB100=0,0,IF(CB100=1,0,1/(CB100*(CB100-1))))</f>
        <v/>
      </c>
      <c r="CD100" s="136">
        <f>IF(R100&gt;0,(BV100^2),"")</f>
        <v/>
      </c>
      <c r="CE100" s="136">
        <f>IF(X100&gt;0,(BW100^2),"")</f>
        <v/>
      </c>
      <c r="CF100" s="136">
        <f>IF(AB100&gt;0,(BX100^2),"")</f>
        <v/>
      </c>
      <c r="CG100" s="136">
        <f>IF(AF100&gt;0,(BY100^2),"")</f>
        <v/>
      </c>
      <c r="CH100" s="136">
        <f>IF(AJ100&gt;0,(BZ100^2),"")</f>
        <v/>
      </c>
      <c r="CI100" s="136">
        <f>IF(AN100&gt;0,(CA100^2),"")</f>
        <v/>
      </c>
    </row>
    <row r="101" ht="18.75" customHeight="1" s="444">
      <c r="A101" s="340" t="inlineStr">
        <is>
          <t>/</t>
        </is>
      </c>
      <c r="B101" s="65">
        <f>B100+1</f>
        <v/>
      </c>
      <c r="C101" s="78" t="n"/>
      <c r="D101" s="83" t="n"/>
      <c r="E101" s="83" t="n"/>
      <c r="F101" s="329" t="n"/>
      <c r="G101" s="71" t="n">
        <v>40725</v>
      </c>
      <c r="H101" s="77" t="inlineStr">
        <is>
          <t>Compito</t>
        </is>
      </c>
      <c r="I101" s="77">
        <f>IF((V101-R101)&gt;3,"SI","")</f>
        <v/>
      </c>
      <c r="J101" s="77">
        <f>IF((U101-R101)&gt;3,"SI","")</f>
        <v/>
      </c>
      <c r="K101" s="77" t="n"/>
      <c r="L101" s="77" t="n"/>
      <c r="M101" s="137">
        <f>IF(R101&gt;0,(SQRT(CC101*(SUM(CD101:CI101)))),"")</f>
        <v/>
      </c>
      <c r="N101" s="4">
        <f>IF(T101&gt;0,(MAX(T101,Z101,AD101,AH101,AL101,AP101))+SQRT(1.2^2+1^2),"")</f>
        <v/>
      </c>
      <c r="O101" s="3">
        <f>IF(R101="",0,10*LOG10(SUM(BP101:BU101)/(COUNT(R101,X101,AB101,AF101,AJ101,AN101))))</f>
        <v/>
      </c>
      <c r="P101" s="5">
        <f>IF(AND(Y101="",AC101="",AG101="",AK101="",AO101=""),S101,AVERAGE(S101,Y101,AC101,AG101,AK101,AO101)+STDEV(S101,Y101,AC101,AG101,AK101,AO101))</f>
        <v/>
      </c>
      <c r="Q101" s="14" t="n"/>
      <c r="R101" s="11" t="n"/>
      <c r="S101" s="12" t="n"/>
      <c r="T101" s="13" t="n"/>
      <c r="U101" s="79" t="n"/>
      <c r="V101" s="79" t="n"/>
      <c r="W101" s="10" t="n"/>
      <c r="X101" s="11" t="n"/>
      <c r="Y101" s="12" t="n"/>
      <c r="Z101" s="13" t="n"/>
      <c r="AA101" s="10" t="n"/>
      <c r="AB101" s="11" t="n"/>
      <c r="AC101" s="12" t="n"/>
      <c r="AD101" s="13" t="n"/>
      <c r="AE101" s="14" t="n"/>
      <c r="AF101" s="11" t="n"/>
      <c r="AG101" s="12" t="n"/>
      <c r="AH101" s="13" t="n"/>
      <c r="AI101" s="10" t="n"/>
      <c r="AJ101" s="11" t="n"/>
      <c r="AK101" s="12" t="n"/>
      <c r="AL101" s="13" t="n"/>
      <c r="AM101" s="10" t="n"/>
      <c r="AN101" s="11" t="n"/>
      <c r="AO101" s="12" t="n"/>
      <c r="AP101" s="13" t="n"/>
      <c r="AQ101" s="6">
        <f>IF(AND((O101)&lt;85,N101&lt;137),"NO","SI")</f>
        <v/>
      </c>
      <c r="AR101" s="7">
        <f>IF((480*(10^(7.95-(O101/10))))&lt;480,480*(10^(7.95-(O101/10))),480)</f>
        <v/>
      </c>
      <c r="AS101" s="8">
        <f>IF((480*(10^(8.45-(O101/10))))&lt;480,480*(10^(8.45-(O101/10))),480)</f>
        <v/>
      </c>
      <c r="AT101" s="9">
        <f>IF((480*(10^(8.65-(O101/10))))&lt;480,480*(10^(8.65-(O101/10))),480)</f>
        <v/>
      </c>
      <c r="AU101" s="111">
        <f>IF(O101&lt;80,"0",IF((P101-O101)&lt;=2,('DPI art.191'!$G$3-(('DPI art.191'!$F$3-'DPI art.191'!$G$3)/4)*(P101-O101-2)),('DPI art.191'!$G$3-(('DPI art.191'!$G$3-'DPI art.191'!$H$3)/8)*(P101-O101-2))))</f>
        <v/>
      </c>
      <c r="AV101" s="24">
        <f>O101-AU101</f>
        <v/>
      </c>
      <c r="AW101" s="24">
        <f>IF(N101&lt;135,N101,N101-'DPI art.191'!$I$3)</f>
        <v/>
      </c>
      <c r="AX101" s="111">
        <f>IF(I101&lt;80,"0",IF((J101-I101)&lt;=2,('DPI art.191'!$G$7-(('DPI art.191'!$F$7-'DPI art.191'!$G$7)/4)*(I101-J101-2)),('DPI art.191'!$G$7-(('DPI art.191'!$G$7-'DPI art.191'!$H$7)/8)*(J101-I101-2))))</f>
        <v/>
      </c>
      <c r="AY101" s="24">
        <f>I101-AX101</f>
        <v/>
      </c>
      <c r="AZ101" s="24">
        <f>IF(H101&lt;135,H101,H101-'DPI art.191'!$I$7)</f>
        <v/>
      </c>
      <c r="BA101" s="111">
        <f>IF(O101&lt;80,"0",IF((P101-O101)&lt;=2,('DPI art.191'!$G$5-(('DPI art.191'!$F$5-'DPI art.191'!$G$5)/4)*(P101-O101-2)),('DPI art.191'!$G$5-(('DPI art.191'!$G$5-'DPI art.191'!$H$5)/8)*(P101-O101-2))))</f>
        <v/>
      </c>
      <c r="BB101" s="24">
        <f>R101-BA101</f>
        <v/>
      </c>
      <c r="BC101" s="24">
        <f>IF(N101&lt;135,N101,N101-'DPI art.191'!$I$5)</f>
        <v/>
      </c>
      <c r="BD101" s="111">
        <f>IF(O101&lt;80,"0",IF((P101-O101)&lt;=2,('DPI art.191'!$G$7-(('DPI art.191'!$F$7-'DPI art.191'!$G$7)/4)*(O101-P101-2)),('DPI art.191'!$G$7-(('DPI art.191'!$G$7-'DPI art.191'!$H$7)/8)*(P101-O101-2))))</f>
        <v/>
      </c>
      <c r="BE101" s="24">
        <f>O101-BD101</f>
        <v/>
      </c>
      <c r="BF101" s="24">
        <f>IF(N101&lt;135,N101,N101-'DPI art.191'!$I$7)</f>
        <v/>
      </c>
      <c r="BG101" s="111">
        <f>IF(AA101&lt;80,"0",IF((AB101-AA101)&lt;=2,('DPI art.191'!$G$3-(('DPI art.191'!$F$3-'DPI art.191'!$G$3)/4)*(AB101-AA101-2)),('DPI art.191'!$G$3-(('DPI art.191'!$G$3-'DPI art.191'!$H$3)/8)*(AB101-AA101-2))))</f>
        <v/>
      </c>
      <c r="BH101" s="24">
        <f>AA101-BG101</f>
        <v/>
      </c>
      <c r="BI101" s="24">
        <f>IF(Z101&lt;135,Z101,Z101-'DPI art.191'!$I$3)</f>
        <v/>
      </c>
      <c r="BJ101" s="111">
        <f>IF(U101&lt;80,"0",IF((V101-U101)&lt;=2,('DPI art.191'!$G$7-(('DPI art.191'!$F$7-'DPI art.191'!$G$7)/4)*(U101-V101-2)),('DPI art.191'!$G$7-(('DPI art.191'!$G$7-'DPI art.191'!$H$7)/8)*(V101-U101-2))))</f>
        <v/>
      </c>
      <c r="BK101" s="24">
        <f>U101-BJ101</f>
        <v/>
      </c>
      <c r="BL101" s="24">
        <f>IF(T101&lt;135,T101,T101-'DPI art.191'!$I$7)</f>
        <v/>
      </c>
      <c r="BM101" s="111">
        <f>IF(AA101&lt;80,"0",IF((AB101-AA101)&lt;=2,('DPI art.191'!$G$5-(('DPI art.191'!$F$5-'DPI art.191'!$G$5)/4)*(AB101-AA101-2)),('DPI art.191'!$G$5-(('DPI art.191'!$G$5-'DPI art.191'!$H$5)/8)*(AB101-AA101-2))))</f>
        <v/>
      </c>
      <c r="BN101" s="24">
        <f>AD101-BM101</f>
        <v/>
      </c>
      <c r="BO101" s="24">
        <f>IF(Z101&lt;135,Z101,Z101-'DPI art.191'!$I$5)</f>
        <v/>
      </c>
      <c r="BP101" s="108">
        <f>10^(0.1*R101)</f>
        <v/>
      </c>
      <c r="BQ101" s="108">
        <f>10^(0.1*X101)</f>
        <v/>
      </c>
      <c r="BR101" s="108">
        <f>10^(0.1*AB101)</f>
        <v/>
      </c>
      <c r="BS101" s="108">
        <f>10^(0.1*AF101)</f>
        <v/>
      </c>
      <c r="BT101" s="108">
        <f>10^(0.1*AJ101)</f>
        <v/>
      </c>
      <c r="BU101" s="108">
        <f>10^(0.1*AN101)</f>
        <v/>
      </c>
      <c r="BV101" s="106">
        <f>IF(R101&gt;0,(O101-R101),"")</f>
        <v/>
      </c>
      <c r="BW101" s="106">
        <f>IF(X101&gt;0,(O101-X101),"")</f>
        <v/>
      </c>
      <c r="BX101" s="106">
        <f>IF(AB101&gt;0,(O101-AB101),"")</f>
        <v/>
      </c>
      <c r="BY101" s="106">
        <f>IF(AF101&gt;0,(O101-AF101),"")</f>
        <v/>
      </c>
      <c r="BZ101" s="106">
        <f>IF(AJ101&gt;0,(O101-AJ101),"")</f>
        <v/>
      </c>
      <c r="CA101" s="106">
        <f>IF(AN101&gt;0,(O101-AN101),"")</f>
        <v/>
      </c>
      <c r="CB101" s="106">
        <f>COUNT(BV101:CA101)</f>
        <v/>
      </c>
      <c r="CC101" s="464">
        <f>IF(CB101=0,0,IF(CB101=1,0,1/(CB101*(CB101-1))))</f>
        <v/>
      </c>
      <c r="CD101" s="136">
        <f>IF(R101&gt;0,(BV101^2),"")</f>
        <v/>
      </c>
      <c r="CE101" s="136">
        <f>IF(X101&gt;0,(BW101^2),"")</f>
        <v/>
      </c>
      <c r="CF101" s="136">
        <f>IF(AB101&gt;0,(BX101^2),"")</f>
        <v/>
      </c>
      <c r="CG101" s="136">
        <f>IF(AF101&gt;0,(BY101^2),"")</f>
        <v/>
      </c>
      <c r="CH101" s="136">
        <f>IF(AJ101&gt;0,(BZ101^2),"")</f>
        <v/>
      </c>
      <c r="CI101" s="136">
        <f>IF(AN101&gt;0,(CA101^2),"")</f>
        <v/>
      </c>
    </row>
    <row r="102" ht="18.75" customHeight="1" s="444">
      <c r="A102" s="340" t="inlineStr">
        <is>
          <t>/</t>
        </is>
      </c>
      <c r="B102" s="65">
        <f>B101+1</f>
        <v/>
      </c>
      <c r="C102" s="78" t="n"/>
      <c r="D102" s="83" t="n"/>
      <c r="E102" s="83" t="n"/>
      <c r="F102" s="329" t="n"/>
      <c r="G102" s="71" t="n">
        <v>40725</v>
      </c>
      <c r="H102" s="77" t="inlineStr">
        <is>
          <t>Compito</t>
        </is>
      </c>
      <c r="I102" s="77">
        <f>IF((V102-R102)&gt;3,"SI","")</f>
        <v/>
      </c>
      <c r="J102" s="77">
        <f>IF((U102-R102)&gt;3,"SI","")</f>
        <v/>
      </c>
      <c r="K102" s="77" t="n"/>
      <c r="L102" s="77" t="n"/>
      <c r="M102" s="137">
        <f>IF(R102&gt;0,(SQRT(CC102*(SUM(CD102:CI102)))),"")</f>
        <v/>
      </c>
      <c r="N102" s="4">
        <f>IF(T102&gt;0,(MAX(T102,Z102,AD102,AH102,AL102,AP102))+SQRT(1.2^2+1^2),"")</f>
        <v/>
      </c>
      <c r="O102" s="3">
        <f>IF(R102="",0,10*LOG10(SUM(BP102:BU102)/(COUNT(R102,X102,AB102,AF102,AJ102,AN102))))</f>
        <v/>
      </c>
      <c r="P102" s="5">
        <f>IF(AND(Y102="",AC102="",AG102="",AK102="",AO102=""),S102,AVERAGE(S102,Y102,AC102,AG102,AK102,AO102)+STDEV(S102,Y102,AC102,AG102,AK102,AO102))</f>
        <v/>
      </c>
      <c r="Q102" s="14" t="n"/>
      <c r="R102" s="11" t="n"/>
      <c r="S102" s="12" t="n"/>
      <c r="T102" s="13" t="n"/>
      <c r="U102" s="79" t="n"/>
      <c r="V102" s="79" t="n"/>
      <c r="W102" s="10" t="n"/>
      <c r="X102" s="11" t="n"/>
      <c r="Y102" s="12" t="n"/>
      <c r="Z102" s="13" t="n"/>
      <c r="AA102" s="10" t="n"/>
      <c r="AB102" s="11" t="n"/>
      <c r="AC102" s="12" t="n"/>
      <c r="AD102" s="13" t="n"/>
      <c r="AE102" s="14" t="n"/>
      <c r="AF102" s="11" t="n"/>
      <c r="AG102" s="12" t="n"/>
      <c r="AH102" s="13" t="n"/>
      <c r="AI102" s="10" t="n"/>
      <c r="AJ102" s="11" t="n"/>
      <c r="AK102" s="12" t="n"/>
      <c r="AL102" s="13" t="n"/>
      <c r="AM102" s="10" t="n"/>
      <c r="AN102" s="11" t="n"/>
      <c r="AO102" s="12" t="n"/>
      <c r="AP102" s="13" t="n"/>
      <c r="AQ102" s="6">
        <f>IF(AND((O102)&lt;85,N102&lt;137),"NO","SI")</f>
        <v/>
      </c>
      <c r="AR102" s="7">
        <f>IF((480*(10^(7.95-(O102/10))))&lt;480,480*(10^(7.95-(O102/10))),480)</f>
        <v/>
      </c>
      <c r="AS102" s="8">
        <f>IF((480*(10^(8.45-(O102/10))))&lt;480,480*(10^(8.45-(O102/10))),480)</f>
        <v/>
      </c>
      <c r="AT102" s="9">
        <f>IF((480*(10^(8.65-(O102/10))))&lt;480,480*(10^(8.65-(O102/10))),480)</f>
        <v/>
      </c>
      <c r="AU102" s="111">
        <f>IF(O102&lt;80,"0",IF((P102-O102)&lt;=2,('DPI art.191'!$G$3-(('DPI art.191'!$F$3-'DPI art.191'!$G$3)/4)*(P102-O102-2)),('DPI art.191'!$G$3-(('DPI art.191'!$G$3-'DPI art.191'!$H$3)/8)*(P102-O102-2))))</f>
        <v/>
      </c>
      <c r="AV102" s="24">
        <f>O102-AU102</f>
        <v/>
      </c>
      <c r="AW102" s="24">
        <f>IF(N102&lt;135,N102,N102-'DPI art.191'!$I$3)</f>
        <v/>
      </c>
      <c r="AX102" s="111">
        <f>IF(I102&lt;80,"0",IF((J102-I102)&lt;=2,('DPI art.191'!$G$7-(('DPI art.191'!$F$7-'DPI art.191'!$G$7)/4)*(I102-J102-2)),('DPI art.191'!$G$7-(('DPI art.191'!$G$7-'DPI art.191'!$H$7)/8)*(J102-I102-2))))</f>
        <v/>
      </c>
      <c r="AY102" s="24">
        <f>I102-AX102</f>
        <v/>
      </c>
      <c r="AZ102" s="24">
        <f>IF(H102&lt;135,H102,H102-'DPI art.191'!$I$7)</f>
        <v/>
      </c>
      <c r="BA102" s="111">
        <f>IF(O102&lt;80,"0",IF((P102-O102)&lt;=2,('DPI art.191'!$G$5-(('DPI art.191'!$F$5-'DPI art.191'!$G$5)/4)*(P102-O102-2)),('DPI art.191'!$G$5-(('DPI art.191'!$G$5-'DPI art.191'!$H$5)/8)*(P102-O102-2))))</f>
        <v/>
      </c>
      <c r="BB102" s="24">
        <f>R102-BA102</f>
        <v/>
      </c>
      <c r="BC102" s="24">
        <f>IF(N102&lt;135,N102,N102-'DPI art.191'!$I$5)</f>
        <v/>
      </c>
      <c r="BD102" s="111">
        <f>IF(O102&lt;80,"0",IF((P102-O102)&lt;=2,('DPI art.191'!$G$7-(('DPI art.191'!$F$7-'DPI art.191'!$G$7)/4)*(O102-P102-2)),('DPI art.191'!$G$7-(('DPI art.191'!$G$7-'DPI art.191'!$H$7)/8)*(P102-O102-2))))</f>
        <v/>
      </c>
      <c r="BE102" s="24">
        <f>O102-BD102</f>
        <v/>
      </c>
      <c r="BF102" s="24">
        <f>IF(N102&lt;135,N102,N102-'DPI art.191'!$I$7)</f>
        <v/>
      </c>
      <c r="BG102" s="111">
        <f>IF(AA102&lt;80,"0",IF((AB102-AA102)&lt;=2,('DPI art.191'!$G$3-(('DPI art.191'!$F$3-'DPI art.191'!$G$3)/4)*(AB102-AA102-2)),('DPI art.191'!$G$3-(('DPI art.191'!$G$3-'DPI art.191'!$H$3)/8)*(AB102-AA102-2))))</f>
        <v/>
      </c>
      <c r="BH102" s="24">
        <f>AA102-BG102</f>
        <v/>
      </c>
      <c r="BI102" s="24">
        <f>IF(Z102&lt;135,Z102,Z102-'DPI art.191'!$I$3)</f>
        <v/>
      </c>
      <c r="BJ102" s="111">
        <f>IF(U102&lt;80,"0",IF((V102-U102)&lt;=2,('DPI art.191'!$G$7-(('DPI art.191'!$F$7-'DPI art.191'!$G$7)/4)*(U102-V102-2)),('DPI art.191'!$G$7-(('DPI art.191'!$G$7-'DPI art.191'!$H$7)/8)*(V102-U102-2))))</f>
        <v/>
      </c>
      <c r="BK102" s="24">
        <f>U102-BJ102</f>
        <v/>
      </c>
      <c r="BL102" s="24">
        <f>IF(T102&lt;135,T102,T102-'DPI art.191'!$I$7)</f>
        <v/>
      </c>
      <c r="BM102" s="111">
        <f>IF(AA102&lt;80,"0",IF((AB102-AA102)&lt;=2,('DPI art.191'!$G$5-(('DPI art.191'!$F$5-'DPI art.191'!$G$5)/4)*(AB102-AA102-2)),('DPI art.191'!$G$5-(('DPI art.191'!$G$5-'DPI art.191'!$H$5)/8)*(AB102-AA102-2))))</f>
        <v/>
      </c>
      <c r="BN102" s="24">
        <f>AD102-BM102</f>
        <v/>
      </c>
      <c r="BO102" s="24">
        <f>IF(Z102&lt;135,Z102,Z102-'DPI art.191'!$I$5)</f>
        <v/>
      </c>
      <c r="BP102" s="108">
        <f>10^(0.1*R102)</f>
        <v/>
      </c>
      <c r="BQ102" s="108">
        <f>10^(0.1*X102)</f>
        <v/>
      </c>
      <c r="BR102" s="108">
        <f>10^(0.1*AB102)</f>
        <v/>
      </c>
      <c r="BS102" s="108">
        <f>10^(0.1*AF102)</f>
        <v/>
      </c>
      <c r="BT102" s="108">
        <f>10^(0.1*AJ102)</f>
        <v/>
      </c>
      <c r="BU102" s="108">
        <f>10^(0.1*AN102)</f>
        <v/>
      </c>
      <c r="BV102" s="106">
        <f>IF(R102&gt;0,(O102-R102),"")</f>
        <v/>
      </c>
      <c r="BW102" s="106">
        <f>IF(X102&gt;0,(O102-X102),"")</f>
        <v/>
      </c>
      <c r="BX102" s="106">
        <f>IF(AB102&gt;0,(O102-AB102),"")</f>
        <v/>
      </c>
      <c r="BY102" s="106">
        <f>IF(AF102&gt;0,(O102-AF102),"")</f>
        <v/>
      </c>
      <c r="BZ102" s="106">
        <f>IF(AJ102&gt;0,(O102-AJ102),"")</f>
        <v/>
      </c>
      <c r="CA102" s="106">
        <f>IF(AN102&gt;0,(O102-AN102),"")</f>
        <v/>
      </c>
      <c r="CB102" s="106">
        <f>COUNT(BV102:CA102)</f>
        <v/>
      </c>
      <c r="CC102" s="464">
        <f>IF(CB102=0,0,IF(CB102=1,0,1/(CB102*(CB102-1))))</f>
        <v/>
      </c>
      <c r="CD102" s="136">
        <f>IF(R102&gt;0,(BV102^2),"")</f>
        <v/>
      </c>
      <c r="CE102" s="136">
        <f>IF(X102&gt;0,(BW102^2),"")</f>
        <v/>
      </c>
      <c r="CF102" s="136">
        <f>IF(AB102&gt;0,(BX102^2),"")</f>
        <v/>
      </c>
      <c r="CG102" s="136">
        <f>IF(AF102&gt;0,(BY102^2),"")</f>
        <v/>
      </c>
      <c r="CH102" s="136">
        <f>IF(AJ102&gt;0,(BZ102^2),"")</f>
        <v/>
      </c>
      <c r="CI102" s="136">
        <f>IF(AN102&gt;0,(CA102^2),"")</f>
        <v/>
      </c>
    </row>
    <row r="103" ht="18.75" customHeight="1" s="444">
      <c r="A103" s="340" t="inlineStr">
        <is>
          <t>/</t>
        </is>
      </c>
      <c r="B103" s="65">
        <f>B102+1</f>
        <v/>
      </c>
      <c r="C103" s="78" t="n"/>
      <c r="D103" s="83" t="n"/>
      <c r="E103" s="83" t="n"/>
      <c r="F103" s="329" t="n"/>
      <c r="G103" s="71" t="n">
        <v>40725</v>
      </c>
      <c r="H103" s="77" t="inlineStr">
        <is>
          <t>Compito</t>
        </is>
      </c>
      <c r="I103" s="77">
        <f>IF((V103-R103)&gt;3,"SI","")</f>
        <v/>
      </c>
      <c r="J103" s="77">
        <f>IF((U103-R103)&gt;3,"SI","")</f>
        <v/>
      </c>
      <c r="K103" s="77" t="n"/>
      <c r="L103" s="77" t="n"/>
      <c r="M103" s="137">
        <f>IF(R103&gt;0,(SQRT(CC103*(SUM(CD103:CI103)))),"")</f>
        <v/>
      </c>
      <c r="N103" s="4">
        <f>IF(T103&gt;0,(MAX(T103,Z103,AD103,AH103,AL103,AP103))+SQRT(1.2^2+1^2),"")</f>
        <v/>
      </c>
      <c r="O103" s="3">
        <f>IF(R103="",0,10*LOG10(SUM(BP103:BU103)/(COUNT(R103,X103,AB103,AF103,AJ103,AN103))))</f>
        <v/>
      </c>
      <c r="P103" s="5">
        <f>IF(AND(Y103="",AC103="",AG103="",AK103="",AO103=""),S103,AVERAGE(S103,Y103,AC103,AG103,AK103,AO103)+STDEV(S103,Y103,AC103,AG103,AK103,AO103))</f>
        <v/>
      </c>
      <c r="Q103" s="14" t="n"/>
      <c r="R103" s="11" t="n"/>
      <c r="S103" s="12" t="n"/>
      <c r="T103" s="13" t="n"/>
      <c r="U103" s="79" t="n"/>
      <c r="V103" s="79" t="n"/>
      <c r="W103" s="10" t="n"/>
      <c r="X103" s="11" t="n"/>
      <c r="Y103" s="12" t="n"/>
      <c r="Z103" s="13" t="n"/>
      <c r="AA103" s="10" t="n"/>
      <c r="AB103" s="11" t="n"/>
      <c r="AC103" s="12" t="n"/>
      <c r="AD103" s="13" t="n"/>
      <c r="AE103" s="14" t="n"/>
      <c r="AF103" s="11" t="n"/>
      <c r="AG103" s="12" t="n"/>
      <c r="AH103" s="13" t="n"/>
      <c r="AI103" s="10" t="n"/>
      <c r="AJ103" s="11" t="n"/>
      <c r="AK103" s="12" t="n"/>
      <c r="AL103" s="13" t="n"/>
      <c r="AM103" s="10" t="n"/>
      <c r="AN103" s="11" t="n"/>
      <c r="AO103" s="12" t="n"/>
      <c r="AP103" s="13" t="n"/>
      <c r="AQ103" s="6">
        <f>IF(AND((O103)&lt;85,N103&lt;137),"NO","SI")</f>
        <v/>
      </c>
      <c r="AR103" s="7">
        <f>IF((480*(10^(7.95-(O103/10))))&lt;480,480*(10^(7.95-(O103/10))),480)</f>
        <v/>
      </c>
      <c r="AS103" s="8">
        <f>IF((480*(10^(8.45-(O103/10))))&lt;480,480*(10^(8.45-(O103/10))),480)</f>
        <v/>
      </c>
      <c r="AT103" s="9">
        <f>IF((480*(10^(8.65-(O103/10))))&lt;480,480*(10^(8.65-(O103/10))),480)</f>
        <v/>
      </c>
      <c r="AU103" s="111">
        <f>IF(O103&lt;80,"0",IF((P103-O103)&lt;=2,('DPI art.191'!$G$3-(('DPI art.191'!$F$3-'DPI art.191'!$G$3)/4)*(P103-O103-2)),('DPI art.191'!$G$3-(('DPI art.191'!$G$3-'DPI art.191'!$H$3)/8)*(P103-O103-2))))</f>
        <v/>
      </c>
      <c r="AV103" s="24">
        <f>O103-AU103</f>
        <v/>
      </c>
      <c r="AW103" s="24">
        <f>IF(N103&lt;135,N103,N103-'DPI art.191'!$I$3)</f>
        <v/>
      </c>
      <c r="AX103" s="111">
        <f>IF(I103&lt;80,"0",IF((J103-I103)&lt;=2,('DPI art.191'!$G$7-(('DPI art.191'!$F$7-'DPI art.191'!$G$7)/4)*(I103-J103-2)),('DPI art.191'!$G$7-(('DPI art.191'!$G$7-'DPI art.191'!$H$7)/8)*(J103-I103-2))))</f>
        <v/>
      </c>
      <c r="AY103" s="24">
        <f>I103-AX103</f>
        <v/>
      </c>
      <c r="AZ103" s="24">
        <f>IF(H103&lt;135,H103,H103-'DPI art.191'!$I$7)</f>
        <v/>
      </c>
      <c r="BA103" s="111">
        <f>IF(O103&lt;80,"0",IF((P103-O103)&lt;=2,('DPI art.191'!$G$5-(('DPI art.191'!$F$5-'DPI art.191'!$G$5)/4)*(P103-O103-2)),('DPI art.191'!$G$5-(('DPI art.191'!$G$5-'DPI art.191'!$H$5)/8)*(P103-O103-2))))</f>
        <v/>
      </c>
      <c r="BB103" s="24">
        <f>R103-BA103</f>
        <v/>
      </c>
      <c r="BC103" s="24">
        <f>IF(N103&lt;135,N103,N103-'DPI art.191'!$I$5)</f>
        <v/>
      </c>
      <c r="BD103" s="111">
        <f>IF(O103&lt;80,"0",IF((P103-O103)&lt;=2,('DPI art.191'!$G$7-(('DPI art.191'!$F$7-'DPI art.191'!$G$7)/4)*(O103-P103-2)),('DPI art.191'!$G$7-(('DPI art.191'!$G$7-'DPI art.191'!$H$7)/8)*(P103-O103-2))))</f>
        <v/>
      </c>
      <c r="BE103" s="24">
        <f>O103-BD103</f>
        <v/>
      </c>
      <c r="BF103" s="24">
        <f>IF(N103&lt;135,N103,N103-'DPI art.191'!$I$7)</f>
        <v/>
      </c>
      <c r="BG103" s="111">
        <f>IF(AA103&lt;80,"0",IF((AB103-AA103)&lt;=2,('DPI art.191'!$G$3-(('DPI art.191'!$F$3-'DPI art.191'!$G$3)/4)*(AB103-AA103-2)),('DPI art.191'!$G$3-(('DPI art.191'!$G$3-'DPI art.191'!$H$3)/8)*(AB103-AA103-2))))</f>
        <v/>
      </c>
      <c r="BH103" s="24">
        <f>AA103-BG103</f>
        <v/>
      </c>
      <c r="BI103" s="24">
        <f>IF(Z103&lt;135,Z103,Z103-'DPI art.191'!$I$3)</f>
        <v/>
      </c>
      <c r="BJ103" s="111">
        <f>IF(U103&lt;80,"0",IF((V103-U103)&lt;=2,('DPI art.191'!$G$7-(('DPI art.191'!$F$7-'DPI art.191'!$G$7)/4)*(U103-V103-2)),('DPI art.191'!$G$7-(('DPI art.191'!$G$7-'DPI art.191'!$H$7)/8)*(V103-U103-2))))</f>
        <v/>
      </c>
      <c r="BK103" s="24">
        <f>U103-BJ103</f>
        <v/>
      </c>
      <c r="BL103" s="24">
        <f>IF(T103&lt;135,T103,T103-'DPI art.191'!$I$7)</f>
        <v/>
      </c>
      <c r="BM103" s="111">
        <f>IF(AA103&lt;80,"0",IF((AB103-AA103)&lt;=2,('DPI art.191'!$G$5-(('DPI art.191'!$F$5-'DPI art.191'!$G$5)/4)*(AB103-AA103-2)),('DPI art.191'!$G$5-(('DPI art.191'!$G$5-'DPI art.191'!$H$5)/8)*(AB103-AA103-2))))</f>
        <v/>
      </c>
      <c r="BN103" s="24">
        <f>AD103-BM103</f>
        <v/>
      </c>
      <c r="BO103" s="24">
        <f>IF(Z103&lt;135,Z103,Z103-'DPI art.191'!$I$5)</f>
        <v/>
      </c>
      <c r="BP103" s="108">
        <f>10^(0.1*R103)</f>
        <v/>
      </c>
      <c r="BQ103" s="108">
        <f>10^(0.1*X103)</f>
        <v/>
      </c>
      <c r="BR103" s="108">
        <f>10^(0.1*AB103)</f>
        <v/>
      </c>
      <c r="BS103" s="108">
        <f>10^(0.1*AF103)</f>
        <v/>
      </c>
      <c r="BT103" s="108">
        <f>10^(0.1*AJ103)</f>
        <v/>
      </c>
      <c r="BU103" s="108">
        <f>10^(0.1*AN103)</f>
        <v/>
      </c>
      <c r="BV103" s="106">
        <f>IF(R103&gt;0,(O103-R103),"")</f>
        <v/>
      </c>
      <c r="BW103" s="106">
        <f>IF(X103&gt;0,(O103-X103),"")</f>
        <v/>
      </c>
      <c r="BX103" s="106">
        <f>IF(AB103&gt;0,(O103-AB103),"")</f>
        <v/>
      </c>
      <c r="BY103" s="106">
        <f>IF(AF103&gt;0,(O103-AF103),"")</f>
        <v/>
      </c>
      <c r="BZ103" s="106">
        <f>IF(AJ103&gt;0,(O103-AJ103),"")</f>
        <v/>
      </c>
      <c r="CA103" s="106">
        <f>IF(AN103&gt;0,(O103-AN103),"")</f>
        <v/>
      </c>
      <c r="CB103" s="106">
        <f>COUNT(BV103:CA103)</f>
        <v/>
      </c>
      <c r="CC103" s="464">
        <f>IF(CB103=0,0,IF(CB103=1,0,1/(CB103*(CB103-1))))</f>
        <v/>
      </c>
      <c r="CD103" s="136">
        <f>IF(R103&gt;0,(BV103^2),"")</f>
        <v/>
      </c>
      <c r="CE103" s="136">
        <f>IF(X103&gt;0,(BW103^2),"")</f>
        <v/>
      </c>
      <c r="CF103" s="136">
        <f>IF(AB103&gt;0,(BX103^2),"")</f>
        <v/>
      </c>
      <c r="CG103" s="136">
        <f>IF(AF103&gt;0,(BY103^2),"")</f>
        <v/>
      </c>
      <c r="CH103" s="136">
        <f>IF(AJ103&gt;0,(BZ103^2),"")</f>
        <v/>
      </c>
      <c r="CI103" s="136">
        <f>IF(AN103&gt;0,(CA103^2),"")</f>
        <v/>
      </c>
    </row>
    <row r="104" ht="18.75" customHeight="1" s="444">
      <c r="A104" s="340" t="inlineStr">
        <is>
          <t>/</t>
        </is>
      </c>
      <c r="B104" s="65">
        <f>B103+1</f>
        <v/>
      </c>
      <c r="C104" s="78" t="n"/>
      <c r="D104" s="83" t="n"/>
      <c r="E104" s="83" t="n"/>
      <c r="F104" s="329" t="n"/>
      <c r="G104" s="71" t="n">
        <v>40725</v>
      </c>
      <c r="H104" s="77" t="inlineStr">
        <is>
          <t>Compito</t>
        </is>
      </c>
      <c r="I104" s="77">
        <f>IF((V104-R104)&gt;3,"SI","")</f>
        <v/>
      </c>
      <c r="J104" s="77">
        <f>IF((U104-R104)&gt;3,"SI","")</f>
        <v/>
      </c>
      <c r="K104" s="77" t="n"/>
      <c r="L104" s="77" t="n"/>
      <c r="M104" s="137">
        <f>IF(R104&gt;0,(SQRT(CC104*(SUM(CD104:CI104)))),"")</f>
        <v/>
      </c>
      <c r="N104" s="4">
        <f>IF(T104&gt;0,(MAX(T104,Z104,AD104,AH104,AL104,AP104))+SQRT(1.2^2+1^2),"")</f>
        <v/>
      </c>
      <c r="O104" s="3">
        <f>IF(R104="",0,10*LOG10(SUM(BP104:BU104)/(COUNT(R104,X104,AB104,AF104,AJ104,AN104))))</f>
        <v/>
      </c>
      <c r="P104" s="5">
        <f>IF(AND(Y104="",AC104="",AG104="",AK104="",AO104=""),S104,AVERAGE(S104,Y104,AC104,AG104,AK104,AO104)+STDEV(S104,Y104,AC104,AG104,AK104,AO104))</f>
        <v/>
      </c>
      <c r="Q104" s="14" t="n"/>
      <c r="R104" s="11" t="n"/>
      <c r="S104" s="12" t="n"/>
      <c r="T104" s="13" t="n"/>
      <c r="U104" s="79" t="n"/>
      <c r="V104" s="79" t="n"/>
      <c r="W104" s="10" t="n"/>
      <c r="X104" s="11" t="n"/>
      <c r="Y104" s="12" t="n"/>
      <c r="Z104" s="13" t="n"/>
      <c r="AA104" s="10" t="n"/>
      <c r="AB104" s="11" t="n"/>
      <c r="AC104" s="12" t="n"/>
      <c r="AD104" s="13" t="n"/>
      <c r="AE104" s="14" t="n"/>
      <c r="AF104" s="11" t="n"/>
      <c r="AG104" s="12" t="n"/>
      <c r="AH104" s="13" t="n"/>
      <c r="AI104" s="10" t="n"/>
      <c r="AJ104" s="11" t="n"/>
      <c r="AK104" s="12" t="n"/>
      <c r="AL104" s="13" t="n"/>
      <c r="AM104" s="10" t="n"/>
      <c r="AN104" s="11" t="n"/>
      <c r="AO104" s="12" t="n"/>
      <c r="AP104" s="13" t="n"/>
      <c r="AQ104" s="6">
        <f>IF(AND((O104)&lt;85,N104&lt;137),"NO","SI")</f>
        <v/>
      </c>
      <c r="AR104" s="7">
        <f>IF((480*(10^(7.95-(O104/10))))&lt;480,480*(10^(7.95-(O104/10))),480)</f>
        <v/>
      </c>
      <c r="AS104" s="8">
        <f>IF((480*(10^(8.45-(O104/10))))&lt;480,480*(10^(8.45-(O104/10))),480)</f>
        <v/>
      </c>
      <c r="AT104" s="9">
        <f>IF((480*(10^(8.65-(O104/10))))&lt;480,480*(10^(8.65-(O104/10))),480)</f>
        <v/>
      </c>
      <c r="AU104" s="111">
        <f>IF(O104&lt;80,"0",IF((P104-O104)&lt;=2,('DPI art.191'!$G$3-(('DPI art.191'!$F$3-'DPI art.191'!$G$3)/4)*(P104-O104-2)),('DPI art.191'!$G$3-(('DPI art.191'!$G$3-'DPI art.191'!$H$3)/8)*(P104-O104-2))))</f>
        <v/>
      </c>
      <c r="AV104" s="24">
        <f>O104-AU104</f>
        <v/>
      </c>
      <c r="AW104" s="24">
        <f>IF(N104&lt;135,N104,N104-'DPI art.191'!$I$3)</f>
        <v/>
      </c>
      <c r="AX104" s="111">
        <f>IF(I104&lt;80,"0",IF((J104-I104)&lt;=2,('DPI art.191'!$G$7-(('DPI art.191'!$F$7-'DPI art.191'!$G$7)/4)*(I104-J104-2)),('DPI art.191'!$G$7-(('DPI art.191'!$G$7-'DPI art.191'!$H$7)/8)*(J104-I104-2))))</f>
        <v/>
      </c>
      <c r="AY104" s="24">
        <f>I104-AX104</f>
        <v/>
      </c>
      <c r="AZ104" s="24">
        <f>IF(H104&lt;135,H104,H104-'DPI art.191'!$I$7)</f>
        <v/>
      </c>
      <c r="BA104" s="111">
        <f>IF(O104&lt;80,"0",IF((P104-O104)&lt;=2,('DPI art.191'!$G$5-(('DPI art.191'!$F$5-'DPI art.191'!$G$5)/4)*(P104-O104-2)),('DPI art.191'!$G$5-(('DPI art.191'!$G$5-'DPI art.191'!$H$5)/8)*(P104-O104-2))))</f>
        <v/>
      </c>
      <c r="BB104" s="24">
        <f>R104-BA104</f>
        <v/>
      </c>
      <c r="BC104" s="24">
        <f>IF(N104&lt;135,N104,N104-'DPI art.191'!$I$5)</f>
        <v/>
      </c>
      <c r="BD104" s="111">
        <f>IF(O104&lt;80,"0",IF((P104-O104)&lt;=2,('DPI art.191'!$G$7-(('DPI art.191'!$F$7-'DPI art.191'!$G$7)/4)*(O104-P104-2)),('DPI art.191'!$G$7-(('DPI art.191'!$G$7-'DPI art.191'!$H$7)/8)*(P104-O104-2))))</f>
        <v/>
      </c>
      <c r="BE104" s="24">
        <f>O104-BD104</f>
        <v/>
      </c>
      <c r="BF104" s="24">
        <f>IF(N104&lt;135,N104,N104-'DPI art.191'!$I$7)</f>
        <v/>
      </c>
      <c r="BG104" s="111">
        <f>IF(AA104&lt;80,"0",IF((AB104-AA104)&lt;=2,('DPI art.191'!$G$3-(('DPI art.191'!$F$3-'DPI art.191'!$G$3)/4)*(AB104-AA104-2)),('DPI art.191'!$G$3-(('DPI art.191'!$G$3-'DPI art.191'!$H$3)/8)*(AB104-AA104-2))))</f>
        <v/>
      </c>
      <c r="BH104" s="24">
        <f>AA104-BG104</f>
        <v/>
      </c>
      <c r="BI104" s="24">
        <f>IF(Z104&lt;135,Z104,Z104-'DPI art.191'!$I$3)</f>
        <v/>
      </c>
      <c r="BJ104" s="111">
        <f>IF(U104&lt;80,"0",IF((V104-U104)&lt;=2,('DPI art.191'!$G$7-(('DPI art.191'!$F$7-'DPI art.191'!$G$7)/4)*(U104-V104-2)),('DPI art.191'!$G$7-(('DPI art.191'!$G$7-'DPI art.191'!$H$7)/8)*(V104-U104-2))))</f>
        <v/>
      </c>
      <c r="BK104" s="24">
        <f>U104-BJ104</f>
        <v/>
      </c>
      <c r="BL104" s="24">
        <f>IF(T104&lt;135,T104,T104-'DPI art.191'!$I$7)</f>
        <v/>
      </c>
      <c r="BM104" s="111">
        <f>IF(AA104&lt;80,"0",IF((AB104-AA104)&lt;=2,('DPI art.191'!$G$5-(('DPI art.191'!$F$5-'DPI art.191'!$G$5)/4)*(AB104-AA104-2)),('DPI art.191'!$G$5-(('DPI art.191'!$G$5-'DPI art.191'!$H$5)/8)*(AB104-AA104-2))))</f>
        <v/>
      </c>
      <c r="BN104" s="24">
        <f>AD104-BM104</f>
        <v/>
      </c>
      <c r="BO104" s="24">
        <f>IF(Z104&lt;135,Z104,Z104-'DPI art.191'!$I$5)</f>
        <v/>
      </c>
      <c r="BP104" s="108">
        <f>10^(0.1*R104)</f>
        <v/>
      </c>
      <c r="BQ104" s="108">
        <f>10^(0.1*X104)</f>
        <v/>
      </c>
      <c r="BR104" s="108">
        <f>10^(0.1*AB104)</f>
        <v/>
      </c>
      <c r="BS104" s="108">
        <f>10^(0.1*AF104)</f>
        <v/>
      </c>
      <c r="BT104" s="108">
        <f>10^(0.1*AJ104)</f>
        <v/>
      </c>
      <c r="BU104" s="108">
        <f>10^(0.1*AN104)</f>
        <v/>
      </c>
      <c r="BV104" s="106">
        <f>IF(R104&gt;0,(O104-R104),"")</f>
        <v/>
      </c>
      <c r="BW104" s="106">
        <f>IF(X104&gt;0,(O104-X104),"")</f>
        <v/>
      </c>
      <c r="BX104" s="106">
        <f>IF(AB104&gt;0,(O104-AB104),"")</f>
        <v/>
      </c>
      <c r="BY104" s="106">
        <f>IF(AF104&gt;0,(O104-AF104),"")</f>
        <v/>
      </c>
      <c r="BZ104" s="106">
        <f>IF(AJ104&gt;0,(O104-AJ104),"")</f>
        <v/>
      </c>
      <c r="CA104" s="106">
        <f>IF(AN104&gt;0,(O104-AN104),"")</f>
        <v/>
      </c>
      <c r="CB104" s="106">
        <f>COUNT(BV104:CA104)</f>
        <v/>
      </c>
      <c r="CC104" s="464">
        <f>IF(CB104=0,0,IF(CB104=1,0,1/(CB104*(CB104-1))))</f>
        <v/>
      </c>
      <c r="CD104" s="136">
        <f>IF(R104&gt;0,(BV104^2),"")</f>
        <v/>
      </c>
      <c r="CE104" s="136">
        <f>IF(X104&gt;0,(BW104^2),"")</f>
        <v/>
      </c>
      <c r="CF104" s="136">
        <f>IF(AB104&gt;0,(BX104^2),"")</f>
        <v/>
      </c>
      <c r="CG104" s="136">
        <f>IF(AF104&gt;0,(BY104^2),"")</f>
        <v/>
      </c>
      <c r="CH104" s="136">
        <f>IF(AJ104&gt;0,(BZ104^2),"")</f>
        <v/>
      </c>
      <c r="CI104" s="136">
        <f>IF(AN104&gt;0,(CA104^2),"")</f>
        <v/>
      </c>
    </row>
    <row r="105" ht="18.75" customHeight="1" s="444">
      <c r="A105" s="340" t="inlineStr">
        <is>
          <t>/</t>
        </is>
      </c>
      <c r="B105" s="65">
        <f>B104+1</f>
        <v/>
      </c>
      <c r="C105" s="78" t="n"/>
      <c r="D105" s="83" t="n"/>
      <c r="E105" s="83" t="n"/>
      <c r="F105" s="329" t="n"/>
      <c r="G105" s="71" t="n">
        <v>40725</v>
      </c>
      <c r="H105" s="77" t="inlineStr">
        <is>
          <t>Compito</t>
        </is>
      </c>
      <c r="I105" s="77">
        <f>IF((V105-R105)&gt;3,"SI","")</f>
        <v/>
      </c>
      <c r="J105" s="77">
        <f>IF((U105-R105)&gt;3,"SI","")</f>
        <v/>
      </c>
      <c r="K105" s="77" t="n"/>
      <c r="L105" s="77" t="n"/>
      <c r="M105" s="137">
        <f>IF(R105&gt;0,(SQRT(CC105*(SUM(CD105:CI105)))),"")</f>
        <v/>
      </c>
      <c r="N105" s="4">
        <f>IF(T105&gt;0,(MAX(T105,Z105,AD105,AH105,AL105,AP105))+SQRT(1.2^2+1^2),"")</f>
        <v/>
      </c>
      <c r="O105" s="3">
        <f>IF(R105="",0,10*LOG10(SUM(BP105:BU105)/(COUNT(R105,X105,AB105,AF105,AJ105,AN105))))</f>
        <v/>
      </c>
      <c r="P105" s="5">
        <f>IF(AND(Y105="",AC105="",AG105="",AK105="",AO105=""),S105,AVERAGE(S105,Y105,AC105,AG105,AK105,AO105)+STDEV(S105,Y105,AC105,AG105,AK105,AO105))</f>
        <v/>
      </c>
      <c r="Q105" s="14" t="n"/>
      <c r="R105" s="11" t="n"/>
      <c r="S105" s="12" t="n"/>
      <c r="T105" s="13" t="n"/>
      <c r="U105" s="79" t="n"/>
      <c r="V105" s="79" t="n"/>
      <c r="W105" s="10" t="n"/>
      <c r="X105" s="11" t="n"/>
      <c r="Y105" s="12" t="n"/>
      <c r="Z105" s="13" t="n"/>
      <c r="AA105" s="10" t="n"/>
      <c r="AB105" s="11" t="n"/>
      <c r="AC105" s="12" t="n"/>
      <c r="AD105" s="13" t="n"/>
      <c r="AE105" s="14" t="n"/>
      <c r="AF105" s="11" t="n"/>
      <c r="AG105" s="12" t="n"/>
      <c r="AH105" s="13" t="n"/>
      <c r="AI105" s="10" t="n"/>
      <c r="AJ105" s="11" t="n"/>
      <c r="AK105" s="12" t="n"/>
      <c r="AL105" s="13" t="n"/>
      <c r="AM105" s="10" t="n"/>
      <c r="AN105" s="11" t="n"/>
      <c r="AO105" s="12" t="n"/>
      <c r="AP105" s="13" t="n"/>
      <c r="AQ105" s="6">
        <f>IF(AND((O105)&lt;85,N105&lt;137),"NO","SI")</f>
        <v/>
      </c>
      <c r="AR105" s="7">
        <f>IF((480*(10^(7.95-(O105/10))))&lt;480,480*(10^(7.95-(O105/10))),480)</f>
        <v/>
      </c>
      <c r="AS105" s="8">
        <f>IF((480*(10^(8.45-(O105/10))))&lt;480,480*(10^(8.45-(O105/10))),480)</f>
        <v/>
      </c>
      <c r="AT105" s="9">
        <f>IF((480*(10^(8.65-(O105/10))))&lt;480,480*(10^(8.65-(O105/10))),480)</f>
        <v/>
      </c>
      <c r="AU105" s="111">
        <f>IF(O105&lt;80,"0",IF((P105-O105)&lt;=2,('DPI art.191'!$G$3-(('DPI art.191'!$F$3-'DPI art.191'!$G$3)/4)*(P105-O105-2)),('DPI art.191'!$G$3-(('DPI art.191'!$G$3-'DPI art.191'!$H$3)/8)*(P105-O105-2))))</f>
        <v/>
      </c>
      <c r="AV105" s="24">
        <f>O105-AU105</f>
        <v/>
      </c>
      <c r="AW105" s="24">
        <f>IF(N105&lt;135,N105,N105-'DPI art.191'!$I$3)</f>
        <v/>
      </c>
      <c r="AX105" s="111">
        <f>IF(I105&lt;80,"0",IF((J105-I105)&lt;=2,('DPI art.191'!$G$7-(('DPI art.191'!$F$7-'DPI art.191'!$G$7)/4)*(I105-J105-2)),('DPI art.191'!$G$7-(('DPI art.191'!$G$7-'DPI art.191'!$H$7)/8)*(J105-I105-2))))</f>
        <v/>
      </c>
      <c r="AY105" s="24">
        <f>I105-AX105</f>
        <v/>
      </c>
      <c r="AZ105" s="24">
        <f>IF(H105&lt;135,H105,H105-'DPI art.191'!$I$7)</f>
        <v/>
      </c>
      <c r="BA105" s="111">
        <f>IF(O105&lt;80,"0",IF((P105-O105)&lt;=2,('DPI art.191'!$G$5-(('DPI art.191'!$F$5-'DPI art.191'!$G$5)/4)*(P105-O105-2)),('DPI art.191'!$G$5-(('DPI art.191'!$G$5-'DPI art.191'!$H$5)/8)*(P105-O105-2))))</f>
        <v/>
      </c>
      <c r="BB105" s="24">
        <f>R105-BA105</f>
        <v/>
      </c>
      <c r="BC105" s="24">
        <f>IF(N105&lt;135,N105,N105-'DPI art.191'!$I$5)</f>
        <v/>
      </c>
      <c r="BD105" s="111">
        <f>IF(O105&lt;80,"0",IF((P105-O105)&lt;=2,('DPI art.191'!$G$7-(('DPI art.191'!$F$7-'DPI art.191'!$G$7)/4)*(O105-P105-2)),('DPI art.191'!$G$7-(('DPI art.191'!$G$7-'DPI art.191'!$H$7)/8)*(P105-O105-2))))</f>
        <v/>
      </c>
      <c r="BE105" s="24">
        <f>O105-BD105</f>
        <v/>
      </c>
      <c r="BF105" s="24">
        <f>IF(N105&lt;135,N105,N105-'DPI art.191'!$I$7)</f>
        <v/>
      </c>
      <c r="BG105" s="111">
        <f>IF(AA105&lt;80,"0",IF((AB105-AA105)&lt;=2,('DPI art.191'!$G$3-(('DPI art.191'!$F$3-'DPI art.191'!$G$3)/4)*(AB105-AA105-2)),('DPI art.191'!$G$3-(('DPI art.191'!$G$3-'DPI art.191'!$H$3)/8)*(AB105-AA105-2))))</f>
        <v/>
      </c>
      <c r="BH105" s="24">
        <f>AA105-BG105</f>
        <v/>
      </c>
      <c r="BI105" s="24">
        <f>IF(Z105&lt;135,Z105,Z105-'DPI art.191'!$I$3)</f>
        <v/>
      </c>
      <c r="BJ105" s="111">
        <f>IF(U105&lt;80,"0",IF((V105-U105)&lt;=2,('DPI art.191'!$G$7-(('DPI art.191'!$F$7-'DPI art.191'!$G$7)/4)*(U105-V105-2)),('DPI art.191'!$G$7-(('DPI art.191'!$G$7-'DPI art.191'!$H$7)/8)*(V105-U105-2))))</f>
        <v/>
      </c>
      <c r="BK105" s="24">
        <f>U105-BJ105</f>
        <v/>
      </c>
      <c r="BL105" s="24">
        <f>IF(T105&lt;135,T105,T105-'DPI art.191'!$I$7)</f>
        <v/>
      </c>
      <c r="BM105" s="111">
        <f>IF(AA105&lt;80,"0",IF((AB105-AA105)&lt;=2,('DPI art.191'!$G$5-(('DPI art.191'!$F$5-'DPI art.191'!$G$5)/4)*(AB105-AA105-2)),('DPI art.191'!$G$5-(('DPI art.191'!$G$5-'DPI art.191'!$H$5)/8)*(AB105-AA105-2))))</f>
        <v/>
      </c>
      <c r="BN105" s="24">
        <f>AD105-BM105</f>
        <v/>
      </c>
      <c r="BO105" s="24">
        <f>IF(Z105&lt;135,Z105,Z105-'DPI art.191'!$I$5)</f>
        <v/>
      </c>
      <c r="BP105" s="108">
        <f>10^(0.1*R105)</f>
        <v/>
      </c>
      <c r="BQ105" s="108">
        <f>10^(0.1*X105)</f>
        <v/>
      </c>
      <c r="BR105" s="108">
        <f>10^(0.1*AB105)</f>
        <v/>
      </c>
      <c r="BS105" s="108">
        <f>10^(0.1*AF105)</f>
        <v/>
      </c>
      <c r="BT105" s="108">
        <f>10^(0.1*AJ105)</f>
        <v/>
      </c>
      <c r="BU105" s="108">
        <f>10^(0.1*AN105)</f>
        <v/>
      </c>
      <c r="BV105" s="106">
        <f>IF(R105&gt;0,(O105-R105),"")</f>
        <v/>
      </c>
      <c r="BW105" s="106">
        <f>IF(X105&gt;0,(O105-X105),"")</f>
        <v/>
      </c>
      <c r="BX105" s="106">
        <f>IF(AB105&gt;0,(O105-AB105),"")</f>
        <v/>
      </c>
      <c r="BY105" s="106">
        <f>IF(AF105&gt;0,(O105-AF105),"")</f>
        <v/>
      </c>
      <c r="BZ105" s="106">
        <f>IF(AJ105&gt;0,(O105-AJ105),"")</f>
        <v/>
      </c>
      <c r="CA105" s="106">
        <f>IF(AN105&gt;0,(O105-AN105),"")</f>
        <v/>
      </c>
      <c r="CB105" s="106">
        <f>COUNT(BV105:CA105)</f>
        <v/>
      </c>
      <c r="CC105" s="464">
        <f>IF(CB105=0,0,IF(CB105=1,0,1/(CB105*(CB105-1))))</f>
        <v/>
      </c>
      <c r="CD105" s="136">
        <f>IF(R105&gt;0,(BV105^2),"")</f>
        <v/>
      </c>
      <c r="CE105" s="136">
        <f>IF(X105&gt;0,(BW105^2),"")</f>
        <v/>
      </c>
      <c r="CF105" s="136">
        <f>IF(AB105&gt;0,(BX105^2),"")</f>
        <v/>
      </c>
      <c r="CG105" s="136">
        <f>IF(AF105&gt;0,(BY105^2),"")</f>
        <v/>
      </c>
      <c r="CH105" s="136">
        <f>IF(AJ105&gt;0,(BZ105^2),"")</f>
        <v/>
      </c>
      <c r="CI105" s="136">
        <f>IF(AN105&gt;0,(CA105^2),"")</f>
        <v/>
      </c>
    </row>
    <row r="106" ht="18.75" customHeight="1" s="444">
      <c r="A106" s="340" t="inlineStr">
        <is>
          <t>/</t>
        </is>
      </c>
      <c r="B106" s="65">
        <f>B105+1</f>
        <v/>
      </c>
      <c r="C106" s="78" t="n"/>
      <c r="D106" s="83" t="n"/>
      <c r="E106" s="83" t="n"/>
      <c r="F106" s="329" t="n"/>
      <c r="G106" s="71" t="n">
        <v>40725</v>
      </c>
      <c r="H106" s="77" t="inlineStr">
        <is>
          <t>Compito</t>
        </is>
      </c>
      <c r="I106" s="77">
        <f>IF((V106-R106)&gt;3,"SI","")</f>
        <v/>
      </c>
      <c r="J106" s="77">
        <f>IF((U106-R106)&gt;3,"SI","")</f>
        <v/>
      </c>
      <c r="K106" s="77" t="n"/>
      <c r="L106" s="77" t="n"/>
      <c r="M106" s="137">
        <f>IF(R106&gt;0,(SQRT(CC106*(SUM(CD106:CI106)))),"")</f>
        <v/>
      </c>
      <c r="N106" s="4">
        <f>IF(T106&gt;0,(MAX(T106,Z106,AD106,AH106,AL106,AP106))+SQRT(1.2^2+1^2),"")</f>
        <v/>
      </c>
      <c r="O106" s="3">
        <f>IF(R106="",0,10*LOG10(SUM(BP106:BU106)/(COUNT(R106,X106,AB106,AF106,AJ106,AN106))))</f>
        <v/>
      </c>
      <c r="P106" s="5">
        <f>IF(AND(Y106="",AC106="",AG106="",AK106="",AO106=""),S106,AVERAGE(S106,Y106,AC106,AG106,AK106,AO106)+STDEV(S106,Y106,AC106,AG106,AK106,AO106))</f>
        <v/>
      </c>
      <c r="Q106" s="14" t="n"/>
      <c r="R106" s="11" t="n"/>
      <c r="S106" s="12" t="n"/>
      <c r="T106" s="13" t="n"/>
      <c r="U106" s="79" t="n"/>
      <c r="V106" s="79" t="n"/>
      <c r="W106" s="10" t="n"/>
      <c r="X106" s="11" t="n"/>
      <c r="Y106" s="12" t="n"/>
      <c r="Z106" s="13" t="n"/>
      <c r="AA106" s="10" t="n"/>
      <c r="AB106" s="11" t="n"/>
      <c r="AC106" s="12" t="n"/>
      <c r="AD106" s="13" t="n"/>
      <c r="AE106" s="14" t="n"/>
      <c r="AF106" s="11" t="n"/>
      <c r="AG106" s="12" t="n"/>
      <c r="AH106" s="13" t="n"/>
      <c r="AI106" s="10" t="n"/>
      <c r="AJ106" s="11" t="n"/>
      <c r="AK106" s="12" t="n"/>
      <c r="AL106" s="13" t="n"/>
      <c r="AM106" s="10" t="n"/>
      <c r="AN106" s="11" t="n"/>
      <c r="AO106" s="12" t="n"/>
      <c r="AP106" s="13" t="n"/>
      <c r="AQ106" s="6">
        <f>IF(AND((O106)&lt;85,N106&lt;137),"NO","SI")</f>
        <v/>
      </c>
      <c r="AR106" s="7">
        <f>IF((480*(10^(7.95-(O106/10))))&lt;480,480*(10^(7.95-(O106/10))),480)</f>
        <v/>
      </c>
      <c r="AS106" s="8">
        <f>IF((480*(10^(8.45-(O106/10))))&lt;480,480*(10^(8.45-(O106/10))),480)</f>
        <v/>
      </c>
      <c r="AT106" s="9">
        <f>IF((480*(10^(8.65-(O106/10))))&lt;480,480*(10^(8.65-(O106/10))),480)</f>
        <v/>
      </c>
      <c r="AU106" s="111">
        <f>IF(O106&lt;80,"0",IF((P106-O106)&lt;=2,('DPI art.191'!$G$3-(('DPI art.191'!$F$3-'DPI art.191'!$G$3)/4)*(P106-O106-2)),('DPI art.191'!$G$3-(('DPI art.191'!$G$3-'DPI art.191'!$H$3)/8)*(P106-O106-2))))</f>
        <v/>
      </c>
      <c r="AV106" s="24">
        <f>O106-AU106</f>
        <v/>
      </c>
      <c r="AW106" s="24">
        <f>IF(N106&lt;135,N106,N106-'DPI art.191'!$I$3)</f>
        <v/>
      </c>
      <c r="AX106" s="111">
        <f>IF(I106&lt;80,"0",IF((J106-I106)&lt;=2,('DPI art.191'!$G$7-(('DPI art.191'!$F$7-'DPI art.191'!$G$7)/4)*(I106-J106-2)),('DPI art.191'!$G$7-(('DPI art.191'!$G$7-'DPI art.191'!$H$7)/8)*(J106-I106-2))))</f>
        <v/>
      </c>
      <c r="AY106" s="24">
        <f>I106-AX106</f>
        <v/>
      </c>
      <c r="AZ106" s="24">
        <f>IF(H106&lt;135,H106,H106-'DPI art.191'!$I$7)</f>
        <v/>
      </c>
      <c r="BA106" s="111">
        <f>IF(O106&lt;80,"0",IF((P106-O106)&lt;=2,('DPI art.191'!$G$5-(('DPI art.191'!$F$5-'DPI art.191'!$G$5)/4)*(P106-O106-2)),('DPI art.191'!$G$5-(('DPI art.191'!$G$5-'DPI art.191'!$H$5)/8)*(P106-O106-2))))</f>
        <v/>
      </c>
      <c r="BB106" s="24">
        <f>R106-BA106</f>
        <v/>
      </c>
      <c r="BC106" s="24">
        <f>IF(N106&lt;135,N106,N106-'DPI art.191'!$I$5)</f>
        <v/>
      </c>
      <c r="BD106" s="111">
        <f>IF(O106&lt;80,"0",IF((P106-O106)&lt;=2,('DPI art.191'!$G$7-(('DPI art.191'!$F$7-'DPI art.191'!$G$7)/4)*(O106-P106-2)),('DPI art.191'!$G$7-(('DPI art.191'!$G$7-'DPI art.191'!$H$7)/8)*(P106-O106-2))))</f>
        <v/>
      </c>
      <c r="BE106" s="24">
        <f>O106-BD106</f>
        <v/>
      </c>
      <c r="BF106" s="24">
        <f>IF(N106&lt;135,N106,N106-'DPI art.191'!$I$7)</f>
        <v/>
      </c>
      <c r="BG106" s="111">
        <f>IF(AA106&lt;80,"0",IF((AB106-AA106)&lt;=2,('DPI art.191'!$G$3-(('DPI art.191'!$F$3-'DPI art.191'!$G$3)/4)*(AB106-AA106-2)),('DPI art.191'!$G$3-(('DPI art.191'!$G$3-'DPI art.191'!$H$3)/8)*(AB106-AA106-2))))</f>
        <v/>
      </c>
      <c r="BH106" s="24">
        <f>AA106-BG106</f>
        <v/>
      </c>
      <c r="BI106" s="24">
        <f>IF(Z106&lt;135,Z106,Z106-'DPI art.191'!$I$3)</f>
        <v/>
      </c>
      <c r="BJ106" s="111">
        <f>IF(U106&lt;80,"0",IF((V106-U106)&lt;=2,('DPI art.191'!$G$7-(('DPI art.191'!$F$7-'DPI art.191'!$G$7)/4)*(U106-V106-2)),('DPI art.191'!$G$7-(('DPI art.191'!$G$7-'DPI art.191'!$H$7)/8)*(V106-U106-2))))</f>
        <v/>
      </c>
      <c r="BK106" s="24">
        <f>U106-BJ106</f>
        <v/>
      </c>
      <c r="BL106" s="24">
        <f>IF(T106&lt;135,T106,T106-'DPI art.191'!$I$7)</f>
        <v/>
      </c>
      <c r="BM106" s="111">
        <f>IF(AA106&lt;80,"0",IF((AB106-AA106)&lt;=2,('DPI art.191'!$G$5-(('DPI art.191'!$F$5-'DPI art.191'!$G$5)/4)*(AB106-AA106-2)),('DPI art.191'!$G$5-(('DPI art.191'!$G$5-'DPI art.191'!$H$5)/8)*(AB106-AA106-2))))</f>
        <v/>
      </c>
      <c r="BN106" s="24">
        <f>AD106-BM106</f>
        <v/>
      </c>
      <c r="BO106" s="24">
        <f>IF(Z106&lt;135,Z106,Z106-'DPI art.191'!$I$5)</f>
        <v/>
      </c>
      <c r="BP106" s="108">
        <f>10^(0.1*R106)</f>
        <v/>
      </c>
      <c r="BQ106" s="108">
        <f>10^(0.1*X106)</f>
        <v/>
      </c>
      <c r="BR106" s="108">
        <f>10^(0.1*AB106)</f>
        <v/>
      </c>
      <c r="BS106" s="108">
        <f>10^(0.1*AF106)</f>
        <v/>
      </c>
      <c r="BT106" s="108">
        <f>10^(0.1*AJ106)</f>
        <v/>
      </c>
      <c r="BU106" s="108">
        <f>10^(0.1*AN106)</f>
        <v/>
      </c>
      <c r="BV106" s="106">
        <f>IF(R106&gt;0,(O106-R106),"")</f>
        <v/>
      </c>
      <c r="BW106" s="106">
        <f>IF(X106&gt;0,(O106-X106),"")</f>
        <v/>
      </c>
      <c r="BX106" s="106">
        <f>IF(AB106&gt;0,(O106-AB106),"")</f>
        <v/>
      </c>
      <c r="BY106" s="106">
        <f>IF(AF106&gt;0,(O106-AF106),"")</f>
        <v/>
      </c>
      <c r="BZ106" s="106">
        <f>IF(AJ106&gt;0,(O106-AJ106),"")</f>
        <v/>
      </c>
      <c r="CA106" s="106">
        <f>IF(AN106&gt;0,(O106-AN106),"")</f>
        <v/>
      </c>
      <c r="CB106" s="106">
        <f>COUNT(BV106:CA106)</f>
        <v/>
      </c>
      <c r="CC106" s="464">
        <f>IF(CB106=0,0,IF(CB106=1,0,1/(CB106*(CB106-1))))</f>
        <v/>
      </c>
      <c r="CD106" s="136">
        <f>IF(R106&gt;0,(BV106^2),"")</f>
        <v/>
      </c>
      <c r="CE106" s="136">
        <f>IF(X106&gt;0,(BW106^2),"")</f>
        <v/>
      </c>
      <c r="CF106" s="136">
        <f>IF(AB106&gt;0,(BX106^2),"")</f>
        <v/>
      </c>
      <c r="CG106" s="136">
        <f>IF(AF106&gt;0,(BY106^2),"")</f>
        <v/>
      </c>
      <c r="CH106" s="136">
        <f>IF(AJ106&gt;0,(BZ106^2),"")</f>
        <v/>
      </c>
      <c r="CI106" s="136">
        <f>IF(AN106&gt;0,(CA106^2),"")</f>
        <v/>
      </c>
    </row>
    <row r="107" ht="18.75" customHeight="1" s="444">
      <c r="A107" s="340" t="inlineStr">
        <is>
          <t>/</t>
        </is>
      </c>
      <c r="B107" s="65">
        <f>B106+1</f>
        <v/>
      </c>
      <c r="C107" s="78" t="n"/>
      <c r="D107" s="83" t="n"/>
      <c r="E107" s="83" t="n"/>
      <c r="F107" s="329" t="n"/>
      <c r="G107" s="71" t="n">
        <v>40725</v>
      </c>
      <c r="H107" s="77" t="inlineStr">
        <is>
          <t>Compito</t>
        </is>
      </c>
      <c r="I107" s="77">
        <f>IF((V107-R107)&gt;3,"SI","")</f>
        <v/>
      </c>
      <c r="J107" s="77">
        <f>IF((U107-R107)&gt;3,"SI","")</f>
        <v/>
      </c>
      <c r="K107" s="77" t="n"/>
      <c r="L107" s="77" t="n"/>
      <c r="M107" s="137">
        <f>IF(R107&gt;0,(SQRT(CC107*(SUM(CD107:CI107)))),"")</f>
        <v/>
      </c>
      <c r="N107" s="4">
        <f>IF(T107&gt;0,(MAX(T107,Z107,AD107,AH107,AL107,AP107))+SQRT(1.2^2+1^2),"")</f>
        <v/>
      </c>
      <c r="O107" s="3">
        <f>IF(R107="",0,10*LOG10(SUM(BP107:BU107)/(COUNT(R107,X107,AB107,AF107,AJ107,AN107))))</f>
        <v/>
      </c>
      <c r="P107" s="5">
        <f>IF(AND(Y107="",AC107="",AG107="",AK107="",AO107=""),S107,AVERAGE(S107,Y107,AC107,AG107,AK107,AO107)+STDEV(S107,Y107,AC107,AG107,AK107,AO107))</f>
        <v/>
      </c>
      <c r="Q107" s="14" t="n"/>
      <c r="R107" s="11" t="n"/>
      <c r="S107" s="12" t="n"/>
      <c r="T107" s="13" t="n"/>
      <c r="U107" s="79" t="n"/>
      <c r="V107" s="79" t="n"/>
      <c r="W107" s="10" t="n"/>
      <c r="X107" s="11" t="n"/>
      <c r="Y107" s="12" t="n"/>
      <c r="Z107" s="13" t="n"/>
      <c r="AA107" s="10" t="n"/>
      <c r="AB107" s="11" t="n"/>
      <c r="AC107" s="12" t="n"/>
      <c r="AD107" s="13" t="n"/>
      <c r="AE107" s="14" t="n"/>
      <c r="AF107" s="11" t="n"/>
      <c r="AG107" s="12" t="n"/>
      <c r="AH107" s="13" t="n"/>
      <c r="AI107" s="10" t="n"/>
      <c r="AJ107" s="11" t="n"/>
      <c r="AK107" s="12" t="n"/>
      <c r="AL107" s="13" t="n"/>
      <c r="AM107" s="10" t="n"/>
      <c r="AN107" s="11" t="n"/>
      <c r="AO107" s="12" t="n"/>
      <c r="AP107" s="13" t="n"/>
      <c r="AQ107" s="6">
        <f>IF(AND((O107)&lt;85,N107&lt;137),"NO","SI")</f>
        <v/>
      </c>
      <c r="AR107" s="7">
        <f>IF((480*(10^(7.95-(O107/10))))&lt;480,480*(10^(7.95-(O107/10))),480)</f>
        <v/>
      </c>
      <c r="AS107" s="8">
        <f>IF((480*(10^(8.45-(O107/10))))&lt;480,480*(10^(8.45-(O107/10))),480)</f>
        <v/>
      </c>
      <c r="AT107" s="9">
        <f>IF((480*(10^(8.65-(O107/10))))&lt;480,480*(10^(8.65-(O107/10))),480)</f>
        <v/>
      </c>
      <c r="AU107" s="111">
        <f>IF(O107&lt;80,"0",IF((P107-O107)&lt;=2,('DPI art.191'!$G$3-(('DPI art.191'!$F$3-'DPI art.191'!$G$3)/4)*(P107-O107-2)),('DPI art.191'!$G$3-(('DPI art.191'!$G$3-'DPI art.191'!$H$3)/8)*(P107-O107-2))))</f>
        <v/>
      </c>
      <c r="AV107" s="24">
        <f>O107-AU107</f>
        <v/>
      </c>
      <c r="AW107" s="24">
        <f>IF(N107&lt;135,N107,N107-'DPI art.191'!$I$3)</f>
        <v/>
      </c>
      <c r="AX107" s="111">
        <f>IF(I107&lt;80,"0",IF((J107-I107)&lt;=2,('DPI art.191'!$G$7-(('DPI art.191'!$F$7-'DPI art.191'!$G$7)/4)*(I107-J107-2)),('DPI art.191'!$G$7-(('DPI art.191'!$G$7-'DPI art.191'!$H$7)/8)*(J107-I107-2))))</f>
        <v/>
      </c>
      <c r="AY107" s="24">
        <f>I107-AX107</f>
        <v/>
      </c>
      <c r="AZ107" s="24">
        <f>IF(H107&lt;135,H107,H107-'DPI art.191'!$I$7)</f>
        <v/>
      </c>
      <c r="BA107" s="111">
        <f>IF(O107&lt;80,"0",IF((P107-O107)&lt;=2,('DPI art.191'!$G$5-(('DPI art.191'!$F$5-'DPI art.191'!$G$5)/4)*(P107-O107-2)),('DPI art.191'!$G$5-(('DPI art.191'!$G$5-'DPI art.191'!$H$5)/8)*(P107-O107-2))))</f>
        <v/>
      </c>
      <c r="BB107" s="24">
        <f>R107-BA107</f>
        <v/>
      </c>
      <c r="BC107" s="24">
        <f>IF(N107&lt;135,N107,N107-'DPI art.191'!$I$5)</f>
        <v/>
      </c>
      <c r="BD107" s="111">
        <f>IF(O107&lt;80,"0",IF((P107-O107)&lt;=2,('DPI art.191'!$G$7-(('DPI art.191'!$F$7-'DPI art.191'!$G$7)/4)*(O107-P107-2)),('DPI art.191'!$G$7-(('DPI art.191'!$G$7-'DPI art.191'!$H$7)/8)*(P107-O107-2))))</f>
        <v/>
      </c>
      <c r="BE107" s="24">
        <f>O107-BD107</f>
        <v/>
      </c>
      <c r="BF107" s="24">
        <f>IF(N107&lt;135,N107,N107-'DPI art.191'!$I$7)</f>
        <v/>
      </c>
      <c r="BG107" s="111">
        <f>IF(AA107&lt;80,"0",IF((AB107-AA107)&lt;=2,('DPI art.191'!$G$3-(('DPI art.191'!$F$3-'DPI art.191'!$G$3)/4)*(AB107-AA107-2)),('DPI art.191'!$G$3-(('DPI art.191'!$G$3-'DPI art.191'!$H$3)/8)*(AB107-AA107-2))))</f>
        <v/>
      </c>
      <c r="BH107" s="24">
        <f>AA107-BG107</f>
        <v/>
      </c>
      <c r="BI107" s="24">
        <f>IF(Z107&lt;135,Z107,Z107-'DPI art.191'!$I$3)</f>
        <v/>
      </c>
      <c r="BJ107" s="111">
        <f>IF(U107&lt;80,"0",IF((V107-U107)&lt;=2,('DPI art.191'!$G$7-(('DPI art.191'!$F$7-'DPI art.191'!$G$7)/4)*(U107-V107-2)),('DPI art.191'!$G$7-(('DPI art.191'!$G$7-'DPI art.191'!$H$7)/8)*(V107-U107-2))))</f>
        <v/>
      </c>
      <c r="BK107" s="24">
        <f>U107-BJ107</f>
        <v/>
      </c>
      <c r="BL107" s="24">
        <f>IF(T107&lt;135,T107,T107-'DPI art.191'!$I$7)</f>
        <v/>
      </c>
      <c r="BM107" s="111">
        <f>IF(AA107&lt;80,"0",IF((AB107-AA107)&lt;=2,('DPI art.191'!$G$5-(('DPI art.191'!$F$5-'DPI art.191'!$G$5)/4)*(AB107-AA107-2)),('DPI art.191'!$G$5-(('DPI art.191'!$G$5-'DPI art.191'!$H$5)/8)*(AB107-AA107-2))))</f>
        <v/>
      </c>
      <c r="BN107" s="24">
        <f>AD107-BM107</f>
        <v/>
      </c>
      <c r="BO107" s="24">
        <f>IF(Z107&lt;135,Z107,Z107-'DPI art.191'!$I$5)</f>
        <v/>
      </c>
      <c r="BP107" s="108">
        <f>10^(0.1*R107)</f>
        <v/>
      </c>
      <c r="BQ107" s="108">
        <f>10^(0.1*X107)</f>
        <v/>
      </c>
      <c r="BR107" s="108">
        <f>10^(0.1*AB107)</f>
        <v/>
      </c>
      <c r="BS107" s="108">
        <f>10^(0.1*AF107)</f>
        <v/>
      </c>
      <c r="BT107" s="108">
        <f>10^(0.1*AJ107)</f>
        <v/>
      </c>
      <c r="BU107" s="108">
        <f>10^(0.1*AN107)</f>
        <v/>
      </c>
      <c r="BV107" s="106">
        <f>IF(R107&gt;0,(O107-R107),"")</f>
        <v/>
      </c>
      <c r="BW107" s="106">
        <f>IF(X107&gt;0,(O107-X107),"")</f>
        <v/>
      </c>
      <c r="BX107" s="106">
        <f>IF(AB107&gt;0,(O107-AB107),"")</f>
        <v/>
      </c>
      <c r="BY107" s="106">
        <f>IF(AF107&gt;0,(O107-AF107),"")</f>
        <v/>
      </c>
      <c r="BZ107" s="106">
        <f>IF(AJ107&gt;0,(O107-AJ107),"")</f>
        <v/>
      </c>
      <c r="CA107" s="106">
        <f>IF(AN107&gt;0,(O107-AN107),"")</f>
        <v/>
      </c>
      <c r="CB107" s="106">
        <f>COUNT(BV107:CA107)</f>
        <v/>
      </c>
      <c r="CC107" s="464">
        <f>IF(CB107=0,0,IF(CB107=1,0,1/(CB107*(CB107-1))))</f>
        <v/>
      </c>
      <c r="CD107" s="136">
        <f>IF(R107&gt;0,(BV107^2),"")</f>
        <v/>
      </c>
      <c r="CE107" s="136">
        <f>IF(X107&gt;0,(BW107^2),"")</f>
        <v/>
      </c>
      <c r="CF107" s="136">
        <f>IF(AB107&gt;0,(BX107^2),"")</f>
        <v/>
      </c>
      <c r="CG107" s="136">
        <f>IF(AF107&gt;0,(BY107^2),"")</f>
        <v/>
      </c>
      <c r="CH107" s="136">
        <f>IF(AJ107&gt;0,(BZ107^2),"")</f>
        <v/>
      </c>
      <c r="CI107" s="136">
        <f>IF(AN107&gt;0,(CA107^2),"")</f>
        <v/>
      </c>
    </row>
    <row r="108" ht="18.75" customHeight="1" s="444">
      <c r="A108" s="340" t="inlineStr">
        <is>
          <t>/</t>
        </is>
      </c>
      <c r="B108" s="65">
        <f>B107+1</f>
        <v/>
      </c>
      <c r="C108" s="78" t="n"/>
      <c r="D108" s="83" t="n"/>
      <c r="E108" s="83" t="n"/>
      <c r="F108" s="329" t="n"/>
      <c r="G108" s="71" t="n">
        <v>40725</v>
      </c>
      <c r="H108" s="77" t="inlineStr">
        <is>
          <t>Compito</t>
        </is>
      </c>
      <c r="I108" s="77">
        <f>IF((V108-R108)&gt;3,"SI","")</f>
        <v/>
      </c>
      <c r="J108" s="77">
        <f>IF((U108-R108)&gt;3,"SI","")</f>
        <v/>
      </c>
      <c r="K108" s="77" t="n"/>
      <c r="L108" s="77" t="n"/>
      <c r="M108" s="137">
        <f>IF(R108&gt;0,(SQRT(CC108*(SUM(CD108:CI108)))),"")</f>
        <v/>
      </c>
      <c r="N108" s="4">
        <f>IF(T108&gt;0,(MAX(T108,Z108,AD108,AH108,AL108,AP108))+SQRT(1.2^2+1^2),"")</f>
        <v/>
      </c>
      <c r="O108" s="3">
        <f>IF(R108="",0,10*LOG10(SUM(BP108:BU108)/(COUNT(R108,X108,AB108,AF108,AJ108,AN108))))</f>
        <v/>
      </c>
      <c r="P108" s="5">
        <f>IF(AND(Y108="",AC108="",AG108="",AK108="",AO108=""),S108,AVERAGE(S108,Y108,AC108,AG108,AK108,AO108)+STDEV(S108,Y108,AC108,AG108,AK108,AO108))</f>
        <v/>
      </c>
      <c r="Q108" s="14" t="n"/>
      <c r="R108" s="11" t="n"/>
      <c r="S108" s="12" t="n"/>
      <c r="T108" s="13" t="n"/>
      <c r="U108" s="79" t="n"/>
      <c r="V108" s="79" t="n"/>
      <c r="W108" s="10" t="n"/>
      <c r="X108" s="11" t="n"/>
      <c r="Y108" s="12" t="n"/>
      <c r="Z108" s="13" t="n"/>
      <c r="AA108" s="10" t="n"/>
      <c r="AB108" s="11" t="n"/>
      <c r="AC108" s="12" t="n"/>
      <c r="AD108" s="13" t="n"/>
      <c r="AE108" s="14" t="n"/>
      <c r="AF108" s="11" t="n"/>
      <c r="AG108" s="12" t="n"/>
      <c r="AH108" s="13" t="n"/>
      <c r="AI108" s="10" t="n"/>
      <c r="AJ108" s="11" t="n"/>
      <c r="AK108" s="12" t="n"/>
      <c r="AL108" s="13" t="n"/>
      <c r="AM108" s="10" t="n"/>
      <c r="AN108" s="11" t="n"/>
      <c r="AO108" s="12" t="n"/>
      <c r="AP108" s="13" t="n"/>
      <c r="AQ108" s="6">
        <f>IF(AND((O108)&lt;85,N108&lt;137),"NO","SI")</f>
        <v/>
      </c>
      <c r="AR108" s="7">
        <f>IF((480*(10^(7.95-(O108/10))))&lt;480,480*(10^(7.95-(O108/10))),480)</f>
        <v/>
      </c>
      <c r="AS108" s="8">
        <f>IF((480*(10^(8.45-(O108/10))))&lt;480,480*(10^(8.45-(O108/10))),480)</f>
        <v/>
      </c>
      <c r="AT108" s="9">
        <f>IF((480*(10^(8.65-(O108/10))))&lt;480,480*(10^(8.65-(O108/10))),480)</f>
        <v/>
      </c>
      <c r="AU108" s="111">
        <f>IF(O108&lt;80,"0",IF((P108-O108)&lt;=2,('DPI art.191'!$G$3-(('DPI art.191'!$F$3-'DPI art.191'!$G$3)/4)*(P108-O108-2)),('DPI art.191'!$G$3-(('DPI art.191'!$G$3-'DPI art.191'!$H$3)/8)*(P108-O108-2))))</f>
        <v/>
      </c>
      <c r="AV108" s="24">
        <f>O108-AU108</f>
        <v/>
      </c>
      <c r="AW108" s="24">
        <f>IF(N108&lt;135,N108,N108-'DPI art.191'!$I$3)</f>
        <v/>
      </c>
      <c r="AX108" s="111">
        <f>IF(I108&lt;80,"0",IF((J108-I108)&lt;=2,('DPI art.191'!$G$7-(('DPI art.191'!$F$7-'DPI art.191'!$G$7)/4)*(I108-J108-2)),('DPI art.191'!$G$7-(('DPI art.191'!$G$7-'DPI art.191'!$H$7)/8)*(J108-I108-2))))</f>
        <v/>
      </c>
      <c r="AY108" s="24">
        <f>I108-AX108</f>
        <v/>
      </c>
      <c r="AZ108" s="24">
        <f>IF(H108&lt;135,H108,H108-'DPI art.191'!$I$7)</f>
        <v/>
      </c>
      <c r="BA108" s="111">
        <f>IF(O108&lt;80,"0",IF((P108-O108)&lt;=2,('DPI art.191'!$G$5-(('DPI art.191'!$F$5-'DPI art.191'!$G$5)/4)*(P108-O108-2)),('DPI art.191'!$G$5-(('DPI art.191'!$G$5-'DPI art.191'!$H$5)/8)*(P108-O108-2))))</f>
        <v/>
      </c>
      <c r="BB108" s="24">
        <f>R108-BA108</f>
        <v/>
      </c>
      <c r="BC108" s="24">
        <f>IF(N108&lt;135,N108,N108-'DPI art.191'!$I$5)</f>
        <v/>
      </c>
      <c r="BD108" s="111">
        <f>IF(O108&lt;80,"0",IF((P108-O108)&lt;=2,('DPI art.191'!$G$7-(('DPI art.191'!$F$7-'DPI art.191'!$G$7)/4)*(O108-P108-2)),('DPI art.191'!$G$7-(('DPI art.191'!$G$7-'DPI art.191'!$H$7)/8)*(P108-O108-2))))</f>
        <v/>
      </c>
      <c r="BE108" s="24">
        <f>O108-BD108</f>
        <v/>
      </c>
      <c r="BF108" s="24">
        <f>IF(N108&lt;135,N108,N108-'DPI art.191'!$I$7)</f>
        <v/>
      </c>
      <c r="BG108" s="111">
        <f>IF(AA108&lt;80,"0",IF((AB108-AA108)&lt;=2,('DPI art.191'!$G$3-(('DPI art.191'!$F$3-'DPI art.191'!$G$3)/4)*(AB108-AA108-2)),('DPI art.191'!$G$3-(('DPI art.191'!$G$3-'DPI art.191'!$H$3)/8)*(AB108-AA108-2))))</f>
        <v/>
      </c>
      <c r="BH108" s="24">
        <f>AA108-BG108</f>
        <v/>
      </c>
      <c r="BI108" s="24">
        <f>IF(Z108&lt;135,Z108,Z108-'DPI art.191'!$I$3)</f>
        <v/>
      </c>
      <c r="BJ108" s="111">
        <f>IF(U108&lt;80,"0",IF((V108-U108)&lt;=2,('DPI art.191'!$G$7-(('DPI art.191'!$F$7-'DPI art.191'!$G$7)/4)*(U108-V108-2)),('DPI art.191'!$G$7-(('DPI art.191'!$G$7-'DPI art.191'!$H$7)/8)*(V108-U108-2))))</f>
        <v/>
      </c>
      <c r="BK108" s="24">
        <f>U108-BJ108</f>
        <v/>
      </c>
      <c r="BL108" s="24">
        <f>IF(T108&lt;135,T108,T108-'DPI art.191'!$I$7)</f>
        <v/>
      </c>
      <c r="BM108" s="111">
        <f>IF(AA108&lt;80,"0",IF((AB108-AA108)&lt;=2,('DPI art.191'!$G$5-(('DPI art.191'!$F$5-'DPI art.191'!$G$5)/4)*(AB108-AA108-2)),('DPI art.191'!$G$5-(('DPI art.191'!$G$5-'DPI art.191'!$H$5)/8)*(AB108-AA108-2))))</f>
        <v/>
      </c>
      <c r="BN108" s="24">
        <f>AD108-BM108</f>
        <v/>
      </c>
      <c r="BO108" s="24">
        <f>IF(Z108&lt;135,Z108,Z108-'DPI art.191'!$I$5)</f>
        <v/>
      </c>
      <c r="BP108" s="108">
        <f>10^(0.1*R108)</f>
        <v/>
      </c>
      <c r="BQ108" s="108">
        <f>10^(0.1*X108)</f>
        <v/>
      </c>
      <c r="BR108" s="108">
        <f>10^(0.1*AB108)</f>
        <v/>
      </c>
      <c r="BS108" s="108">
        <f>10^(0.1*AF108)</f>
        <v/>
      </c>
      <c r="BT108" s="108">
        <f>10^(0.1*AJ108)</f>
        <v/>
      </c>
      <c r="BU108" s="108">
        <f>10^(0.1*AN108)</f>
        <v/>
      </c>
      <c r="BV108" s="106">
        <f>IF(R108&gt;0,(O108-R108),"")</f>
        <v/>
      </c>
      <c r="BW108" s="106">
        <f>IF(X108&gt;0,(O108-X108),"")</f>
        <v/>
      </c>
      <c r="BX108" s="106">
        <f>IF(AB108&gt;0,(O108-AB108),"")</f>
        <v/>
      </c>
      <c r="BY108" s="106">
        <f>IF(AF108&gt;0,(O108-AF108),"")</f>
        <v/>
      </c>
      <c r="BZ108" s="106">
        <f>IF(AJ108&gt;0,(O108-AJ108),"")</f>
        <v/>
      </c>
      <c r="CA108" s="106">
        <f>IF(AN108&gt;0,(O108-AN108),"")</f>
        <v/>
      </c>
      <c r="CB108" s="106">
        <f>COUNT(BV108:CA108)</f>
        <v/>
      </c>
      <c r="CC108" s="464">
        <f>IF(CB108=0,0,IF(CB108=1,0,1/(CB108*(CB108-1))))</f>
        <v/>
      </c>
      <c r="CD108" s="136">
        <f>IF(R108&gt;0,(BV108^2),"")</f>
        <v/>
      </c>
      <c r="CE108" s="136">
        <f>IF(X108&gt;0,(BW108^2),"")</f>
        <v/>
      </c>
      <c r="CF108" s="136">
        <f>IF(AB108&gt;0,(BX108^2),"")</f>
        <v/>
      </c>
      <c r="CG108" s="136">
        <f>IF(AF108&gt;0,(BY108^2),"")</f>
        <v/>
      </c>
      <c r="CH108" s="136">
        <f>IF(AJ108&gt;0,(BZ108^2),"")</f>
        <v/>
      </c>
      <c r="CI108" s="136">
        <f>IF(AN108&gt;0,(CA108^2),"")</f>
        <v/>
      </c>
    </row>
    <row r="109" ht="18.75" customHeight="1" s="444">
      <c r="A109" s="340" t="inlineStr">
        <is>
          <t>/</t>
        </is>
      </c>
      <c r="B109" s="65">
        <f>B108+1</f>
        <v/>
      </c>
      <c r="C109" s="78" t="n"/>
      <c r="D109" s="83" t="n"/>
      <c r="E109" s="83" t="n"/>
      <c r="F109" s="329" t="n"/>
      <c r="G109" s="71" t="n">
        <v>40725</v>
      </c>
      <c r="H109" s="77" t="inlineStr">
        <is>
          <t>Compito</t>
        </is>
      </c>
      <c r="I109" s="77">
        <f>IF((V109-R109)&gt;3,"SI","")</f>
        <v/>
      </c>
      <c r="J109" s="77">
        <f>IF((U109-R109)&gt;3,"SI","")</f>
        <v/>
      </c>
      <c r="K109" s="77" t="n"/>
      <c r="L109" s="77" t="n"/>
      <c r="M109" s="137">
        <f>IF(R109&gt;0,(SQRT(CC109*(SUM(CD109:CI109)))),"")</f>
        <v/>
      </c>
      <c r="N109" s="4">
        <f>IF(T109&gt;0,(MAX(T109,Z109,AD109,AH109,AL109,AP109))+SQRT(1.2^2+1^2),"")</f>
        <v/>
      </c>
      <c r="O109" s="3">
        <f>IF(R109="",0,10*LOG10(SUM(BP109:BU109)/(COUNT(R109,X109,AB109,AF109,AJ109,AN109))))</f>
        <v/>
      </c>
      <c r="P109" s="5">
        <f>IF(AND(Y109="",AC109="",AG109="",AK109="",AO109=""),S109,AVERAGE(S109,Y109,AC109,AG109,AK109,AO109)+STDEV(S109,Y109,AC109,AG109,AK109,AO109))</f>
        <v/>
      </c>
      <c r="Q109" s="14" t="n"/>
      <c r="R109" s="11" t="n"/>
      <c r="S109" s="12" t="n"/>
      <c r="T109" s="13" t="n"/>
      <c r="U109" s="79" t="n"/>
      <c r="V109" s="79" t="n"/>
      <c r="W109" s="10" t="n"/>
      <c r="X109" s="11" t="n"/>
      <c r="Y109" s="12" t="n"/>
      <c r="Z109" s="13" t="n"/>
      <c r="AA109" s="10" t="n"/>
      <c r="AB109" s="11" t="n"/>
      <c r="AC109" s="12" t="n"/>
      <c r="AD109" s="13" t="n"/>
      <c r="AE109" s="14" t="n"/>
      <c r="AF109" s="11" t="n"/>
      <c r="AG109" s="12" t="n"/>
      <c r="AH109" s="13" t="n"/>
      <c r="AI109" s="10" t="n"/>
      <c r="AJ109" s="11" t="n"/>
      <c r="AK109" s="12" t="n"/>
      <c r="AL109" s="13" t="n"/>
      <c r="AM109" s="10" t="n"/>
      <c r="AN109" s="11" t="n"/>
      <c r="AO109" s="12" t="n"/>
      <c r="AP109" s="13" t="n"/>
      <c r="AQ109" s="6">
        <f>IF(AND((O109)&lt;85,N109&lt;137),"NO","SI")</f>
        <v/>
      </c>
      <c r="AR109" s="7">
        <f>IF((480*(10^(7.95-(O109/10))))&lt;480,480*(10^(7.95-(O109/10))),480)</f>
        <v/>
      </c>
      <c r="AS109" s="8">
        <f>IF((480*(10^(8.45-(O109/10))))&lt;480,480*(10^(8.45-(O109/10))),480)</f>
        <v/>
      </c>
      <c r="AT109" s="9">
        <f>IF((480*(10^(8.65-(O109/10))))&lt;480,480*(10^(8.65-(O109/10))),480)</f>
        <v/>
      </c>
      <c r="AU109" s="111">
        <f>IF(O109&lt;80,"0",IF((P109-O109)&lt;=2,('DPI art.191'!$G$3-(('DPI art.191'!$F$3-'DPI art.191'!$G$3)/4)*(P109-O109-2)),('DPI art.191'!$G$3-(('DPI art.191'!$G$3-'DPI art.191'!$H$3)/8)*(P109-O109-2))))</f>
        <v/>
      </c>
      <c r="AV109" s="24">
        <f>O109-AU109</f>
        <v/>
      </c>
      <c r="AW109" s="24">
        <f>IF(N109&lt;135,N109,N109-'DPI art.191'!$I$3)</f>
        <v/>
      </c>
      <c r="AX109" s="111">
        <f>IF(I109&lt;80,"0",IF((J109-I109)&lt;=2,('DPI art.191'!$G$7-(('DPI art.191'!$F$7-'DPI art.191'!$G$7)/4)*(I109-J109-2)),('DPI art.191'!$G$7-(('DPI art.191'!$G$7-'DPI art.191'!$H$7)/8)*(J109-I109-2))))</f>
        <v/>
      </c>
      <c r="AY109" s="24">
        <f>I109-AX109</f>
        <v/>
      </c>
      <c r="AZ109" s="24">
        <f>IF(H109&lt;135,H109,H109-'DPI art.191'!$I$7)</f>
        <v/>
      </c>
      <c r="BA109" s="111">
        <f>IF(O109&lt;80,"0",IF((P109-O109)&lt;=2,('DPI art.191'!$G$5-(('DPI art.191'!$F$5-'DPI art.191'!$G$5)/4)*(P109-O109-2)),('DPI art.191'!$G$5-(('DPI art.191'!$G$5-'DPI art.191'!$H$5)/8)*(P109-O109-2))))</f>
        <v/>
      </c>
      <c r="BB109" s="24">
        <f>R109-BA109</f>
        <v/>
      </c>
      <c r="BC109" s="24">
        <f>IF(N109&lt;135,N109,N109-'DPI art.191'!$I$5)</f>
        <v/>
      </c>
      <c r="BD109" s="111">
        <f>IF(O109&lt;80,"0",IF((P109-O109)&lt;=2,('DPI art.191'!$G$7-(('DPI art.191'!$F$7-'DPI art.191'!$G$7)/4)*(O109-P109-2)),('DPI art.191'!$G$7-(('DPI art.191'!$G$7-'DPI art.191'!$H$7)/8)*(P109-O109-2))))</f>
        <v/>
      </c>
      <c r="BE109" s="24">
        <f>O109-BD109</f>
        <v/>
      </c>
      <c r="BF109" s="24">
        <f>IF(N109&lt;135,N109,N109-'DPI art.191'!$I$7)</f>
        <v/>
      </c>
      <c r="BG109" s="111">
        <f>IF(AA109&lt;80,"0",IF((AB109-AA109)&lt;=2,('DPI art.191'!$G$3-(('DPI art.191'!$F$3-'DPI art.191'!$G$3)/4)*(AB109-AA109-2)),('DPI art.191'!$G$3-(('DPI art.191'!$G$3-'DPI art.191'!$H$3)/8)*(AB109-AA109-2))))</f>
        <v/>
      </c>
      <c r="BH109" s="24">
        <f>AA109-BG109</f>
        <v/>
      </c>
      <c r="BI109" s="24">
        <f>IF(Z109&lt;135,Z109,Z109-'DPI art.191'!$I$3)</f>
        <v/>
      </c>
      <c r="BJ109" s="111">
        <f>IF(U109&lt;80,"0",IF((V109-U109)&lt;=2,('DPI art.191'!$G$7-(('DPI art.191'!$F$7-'DPI art.191'!$G$7)/4)*(U109-V109-2)),('DPI art.191'!$G$7-(('DPI art.191'!$G$7-'DPI art.191'!$H$7)/8)*(V109-U109-2))))</f>
        <v/>
      </c>
      <c r="BK109" s="24">
        <f>U109-BJ109</f>
        <v/>
      </c>
      <c r="BL109" s="24">
        <f>IF(T109&lt;135,T109,T109-'DPI art.191'!$I$7)</f>
        <v/>
      </c>
      <c r="BM109" s="111">
        <f>IF(AA109&lt;80,"0",IF((AB109-AA109)&lt;=2,('DPI art.191'!$G$5-(('DPI art.191'!$F$5-'DPI art.191'!$G$5)/4)*(AB109-AA109-2)),('DPI art.191'!$G$5-(('DPI art.191'!$G$5-'DPI art.191'!$H$5)/8)*(AB109-AA109-2))))</f>
        <v/>
      </c>
      <c r="BN109" s="24">
        <f>AD109-BM109</f>
        <v/>
      </c>
      <c r="BO109" s="24">
        <f>IF(Z109&lt;135,Z109,Z109-'DPI art.191'!$I$5)</f>
        <v/>
      </c>
      <c r="BP109" s="108">
        <f>10^(0.1*R109)</f>
        <v/>
      </c>
      <c r="BQ109" s="108">
        <f>10^(0.1*X109)</f>
        <v/>
      </c>
      <c r="BR109" s="108">
        <f>10^(0.1*AB109)</f>
        <v/>
      </c>
      <c r="BS109" s="108">
        <f>10^(0.1*AF109)</f>
        <v/>
      </c>
      <c r="BT109" s="108">
        <f>10^(0.1*AJ109)</f>
        <v/>
      </c>
      <c r="BU109" s="108">
        <f>10^(0.1*AN109)</f>
        <v/>
      </c>
      <c r="BV109" s="106">
        <f>IF(R109&gt;0,(O109-R109),"")</f>
        <v/>
      </c>
      <c r="BW109" s="106">
        <f>IF(X109&gt;0,(O109-X109),"")</f>
        <v/>
      </c>
      <c r="BX109" s="106">
        <f>IF(AB109&gt;0,(O109-AB109),"")</f>
        <v/>
      </c>
      <c r="BY109" s="106">
        <f>IF(AF109&gt;0,(O109-AF109),"")</f>
        <v/>
      </c>
      <c r="BZ109" s="106">
        <f>IF(AJ109&gt;0,(O109-AJ109),"")</f>
        <v/>
      </c>
      <c r="CA109" s="106">
        <f>IF(AN109&gt;0,(O109-AN109),"")</f>
        <v/>
      </c>
      <c r="CB109" s="106">
        <f>COUNT(BV109:CA109)</f>
        <v/>
      </c>
      <c r="CC109" s="464">
        <f>IF(CB109=0,0,IF(CB109=1,0,1/(CB109*(CB109-1))))</f>
        <v/>
      </c>
      <c r="CD109" s="136">
        <f>IF(R109&gt;0,(BV109^2),"")</f>
        <v/>
      </c>
      <c r="CE109" s="136">
        <f>IF(X109&gt;0,(BW109^2),"")</f>
        <v/>
      </c>
      <c r="CF109" s="136">
        <f>IF(AB109&gt;0,(BX109^2),"")</f>
        <v/>
      </c>
      <c r="CG109" s="136">
        <f>IF(AF109&gt;0,(BY109^2),"")</f>
        <v/>
      </c>
      <c r="CH109" s="136">
        <f>IF(AJ109&gt;0,(BZ109^2),"")</f>
        <v/>
      </c>
      <c r="CI109" s="136">
        <f>IF(AN109&gt;0,(CA109^2),"")</f>
        <v/>
      </c>
    </row>
    <row r="110" ht="18.75" customHeight="1" s="444">
      <c r="A110" s="340" t="inlineStr">
        <is>
          <t>/</t>
        </is>
      </c>
      <c r="B110" s="65">
        <f>B109+1</f>
        <v/>
      </c>
      <c r="C110" s="78" t="n"/>
      <c r="D110" s="83" t="n"/>
      <c r="E110" s="83" t="n"/>
      <c r="F110" s="329" t="n"/>
      <c r="G110" s="71" t="n">
        <v>40725</v>
      </c>
      <c r="H110" s="77" t="inlineStr">
        <is>
          <t>Compito</t>
        </is>
      </c>
      <c r="I110" s="77">
        <f>IF((V110-R110)&gt;3,"SI","")</f>
        <v/>
      </c>
      <c r="J110" s="77">
        <f>IF((U110-R110)&gt;3,"SI","")</f>
        <v/>
      </c>
      <c r="K110" s="77" t="n"/>
      <c r="L110" s="77" t="n"/>
      <c r="M110" s="137">
        <f>IF(R110&gt;0,(SQRT(CC110*(SUM(CD110:CI110)))),"")</f>
        <v/>
      </c>
      <c r="N110" s="4">
        <f>IF(T110&gt;0,(MAX(T110,Z110,AD110,AH110,AL110,AP110))+SQRT(1.2^2+1^2),"")</f>
        <v/>
      </c>
      <c r="O110" s="3">
        <f>IF(R110="",0,10*LOG10(SUM(BP110:BU110)/(COUNT(R110,X110,AB110,AF110,AJ110,AN110))))</f>
        <v/>
      </c>
      <c r="P110" s="5">
        <f>IF(AND(Y110="",AC110="",AG110="",AK110="",AO110=""),S110,AVERAGE(S110,Y110,AC110,AG110,AK110,AO110)+STDEV(S110,Y110,AC110,AG110,AK110,AO110))</f>
        <v/>
      </c>
      <c r="Q110" s="14" t="n"/>
      <c r="R110" s="11" t="n"/>
      <c r="S110" s="12" t="n"/>
      <c r="T110" s="13" t="n"/>
      <c r="U110" s="79" t="n"/>
      <c r="V110" s="79" t="n"/>
      <c r="W110" s="10" t="n"/>
      <c r="X110" s="11" t="n"/>
      <c r="Y110" s="12" t="n"/>
      <c r="Z110" s="13" t="n"/>
      <c r="AA110" s="10" t="n"/>
      <c r="AB110" s="11" t="n"/>
      <c r="AC110" s="12" t="n"/>
      <c r="AD110" s="13" t="n"/>
      <c r="AE110" s="14" t="n"/>
      <c r="AF110" s="11" t="n"/>
      <c r="AG110" s="12" t="n"/>
      <c r="AH110" s="13" t="n"/>
      <c r="AI110" s="10" t="n"/>
      <c r="AJ110" s="11" t="n"/>
      <c r="AK110" s="12" t="n"/>
      <c r="AL110" s="13" t="n"/>
      <c r="AM110" s="10" t="n"/>
      <c r="AN110" s="11" t="n"/>
      <c r="AO110" s="12" t="n"/>
      <c r="AP110" s="13" t="n"/>
      <c r="AQ110" s="6">
        <f>IF(AND((O110)&lt;85,N110&lt;137),"NO","SI")</f>
        <v/>
      </c>
      <c r="AR110" s="7">
        <f>IF((480*(10^(7.95-(O110/10))))&lt;480,480*(10^(7.95-(O110/10))),480)</f>
        <v/>
      </c>
      <c r="AS110" s="8">
        <f>IF((480*(10^(8.45-(O110/10))))&lt;480,480*(10^(8.45-(O110/10))),480)</f>
        <v/>
      </c>
      <c r="AT110" s="9">
        <f>IF((480*(10^(8.65-(O110/10))))&lt;480,480*(10^(8.65-(O110/10))),480)</f>
        <v/>
      </c>
      <c r="AU110" s="111">
        <f>IF(O110&lt;80,"0",IF((P110-O110)&lt;=2,('DPI art.191'!$G$3-(('DPI art.191'!$F$3-'DPI art.191'!$G$3)/4)*(P110-O110-2)),('DPI art.191'!$G$3-(('DPI art.191'!$G$3-'DPI art.191'!$H$3)/8)*(P110-O110-2))))</f>
        <v/>
      </c>
      <c r="AV110" s="24">
        <f>O110-AU110</f>
        <v/>
      </c>
      <c r="AW110" s="24">
        <f>IF(N110&lt;135,N110,N110-'DPI art.191'!$I$3)</f>
        <v/>
      </c>
      <c r="AX110" s="111">
        <f>IF(I110&lt;80,"0",IF((J110-I110)&lt;=2,('DPI art.191'!$G$7-(('DPI art.191'!$F$7-'DPI art.191'!$G$7)/4)*(I110-J110-2)),('DPI art.191'!$G$7-(('DPI art.191'!$G$7-'DPI art.191'!$H$7)/8)*(J110-I110-2))))</f>
        <v/>
      </c>
      <c r="AY110" s="24">
        <f>I110-AX110</f>
        <v/>
      </c>
      <c r="AZ110" s="24">
        <f>IF(H110&lt;135,H110,H110-'DPI art.191'!$I$7)</f>
        <v/>
      </c>
      <c r="BA110" s="111">
        <f>IF(O110&lt;80,"0",IF((P110-O110)&lt;=2,('DPI art.191'!$G$5-(('DPI art.191'!$F$5-'DPI art.191'!$G$5)/4)*(P110-O110-2)),('DPI art.191'!$G$5-(('DPI art.191'!$G$5-'DPI art.191'!$H$5)/8)*(P110-O110-2))))</f>
        <v/>
      </c>
      <c r="BB110" s="24">
        <f>R110-BA110</f>
        <v/>
      </c>
      <c r="BC110" s="24">
        <f>IF(N110&lt;135,N110,N110-'DPI art.191'!$I$5)</f>
        <v/>
      </c>
      <c r="BD110" s="111">
        <f>IF(O110&lt;80,"0",IF((P110-O110)&lt;=2,('DPI art.191'!$G$7-(('DPI art.191'!$F$7-'DPI art.191'!$G$7)/4)*(O110-P110-2)),('DPI art.191'!$G$7-(('DPI art.191'!$G$7-'DPI art.191'!$H$7)/8)*(P110-O110-2))))</f>
        <v/>
      </c>
      <c r="BE110" s="24">
        <f>O110-BD110</f>
        <v/>
      </c>
      <c r="BF110" s="24">
        <f>IF(N110&lt;135,N110,N110-'DPI art.191'!$I$7)</f>
        <v/>
      </c>
      <c r="BG110" s="111">
        <f>IF(AA110&lt;80,"0",IF((AB110-AA110)&lt;=2,('DPI art.191'!$G$3-(('DPI art.191'!$F$3-'DPI art.191'!$G$3)/4)*(AB110-AA110-2)),('DPI art.191'!$G$3-(('DPI art.191'!$G$3-'DPI art.191'!$H$3)/8)*(AB110-AA110-2))))</f>
        <v/>
      </c>
      <c r="BH110" s="24">
        <f>AA110-BG110</f>
        <v/>
      </c>
      <c r="BI110" s="24">
        <f>IF(Z110&lt;135,Z110,Z110-'DPI art.191'!$I$3)</f>
        <v/>
      </c>
      <c r="BJ110" s="111">
        <f>IF(U110&lt;80,"0",IF((V110-U110)&lt;=2,('DPI art.191'!$G$7-(('DPI art.191'!$F$7-'DPI art.191'!$G$7)/4)*(U110-V110-2)),('DPI art.191'!$G$7-(('DPI art.191'!$G$7-'DPI art.191'!$H$7)/8)*(V110-U110-2))))</f>
        <v/>
      </c>
      <c r="BK110" s="24">
        <f>U110-BJ110</f>
        <v/>
      </c>
      <c r="BL110" s="24">
        <f>IF(T110&lt;135,T110,T110-'DPI art.191'!$I$7)</f>
        <v/>
      </c>
      <c r="BM110" s="111">
        <f>IF(AA110&lt;80,"0",IF((AB110-AA110)&lt;=2,('DPI art.191'!$G$5-(('DPI art.191'!$F$5-'DPI art.191'!$G$5)/4)*(AB110-AA110-2)),('DPI art.191'!$G$5-(('DPI art.191'!$G$5-'DPI art.191'!$H$5)/8)*(AB110-AA110-2))))</f>
        <v/>
      </c>
      <c r="BN110" s="24">
        <f>AD110-BM110</f>
        <v/>
      </c>
      <c r="BO110" s="24">
        <f>IF(Z110&lt;135,Z110,Z110-'DPI art.191'!$I$5)</f>
        <v/>
      </c>
      <c r="BP110" s="108">
        <f>10^(0.1*R110)</f>
        <v/>
      </c>
      <c r="BQ110" s="108">
        <f>10^(0.1*X110)</f>
        <v/>
      </c>
      <c r="BR110" s="108">
        <f>10^(0.1*AB110)</f>
        <v/>
      </c>
      <c r="BS110" s="108">
        <f>10^(0.1*AF110)</f>
        <v/>
      </c>
      <c r="BT110" s="108">
        <f>10^(0.1*AJ110)</f>
        <v/>
      </c>
      <c r="BU110" s="108">
        <f>10^(0.1*AN110)</f>
        <v/>
      </c>
      <c r="BV110" s="106">
        <f>IF(R110&gt;0,(O110-R110),"")</f>
        <v/>
      </c>
      <c r="BW110" s="106">
        <f>IF(X110&gt;0,(O110-X110),"")</f>
        <v/>
      </c>
      <c r="BX110" s="106">
        <f>IF(AB110&gt;0,(O110-AB110),"")</f>
        <v/>
      </c>
      <c r="BY110" s="106">
        <f>IF(AF110&gt;0,(O110-AF110),"")</f>
        <v/>
      </c>
      <c r="BZ110" s="106">
        <f>IF(AJ110&gt;0,(O110-AJ110),"")</f>
        <v/>
      </c>
      <c r="CA110" s="106">
        <f>IF(AN110&gt;0,(O110-AN110),"")</f>
        <v/>
      </c>
      <c r="CB110" s="106">
        <f>COUNT(BV110:CA110)</f>
        <v/>
      </c>
      <c r="CC110" s="464">
        <f>IF(CB110=0,0,IF(CB110=1,0,1/(CB110*(CB110-1))))</f>
        <v/>
      </c>
      <c r="CD110" s="136">
        <f>IF(R110&gt;0,(BV110^2),"")</f>
        <v/>
      </c>
      <c r="CE110" s="136">
        <f>IF(X110&gt;0,(BW110^2),"")</f>
        <v/>
      </c>
      <c r="CF110" s="136">
        <f>IF(AB110&gt;0,(BX110^2),"")</f>
        <v/>
      </c>
      <c r="CG110" s="136">
        <f>IF(AF110&gt;0,(BY110^2),"")</f>
        <v/>
      </c>
      <c r="CH110" s="136">
        <f>IF(AJ110&gt;0,(BZ110^2),"")</f>
        <v/>
      </c>
      <c r="CI110" s="136">
        <f>IF(AN110&gt;0,(CA110^2),"")</f>
        <v/>
      </c>
    </row>
    <row r="111" ht="18.75" customHeight="1" s="444">
      <c r="A111" s="340" t="inlineStr">
        <is>
          <t>/</t>
        </is>
      </c>
      <c r="B111" s="65">
        <f>B110+1</f>
        <v/>
      </c>
      <c r="C111" s="78" t="n"/>
      <c r="D111" s="83" t="n"/>
      <c r="E111" s="83" t="n"/>
      <c r="F111" s="329" t="n"/>
      <c r="G111" s="71" t="n">
        <v>40725</v>
      </c>
      <c r="H111" s="77" t="inlineStr">
        <is>
          <t>Compito</t>
        </is>
      </c>
      <c r="I111" s="77">
        <f>IF((V111-R111)&gt;3,"SI","")</f>
        <v/>
      </c>
      <c r="J111" s="77">
        <f>IF((U111-R111)&gt;3,"SI","")</f>
        <v/>
      </c>
      <c r="K111" s="77" t="n"/>
      <c r="L111" s="77" t="n"/>
      <c r="M111" s="137">
        <f>IF(R111&gt;0,(SQRT(CC111*(SUM(CD111:CI111)))),"")</f>
        <v/>
      </c>
      <c r="N111" s="4">
        <f>IF(T111&gt;0,(MAX(T111,Z111,AD111,AH111,AL111,AP111))+SQRT(1.2^2+1^2),"")</f>
        <v/>
      </c>
      <c r="O111" s="3">
        <f>IF(R111="",0,10*LOG10(SUM(BP111:BU111)/(COUNT(R111,X111,AB111,AF111,AJ111,AN111))))</f>
        <v/>
      </c>
      <c r="P111" s="5">
        <f>IF(AND(Y111="",AC111="",AG111="",AK111="",AO111=""),S111,AVERAGE(S111,Y111,AC111,AG111,AK111,AO111)+STDEV(S111,Y111,AC111,AG111,AK111,AO111))</f>
        <v/>
      </c>
      <c r="Q111" s="14" t="n"/>
      <c r="R111" s="11" t="n"/>
      <c r="S111" s="12" t="n"/>
      <c r="T111" s="13" t="n"/>
      <c r="U111" s="79" t="n"/>
      <c r="V111" s="79" t="n"/>
      <c r="W111" s="10" t="n"/>
      <c r="X111" s="11" t="n"/>
      <c r="Y111" s="12" t="n"/>
      <c r="Z111" s="13" t="n"/>
      <c r="AA111" s="10" t="n"/>
      <c r="AB111" s="11" t="n"/>
      <c r="AC111" s="12" t="n"/>
      <c r="AD111" s="13" t="n"/>
      <c r="AE111" s="14" t="n"/>
      <c r="AF111" s="11" t="n"/>
      <c r="AG111" s="12" t="n"/>
      <c r="AH111" s="13" t="n"/>
      <c r="AI111" s="10" t="n"/>
      <c r="AJ111" s="11" t="n"/>
      <c r="AK111" s="12" t="n"/>
      <c r="AL111" s="13" t="n"/>
      <c r="AM111" s="10" t="n"/>
      <c r="AN111" s="11" t="n"/>
      <c r="AO111" s="12" t="n"/>
      <c r="AP111" s="13" t="n"/>
      <c r="AQ111" s="6">
        <f>IF(AND((O111)&lt;85,N111&lt;137),"NO","SI")</f>
        <v/>
      </c>
      <c r="AR111" s="7">
        <f>IF((480*(10^(7.95-(O111/10))))&lt;480,480*(10^(7.95-(O111/10))),480)</f>
        <v/>
      </c>
      <c r="AS111" s="8">
        <f>IF((480*(10^(8.45-(O111/10))))&lt;480,480*(10^(8.45-(O111/10))),480)</f>
        <v/>
      </c>
      <c r="AT111" s="9">
        <f>IF((480*(10^(8.65-(O111/10))))&lt;480,480*(10^(8.65-(O111/10))),480)</f>
        <v/>
      </c>
      <c r="AU111" s="111">
        <f>IF(O111&lt;80,"0",IF((P111-O111)&lt;=2,('DPI art.191'!$G$3-(('DPI art.191'!$F$3-'DPI art.191'!$G$3)/4)*(P111-O111-2)),('DPI art.191'!$G$3-(('DPI art.191'!$G$3-'DPI art.191'!$H$3)/8)*(P111-O111-2))))</f>
        <v/>
      </c>
      <c r="AV111" s="24">
        <f>O111-AU111</f>
        <v/>
      </c>
      <c r="AW111" s="24">
        <f>IF(N111&lt;135,N111,N111-'DPI art.191'!$I$3)</f>
        <v/>
      </c>
      <c r="AX111" s="111">
        <f>IF(I111&lt;80,"0",IF((J111-I111)&lt;=2,('DPI art.191'!$G$7-(('DPI art.191'!$F$7-'DPI art.191'!$G$7)/4)*(I111-J111-2)),('DPI art.191'!$G$7-(('DPI art.191'!$G$7-'DPI art.191'!$H$7)/8)*(J111-I111-2))))</f>
        <v/>
      </c>
      <c r="AY111" s="24">
        <f>I111-AX111</f>
        <v/>
      </c>
      <c r="AZ111" s="24">
        <f>IF(H111&lt;135,H111,H111-'DPI art.191'!$I$7)</f>
        <v/>
      </c>
      <c r="BA111" s="111">
        <f>IF(O111&lt;80,"0",IF((P111-O111)&lt;=2,('DPI art.191'!$G$5-(('DPI art.191'!$F$5-'DPI art.191'!$G$5)/4)*(P111-O111-2)),('DPI art.191'!$G$5-(('DPI art.191'!$G$5-'DPI art.191'!$H$5)/8)*(P111-O111-2))))</f>
        <v/>
      </c>
      <c r="BB111" s="24">
        <f>R111-BA111</f>
        <v/>
      </c>
      <c r="BC111" s="24">
        <f>IF(N111&lt;135,N111,N111-'DPI art.191'!$I$5)</f>
        <v/>
      </c>
      <c r="BD111" s="111">
        <f>IF(O111&lt;80,"0",IF((P111-O111)&lt;=2,('DPI art.191'!$G$7-(('DPI art.191'!$F$7-'DPI art.191'!$G$7)/4)*(O111-P111-2)),('DPI art.191'!$G$7-(('DPI art.191'!$G$7-'DPI art.191'!$H$7)/8)*(P111-O111-2))))</f>
        <v/>
      </c>
      <c r="BE111" s="24">
        <f>O111-BD111</f>
        <v/>
      </c>
      <c r="BF111" s="24">
        <f>IF(N111&lt;135,N111,N111-'DPI art.191'!$I$7)</f>
        <v/>
      </c>
      <c r="BG111" s="111">
        <f>IF(AA111&lt;80,"0",IF((AB111-AA111)&lt;=2,('DPI art.191'!$G$3-(('DPI art.191'!$F$3-'DPI art.191'!$G$3)/4)*(AB111-AA111-2)),('DPI art.191'!$G$3-(('DPI art.191'!$G$3-'DPI art.191'!$H$3)/8)*(AB111-AA111-2))))</f>
        <v/>
      </c>
      <c r="BH111" s="24">
        <f>AA111-BG111</f>
        <v/>
      </c>
      <c r="BI111" s="24">
        <f>IF(Z111&lt;135,Z111,Z111-'DPI art.191'!$I$3)</f>
        <v/>
      </c>
      <c r="BJ111" s="111">
        <f>IF(U111&lt;80,"0",IF((V111-U111)&lt;=2,('DPI art.191'!$G$7-(('DPI art.191'!$F$7-'DPI art.191'!$G$7)/4)*(U111-V111-2)),('DPI art.191'!$G$7-(('DPI art.191'!$G$7-'DPI art.191'!$H$7)/8)*(V111-U111-2))))</f>
        <v/>
      </c>
      <c r="BK111" s="24">
        <f>U111-BJ111</f>
        <v/>
      </c>
      <c r="BL111" s="24">
        <f>IF(T111&lt;135,T111,T111-'DPI art.191'!$I$7)</f>
        <v/>
      </c>
      <c r="BM111" s="111">
        <f>IF(AA111&lt;80,"0",IF((AB111-AA111)&lt;=2,('DPI art.191'!$G$5-(('DPI art.191'!$F$5-'DPI art.191'!$G$5)/4)*(AB111-AA111-2)),('DPI art.191'!$G$5-(('DPI art.191'!$G$5-'DPI art.191'!$H$5)/8)*(AB111-AA111-2))))</f>
        <v/>
      </c>
      <c r="BN111" s="24">
        <f>AD111-BM111</f>
        <v/>
      </c>
      <c r="BO111" s="24">
        <f>IF(Z111&lt;135,Z111,Z111-'DPI art.191'!$I$5)</f>
        <v/>
      </c>
      <c r="BP111" s="108">
        <f>10^(0.1*R111)</f>
        <v/>
      </c>
      <c r="BQ111" s="108">
        <f>10^(0.1*X111)</f>
        <v/>
      </c>
      <c r="BR111" s="108">
        <f>10^(0.1*AB111)</f>
        <v/>
      </c>
      <c r="BS111" s="108">
        <f>10^(0.1*AF111)</f>
        <v/>
      </c>
      <c r="BT111" s="108">
        <f>10^(0.1*AJ111)</f>
        <v/>
      </c>
      <c r="BU111" s="108">
        <f>10^(0.1*AN111)</f>
        <v/>
      </c>
      <c r="BV111" s="106">
        <f>IF(R111&gt;0,(O111-R111),"")</f>
        <v/>
      </c>
      <c r="BW111" s="106">
        <f>IF(X111&gt;0,(O111-X111),"")</f>
        <v/>
      </c>
      <c r="BX111" s="106">
        <f>IF(AB111&gt;0,(O111-AB111),"")</f>
        <v/>
      </c>
      <c r="BY111" s="106">
        <f>IF(AF111&gt;0,(O111-AF111),"")</f>
        <v/>
      </c>
      <c r="BZ111" s="106">
        <f>IF(AJ111&gt;0,(O111-AJ111),"")</f>
        <v/>
      </c>
      <c r="CA111" s="106">
        <f>IF(AN111&gt;0,(O111-AN111),"")</f>
        <v/>
      </c>
      <c r="CB111" s="106">
        <f>COUNT(BV111:CA111)</f>
        <v/>
      </c>
      <c r="CC111" s="464">
        <f>IF(CB111=0,0,IF(CB111=1,0,1/(CB111*(CB111-1))))</f>
        <v/>
      </c>
      <c r="CD111" s="136">
        <f>IF(R111&gt;0,(BV111^2),"")</f>
        <v/>
      </c>
      <c r="CE111" s="136">
        <f>IF(X111&gt;0,(BW111^2),"")</f>
        <v/>
      </c>
      <c r="CF111" s="136">
        <f>IF(AB111&gt;0,(BX111^2),"")</f>
        <v/>
      </c>
      <c r="CG111" s="136">
        <f>IF(AF111&gt;0,(BY111^2),"")</f>
        <v/>
      </c>
      <c r="CH111" s="136">
        <f>IF(AJ111&gt;0,(BZ111^2),"")</f>
        <v/>
      </c>
      <c r="CI111" s="136">
        <f>IF(AN111&gt;0,(CA111^2),"")</f>
        <v/>
      </c>
    </row>
    <row r="112" ht="18.75" customHeight="1" s="444">
      <c r="A112" s="340" t="inlineStr">
        <is>
          <t>/</t>
        </is>
      </c>
      <c r="B112" s="65">
        <f>B111+1</f>
        <v/>
      </c>
      <c r="C112" s="78" t="n"/>
      <c r="D112" s="83" t="n"/>
      <c r="E112" s="83" t="n"/>
      <c r="F112" s="329" t="n"/>
      <c r="G112" s="71" t="n">
        <v>40725</v>
      </c>
      <c r="H112" s="77" t="inlineStr">
        <is>
          <t>Compito</t>
        </is>
      </c>
      <c r="I112" s="77">
        <f>IF((V112-R112)&gt;3,"SI","")</f>
        <v/>
      </c>
      <c r="J112" s="77">
        <f>IF((U112-R112)&gt;3,"SI","")</f>
        <v/>
      </c>
      <c r="K112" s="77" t="n"/>
      <c r="L112" s="77" t="n"/>
      <c r="M112" s="137">
        <f>IF(R112&gt;0,(SQRT(CC112*(SUM(CD112:CI112)))),"")</f>
        <v/>
      </c>
      <c r="N112" s="4">
        <f>IF(T112&gt;0,(MAX(T112,Z112,AD112,AH112,AL112,AP112))+SQRT(1.2^2+1^2),"")</f>
        <v/>
      </c>
      <c r="O112" s="3">
        <f>IF(R112="",0,10*LOG10(SUM(BP112:BU112)/(COUNT(R112,X112,AB112,AF112,AJ112,AN112))))</f>
        <v/>
      </c>
      <c r="P112" s="5">
        <f>IF(AND(Y112="",AC112="",AG112="",AK112="",AO112=""),S112,AVERAGE(S112,Y112,AC112,AG112,AK112,AO112)+STDEV(S112,Y112,AC112,AG112,AK112,AO112))</f>
        <v/>
      </c>
      <c r="Q112" s="14" t="n"/>
      <c r="R112" s="11" t="n"/>
      <c r="S112" s="12" t="n"/>
      <c r="T112" s="13" t="n"/>
      <c r="U112" s="79" t="n"/>
      <c r="V112" s="79" t="n"/>
      <c r="W112" s="10" t="n"/>
      <c r="X112" s="11" t="n"/>
      <c r="Y112" s="12" t="n"/>
      <c r="Z112" s="13" t="n"/>
      <c r="AA112" s="10" t="n"/>
      <c r="AB112" s="11" t="n"/>
      <c r="AC112" s="12" t="n"/>
      <c r="AD112" s="13" t="n"/>
      <c r="AE112" s="14" t="n"/>
      <c r="AF112" s="11" t="n"/>
      <c r="AG112" s="12" t="n"/>
      <c r="AH112" s="13" t="n"/>
      <c r="AI112" s="10" t="n"/>
      <c r="AJ112" s="11" t="n"/>
      <c r="AK112" s="12" t="n"/>
      <c r="AL112" s="13" t="n"/>
      <c r="AM112" s="10" t="n"/>
      <c r="AN112" s="11" t="n"/>
      <c r="AO112" s="12" t="n"/>
      <c r="AP112" s="13" t="n"/>
      <c r="AQ112" s="6">
        <f>IF(AND((O112)&lt;85,N112&lt;137),"NO","SI")</f>
        <v/>
      </c>
      <c r="AR112" s="7">
        <f>IF((480*(10^(7.95-(O112/10))))&lt;480,480*(10^(7.95-(O112/10))),480)</f>
        <v/>
      </c>
      <c r="AS112" s="8">
        <f>IF((480*(10^(8.45-(O112/10))))&lt;480,480*(10^(8.45-(O112/10))),480)</f>
        <v/>
      </c>
      <c r="AT112" s="9">
        <f>IF((480*(10^(8.65-(O112/10))))&lt;480,480*(10^(8.65-(O112/10))),480)</f>
        <v/>
      </c>
      <c r="AU112" s="111">
        <f>IF(O112&lt;80,"0",IF((P112-O112)&lt;=2,('DPI art.191'!$G$3-(('DPI art.191'!$F$3-'DPI art.191'!$G$3)/4)*(P112-O112-2)),('DPI art.191'!$G$3-(('DPI art.191'!$G$3-'DPI art.191'!$H$3)/8)*(P112-O112-2))))</f>
        <v/>
      </c>
      <c r="AV112" s="24">
        <f>O112-AU112</f>
        <v/>
      </c>
      <c r="AW112" s="24">
        <f>IF(N112&lt;135,N112,N112-'DPI art.191'!$I$3)</f>
        <v/>
      </c>
      <c r="AX112" s="111">
        <f>IF(I112&lt;80,"0",IF((J112-I112)&lt;=2,('DPI art.191'!$G$7-(('DPI art.191'!$F$7-'DPI art.191'!$G$7)/4)*(I112-J112-2)),('DPI art.191'!$G$7-(('DPI art.191'!$G$7-'DPI art.191'!$H$7)/8)*(J112-I112-2))))</f>
        <v/>
      </c>
      <c r="AY112" s="24">
        <f>I112-AX112</f>
        <v/>
      </c>
      <c r="AZ112" s="24">
        <f>IF(H112&lt;135,H112,H112-'DPI art.191'!$I$7)</f>
        <v/>
      </c>
      <c r="BA112" s="111">
        <f>IF(O112&lt;80,"0",IF((P112-O112)&lt;=2,('DPI art.191'!$G$5-(('DPI art.191'!$F$5-'DPI art.191'!$G$5)/4)*(P112-O112-2)),('DPI art.191'!$G$5-(('DPI art.191'!$G$5-'DPI art.191'!$H$5)/8)*(P112-O112-2))))</f>
        <v/>
      </c>
      <c r="BB112" s="24">
        <f>R112-BA112</f>
        <v/>
      </c>
      <c r="BC112" s="24">
        <f>IF(N112&lt;135,N112,N112-'DPI art.191'!$I$5)</f>
        <v/>
      </c>
      <c r="BD112" s="111">
        <f>IF(O112&lt;80,"0",IF((P112-O112)&lt;=2,('DPI art.191'!$G$7-(('DPI art.191'!$F$7-'DPI art.191'!$G$7)/4)*(O112-P112-2)),('DPI art.191'!$G$7-(('DPI art.191'!$G$7-'DPI art.191'!$H$7)/8)*(P112-O112-2))))</f>
        <v/>
      </c>
      <c r="BE112" s="24">
        <f>O112-BD112</f>
        <v/>
      </c>
      <c r="BF112" s="24">
        <f>IF(N112&lt;135,N112,N112-'DPI art.191'!$I$7)</f>
        <v/>
      </c>
      <c r="BG112" s="111">
        <f>IF(AA112&lt;80,"0",IF((AB112-AA112)&lt;=2,('DPI art.191'!$G$3-(('DPI art.191'!$F$3-'DPI art.191'!$G$3)/4)*(AB112-AA112-2)),('DPI art.191'!$G$3-(('DPI art.191'!$G$3-'DPI art.191'!$H$3)/8)*(AB112-AA112-2))))</f>
        <v/>
      </c>
      <c r="BH112" s="24">
        <f>AA112-BG112</f>
        <v/>
      </c>
      <c r="BI112" s="24">
        <f>IF(Z112&lt;135,Z112,Z112-'DPI art.191'!$I$3)</f>
        <v/>
      </c>
      <c r="BJ112" s="111">
        <f>IF(U112&lt;80,"0",IF((V112-U112)&lt;=2,('DPI art.191'!$G$7-(('DPI art.191'!$F$7-'DPI art.191'!$G$7)/4)*(U112-V112-2)),('DPI art.191'!$G$7-(('DPI art.191'!$G$7-'DPI art.191'!$H$7)/8)*(V112-U112-2))))</f>
        <v/>
      </c>
      <c r="BK112" s="24">
        <f>U112-BJ112</f>
        <v/>
      </c>
      <c r="BL112" s="24">
        <f>IF(T112&lt;135,T112,T112-'DPI art.191'!$I$7)</f>
        <v/>
      </c>
      <c r="BM112" s="111">
        <f>IF(AA112&lt;80,"0",IF((AB112-AA112)&lt;=2,('DPI art.191'!$G$5-(('DPI art.191'!$F$5-'DPI art.191'!$G$5)/4)*(AB112-AA112-2)),('DPI art.191'!$G$5-(('DPI art.191'!$G$5-'DPI art.191'!$H$5)/8)*(AB112-AA112-2))))</f>
        <v/>
      </c>
      <c r="BN112" s="24">
        <f>AD112-BM112</f>
        <v/>
      </c>
      <c r="BO112" s="24">
        <f>IF(Z112&lt;135,Z112,Z112-'DPI art.191'!$I$5)</f>
        <v/>
      </c>
      <c r="BP112" s="108">
        <f>10^(0.1*R112)</f>
        <v/>
      </c>
      <c r="BQ112" s="108">
        <f>10^(0.1*X112)</f>
        <v/>
      </c>
      <c r="BR112" s="108">
        <f>10^(0.1*AB112)</f>
        <v/>
      </c>
      <c r="BS112" s="108">
        <f>10^(0.1*AF112)</f>
        <v/>
      </c>
      <c r="BT112" s="108">
        <f>10^(0.1*AJ112)</f>
        <v/>
      </c>
      <c r="BU112" s="108">
        <f>10^(0.1*AN112)</f>
        <v/>
      </c>
      <c r="BV112" s="106">
        <f>IF(R112&gt;0,(O112-R112),"")</f>
        <v/>
      </c>
      <c r="BW112" s="106">
        <f>IF(X112&gt;0,(O112-X112),"")</f>
        <v/>
      </c>
      <c r="BX112" s="106">
        <f>IF(AB112&gt;0,(O112-AB112),"")</f>
        <v/>
      </c>
      <c r="BY112" s="106">
        <f>IF(AF112&gt;0,(O112-AF112),"")</f>
        <v/>
      </c>
      <c r="BZ112" s="106">
        <f>IF(AJ112&gt;0,(O112-AJ112),"")</f>
        <v/>
      </c>
      <c r="CA112" s="106">
        <f>IF(AN112&gt;0,(O112-AN112),"")</f>
        <v/>
      </c>
      <c r="CB112" s="106">
        <f>COUNT(BV112:CA112)</f>
        <v/>
      </c>
      <c r="CC112" s="464">
        <f>IF(CB112=0,0,IF(CB112=1,0,1/(CB112*(CB112-1))))</f>
        <v/>
      </c>
      <c r="CD112" s="136">
        <f>IF(R112&gt;0,(BV112^2),"")</f>
        <v/>
      </c>
      <c r="CE112" s="136">
        <f>IF(X112&gt;0,(BW112^2),"")</f>
        <v/>
      </c>
      <c r="CF112" s="136">
        <f>IF(AB112&gt;0,(BX112^2),"")</f>
        <v/>
      </c>
      <c r="CG112" s="136">
        <f>IF(AF112&gt;0,(BY112^2),"")</f>
        <v/>
      </c>
      <c r="CH112" s="136">
        <f>IF(AJ112&gt;0,(BZ112^2),"")</f>
        <v/>
      </c>
      <c r="CI112" s="136">
        <f>IF(AN112&gt;0,(CA112^2),"")</f>
        <v/>
      </c>
    </row>
    <row r="113" ht="18.75" customHeight="1" s="444">
      <c r="A113" s="340" t="inlineStr">
        <is>
          <t>/</t>
        </is>
      </c>
      <c r="B113" s="65">
        <f>B112+1</f>
        <v/>
      </c>
      <c r="C113" s="78" t="n"/>
      <c r="D113" s="83" t="n"/>
      <c r="E113" s="83" t="n"/>
      <c r="F113" s="329" t="n"/>
      <c r="G113" s="71" t="n">
        <v>40725</v>
      </c>
      <c r="H113" s="77" t="inlineStr">
        <is>
          <t>Compito</t>
        </is>
      </c>
      <c r="I113" s="77">
        <f>IF((V113-R113)&gt;3,"SI","")</f>
        <v/>
      </c>
      <c r="J113" s="77">
        <f>IF((U113-R113)&gt;3,"SI","")</f>
        <v/>
      </c>
      <c r="K113" s="77" t="n"/>
      <c r="L113" s="77" t="n"/>
      <c r="M113" s="137">
        <f>IF(R113&gt;0,(SQRT(CC113*(SUM(CD113:CI113)))),"")</f>
        <v/>
      </c>
      <c r="N113" s="4">
        <f>IF(T113&gt;0,(MAX(T113,Z113,AD113,AH113,AL113,AP113))+SQRT(1.2^2+1^2),"")</f>
        <v/>
      </c>
      <c r="O113" s="3">
        <f>IF(R113="",0,10*LOG10(SUM(BP113:BU113)/(COUNT(R113,X113,AB113,AF113,AJ113,AN113))))</f>
        <v/>
      </c>
      <c r="P113" s="5">
        <f>IF(AND(Y113="",AC113="",AG113="",AK113="",AO113=""),S113,AVERAGE(S113,Y113,AC113,AG113,AK113,AO113)+STDEV(S113,Y113,AC113,AG113,AK113,AO113))</f>
        <v/>
      </c>
      <c r="Q113" s="14" t="n"/>
      <c r="R113" s="11" t="n"/>
      <c r="S113" s="12" t="n"/>
      <c r="T113" s="13" t="n"/>
      <c r="U113" s="79" t="n"/>
      <c r="V113" s="79" t="n"/>
      <c r="W113" s="10" t="n"/>
      <c r="X113" s="11" t="n"/>
      <c r="Y113" s="12" t="n"/>
      <c r="Z113" s="13" t="n"/>
      <c r="AA113" s="10" t="n"/>
      <c r="AB113" s="11" t="n"/>
      <c r="AC113" s="12" t="n"/>
      <c r="AD113" s="13" t="n"/>
      <c r="AE113" s="14" t="n"/>
      <c r="AF113" s="11" t="n"/>
      <c r="AG113" s="12" t="n"/>
      <c r="AH113" s="13" t="n"/>
      <c r="AI113" s="10" t="n"/>
      <c r="AJ113" s="11" t="n"/>
      <c r="AK113" s="12" t="n"/>
      <c r="AL113" s="13" t="n"/>
      <c r="AM113" s="10" t="n"/>
      <c r="AN113" s="11" t="n"/>
      <c r="AO113" s="12" t="n"/>
      <c r="AP113" s="13" t="n"/>
      <c r="AQ113" s="6">
        <f>IF(AND((O113)&lt;85,N113&lt;137),"NO","SI")</f>
        <v/>
      </c>
      <c r="AR113" s="7">
        <f>IF((480*(10^(7.95-(O113/10))))&lt;480,480*(10^(7.95-(O113/10))),480)</f>
        <v/>
      </c>
      <c r="AS113" s="8">
        <f>IF((480*(10^(8.45-(O113/10))))&lt;480,480*(10^(8.45-(O113/10))),480)</f>
        <v/>
      </c>
      <c r="AT113" s="9">
        <f>IF((480*(10^(8.65-(O113/10))))&lt;480,480*(10^(8.65-(O113/10))),480)</f>
        <v/>
      </c>
      <c r="AU113" s="111">
        <f>IF(O113&lt;80,"0",IF((P113-O113)&lt;=2,('DPI art.191'!$G$3-(('DPI art.191'!$F$3-'DPI art.191'!$G$3)/4)*(P113-O113-2)),('DPI art.191'!$G$3-(('DPI art.191'!$G$3-'DPI art.191'!$H$3)/8)*(P113-O113-2))))</f>
        <v/>
      </c>
      <c r="AV113" s="24">
        <f>O113-AU113</f>
        <v/>
      </c>
      <c r="AW113" s="24">
        <f>IF(N113&lt;135,N113,N113-'DPI art.191'!$I$3)</f>
        <v/>
      </c>
      <c r="AX113" s="111">
        <f>IF(I113&lt;80,"0",IF((J113-I113)&lt;=2,('DPI art.191'!$G$7-(('DPI art.191'!$F$7-'DPI art.191'!$G$7)/4)*(I113-J113-2)),('DPI art.191'!$G$7-(('DPI art.191'!$G$7-'DPI art.191'!$H$7)/8)*(J113-I113-2))))</f>
        <v/>
      </c>
      <c r="AY113" s="24">
        <f>I113-AX113</f>
        <v/>
      </c>
      <c r="AZ113" s="24">
        <f>IF(H113&lt;135,H113,H113-'DPI art.191'!$I$7)</f>
        <v/>
      </c>
      <c r="BA113" s="111">
        <f>IF(O113&lt;80,"0",IF((P113-O113)&lt;=2,('DPI art.191'!$G$5-(('DPI art.191'!$F$5-'DPI art.191'!$G$5)/4)*(P113-O113-2)),('DPI art.191'!$G$5-(('DPI art.191'!$G$5-'DPI art.191'!$H$5)/8)*(P113-O113-2))))</f>
        <v/>
      </c>
      <c r="BB113" s="24">
        <f>R113-BA113</f>
        <v/>
      </c>
      <c r="BC113" s="24">
        <f>IF(N113&lt;135,N113,N113-'DPI art.191'!$I$5)</f>
        <v/>
      </c>
      <c r="BD113" s="111">
        <f>IF(O113&lt;80,"0",IF((P113-O113)&lt;=2,('DPI art.191'!$G$7-(('DPI art.191'!$F$7-'DPI art.191'!$G$7)/4)*(O113-P113-2)),('DPI art.191'!$G$7-(('DPI art.191'!$G$7-'DPI art.191'!$H$7)/8)*(P113-O113-2))))</f>
        <v/>
      </c>
      <c r="BE113" s="24">
        <f>O113-BD113</f>
        <v/>
      </c>
      <c r="BF113" s="24">
        <f>IF(N113&lt;135,N113,N113-'DPI art.191'!$I$7)</f>
        <v/>
      </c>
      <c r="BG113" s="111">
        <f>IF(AA113&lt;80,"0",IF((AB113-AA113)&lt;=2,('DPI art.191'!$G$3-(('DPI art.191'!$F$3-'DPI art.191'!$G$3)/4)*(AB113-AA113-2)),('DPI art.191'!$G$3-(('DPI art.191'!$G$3-'DPI art.191'!$H$3)/8)*(AB113-AA113-2))))</f>
        <v/>
      </c>
      <c r="BH113" s="24">
        <f>AA113-BG113</f>
        <v/>
      </c>
      <c r="BI113" s="24">
        <f>IF(Z113&lt;135,Z113,Z113-'DPI art.191'!$I$3)</f>
        <v/>
      </c>
      <c r="BJ113" s="111">
        <f>IF(U113&lt;80,"0",IF((V113-U113)&lt;=2,('DPI art.191'!$G$7-(('DPI art.191'!$F$7-'DPI art.191'!$G$7)/4)*(U113-V113-2)),('DPI art.191'!$G$7-(('DPI art.191'!$G$7-'DPI art.191'!$H$7)/8)*(V113-U113-2))))</f>
        <v/>
      </c>
      <c r="BK113" s="24">
        <f>U113-BJ113</f>
        <v/>
      </c>
      <c r="BL113" s="24">
        <f>IF(T113&lt;135,T113,T113-'DPI art.191'!$I$7)</f>
        <v/>
      </c>
      <c r="BM113" s="111">
        <f>IF(AA113&lt;80,"0",IF((AB113-AA113)&lt;=2,('DPI art.191'!$G$5-(('DPI art.191'!$F$5-'DPI art.191'!$G$5)/4)*(AB113-AA113-2)),('DPI art.191'!$G$5-(('DPI art.191'!$G$5-'DPI art.191'!$H$5)/8)*(AB113-AA113-2))))</f>
        <v/>
      </c>
      <c r="BN113" s="24">
        <f>AD113-BM113</f>
        <v/>
      </c>
      <c r="BO113" s="24">
        <f>IF(Z113&lt;135,Z113,Z113-'DPI art.191'!$I$5)</f>
        <v/>
      </c>
      <c r="BP113" s="108">
        <f>10^(0.1*R113)</f>
        <v/>
      </c>
      <c r="BQ113" s="108">
        <f>10^(0.1*X113)</f>
        <v/>
      </c>
      <c r="BR113" s="108">
        <f>10^(0.1*AB113)</f>
        <v/>
      </c>
      <c r="BS113" s="108">
        <f>10^(0.1*AF113)</f>
        <v/>
      </c>
      <c r="BT113" s="108">
        <f>10^(0.1*AJ113)</f>
        <v/>
      </c>
      <c r="BU113" s="108">
        <f>10^(0.1*AN113)</f>
        <v/>
      </c>
      <c r="BV113" s="106">
        <f>IF(R113&gt;0,(O113-R113),"")</f>
        <v/>
      </c>
      <c r="BW113" s="106">
        <f>IF(X113&gt;0,(O113-X113),"")</f>
        <v/>
      </c>
      <c r="BX113" s="106">
        <f>IF(AB113&gt;0,(O113-AB113),"")</f>
        <v/>
      </c>
      <c r="BY113" s="106">
        <f>IF(AF113&gt;0,(O113-AF113),"")</f>
        <v/>
      </c>
      <c r="BZ113" s="106">
        <f>IF(AJ113&gt;0,(O113-AJ113),"")</f>
        <v/>
      </c>
      <c r="CA113" s="106">
        <f>IF(AN113&gt;0,(O113-AN113),"")</f>
        <v/>
      </c>
      <c r="CB113" s="106">
        <f>COUNT(BV113:CA113)</f>
        <v/>
      </c>
      <c r="CC113" s="464">
        <f>IF(CB113=0,0,IF(CB113=1,0,1/(CB113*(CB113-1))))</f>
        <v/>
      </c>
      <c r="CD113" s="136">
        <f>IF(R113&gt;0,(BV113^2),"")</f>
        <v/>
      </c>
      <c r="CE113" s="136">
        <f>IF(X113&gt;0,(BW113^2),"")</f>
        <v/>
      </c>
      <c r="CF113" s="136">
        <f>IF(AB113&gt;0,(BX113^2),"")</f>
        <v/>
      </c>
      <c r="CG113" s="136">
        <f>IF(AF113&gt;0,(BY113^2),"")</f>
        <v/>
      </c>
      <c r="CH113" s="136">
        <f>IF(AJ113&gt;0,(BZ113^2),"")</f>
        <v/>
      </c>
      <c r="CI113" s="136">
        <f>IF(AN113&gt;0,(CA113^2),"")</f>
        <v/>
      </c>
    </row>
    <row r="114" ht="18.75" customHeight="1" s="444">
      <c r="A114" s="340" t="inlineStr">
        <is>
          <t>/</t>
        </is>
      </c>
      <c r="B114" s="65">
        <f>B113+1</f>
        <v/>
      </c>
      <c r="C114" s="78" t="n"/>
      <c r="D114" s="83" t="n"/>
      <c r="E114" s="83" t="n"/>
      <c r="F114" s="329" t="n"/>
      <c r="G114" s="71" t="n">
        <v>40725</v>
      </c>
      <c r="H114" s="77" t="inlineStr">
        <is>
          <t>Compito</t>
        </is>
      </c>
      <c r="I114" s="77">
        <f>IF((V114-R114)&gt;3,"SI","")</f>
        <v/>
      </c>
      <c r="J114" s="77">
        <f>IF((U114-R114)&gt;3,"SI","")</f>
        <v/>
      </c>
      <c r="K114" s="77" t="n"/>
      <c r="L114" s="77" t="n"/>
      <c r="M114" s="137">
        <f>IF(R114&gt;0,(SQRT(CC114*(SUM(CD114:CI114)))),"")</f>
        <v/>
      </c>
      <c r="N114" s="4">
        <f>IF(T114&gt;0,(MAX(T114,Z114,AD114,AH114,AL114,AP114))+SQRT(1.2^2+1^2),"")</f>
        <v/>
      </c>
      <c r="O114" s="3">
        <f>IF(R114="",0,10*LOG10(SUM(BP114:BU114)/(COUNT(R114,X114,AB114,AF114,AJ114,AN114))))</f>
        <v/>
      </c>
      <c r="P114" s="5">
        <f>IF(AND(Y114="",AC114="",AG114="",AK114="",AO114=""),S114,AVERAGE(S114,Y114,AC114,AG114,AK114,AO114)+STDEV(S114,Y114,AC114,AG114,AK114,AO114))</f>
        <v/>
      </c>
      <c r="Q114" s="14" t="n"/>
      <c r="R114" s="11" t="n"/>
      <c r="S114" s="12" t="n"/>
      <c r="T114" s="13" t="n"/>
      <c r="U114" s="79" t="n"/>
      <c r="V114" s="79" t="n"/>
      <c r="W114" s="10" t="n"/>
      <c r="X114" s="11" t="n"/>
      <c r="Y114" s="12" t="n"/>
      <c r="Z114" s="13" t="n"/>
      <c r="AA114" s="10" t="n"/>
      <c r="AB114" s="11" t="n"/>
      <c r="AC114" s="12" t="n"/>
      <c r="AD114" s="13" t="n"/>
      <c r="AE114" s="14" t="n"/>
      <c r="AF114" s="11" t="n"/>
      <c r="AG114" s="12" t="n"/>
      <c r="AH114" s="13" t="n"/>
      <c r="AI114" s="10" t="n"/>
      <c r="AJ114" s="11" t="n"/>
      <c r="AK114" s="12" t="n"/>
      <c r="AL114" s="13" t="n"/>
      <c r="AM114" s="10" t="n"/>
      <c r="AN114" s="11" t="n"/>
      <c r="AO114" s="12" t="n"/>
      <c r="AP114" s="13" t="n"/>
      <c r="AQ114" s="6">
        <f>IF(AND((O114)&lt;85,N114&lt;137),"NO","SI")</f>
        <v/>
      </c>
      <c r="AR114" s="7">
        <f>IF((480*(10^(7.95-(O114/10))))&lt;480,480*(10^(7.95-(O114/10))),480)</f>
        <v/>
      </c>
      <c r="AS114" s="8">
        <f>IF((480*(10^(8.45-(O114/10))))&lt;480,480*(10^(8.45-(O114/10))),480)</f>
        <v/>
      </c>
      <c r="AT114" s="9">
        <f>IF((480*(10^(8.65-(O114/10))))&lt;480,480*(10^(8.65-(O114/10))),480)</f>
        <v/>
      </c>
      <c r="AU114" s="111">
        <f>IF(O114&lt;80,"0",IF((P114-O114)&lt;=2,('DPI art.191'!$G$3-(('DPI art.191'!$F$3-'DPI art.191'!$G$3)/4)*(P114-O114-2)),('DPI art.191'!$G$3-(('DPI art.191'!$G$3-'DPI art.191'!$H$3)/8)*(P114-O114-2))))</f>
        <v/>
      </c>
      <c r="AV114" s="24">
        <f>O114-AU114</f>
        <v/>
      </c>
      <c r="AW114" s="24">
        <f>IF(N114&lt;135,N114,N114-'DPI art.191'!$I$3)</f>
        <v/>
      </c>
      <c r="AX114" s="111">
        <f>IF(I114&lt;80,"0",IF((J114-I114)&lt;=2,('DPI art.191'!$G$7-(('DPI art.191'!$F$7-'DPI art.191'!$G$7)/4)*(I114-J114-2)),('DPI art.191'!$G$7-(('DPI art.191'!$G$7-'DPI art.191'!$H$7)/8)*(J114-I114-2))))</f>
        <v/>
      </c>
      <c r="AY114" s="24">
        <f>I114-AX114</f>
        <v/>
      </c>
      <c r="AZ114" s="24">
        <f>IF(H114&lt;135,H114,H114-'DPI art.191'!$I$7)</f>
        <v/>
      </c>
      <c r="BA114" s="111">
        <f>IF(O114&lt;80,"0",IF((P114-O114)&lt;=2,('DPI art.191'!$G$5-(('DPI art.191'!$F$5-'DPI art.191'!$G$5)/4)*(P114-O114-2)),('DPI art.191'!$G$5-(('DPI art.191'!$G$5-'DPI art.191'!$H$5)/8)*(P114-O114-2))))</f>
        <v/>
      </c>
      <c r="BB114" s="24">
        <f>R114-BA114</f>
        <v/>
      </c>
      <c r="BC114" s="24">
        <f>IF(N114&lt;135,N114,N114-'DPI art.191'!$I$5)</f>
        <v/>
      </c>
      <c r="BD114" s="111">
        <f>IF(O114&lt;80,"0",IF((P114-O114)&lt;=2,('DPI art.191'!$G$7-(('DPI art.191'!$F$7-'DPI art.191'!$G$7)/4)*(O114-P114-2)),('DPI art.191'!$G$7-(('DPI art.191'!$G$7-'DPI art.191'!$H$7)/8)*(P114-O114-2))))</f>
        <v/>
      </c>
      <c r="BE114" s="24">
        <f>O114-BD114</f>
        <v/>
      </c>
      <c r="BF114" s="24">
        <f>IF(N114&lt;135,N114,N114-'DPI art.191'!$I$7)</f>
        <v/>
      </c>
      <c r="BG114" s="111">
        <f>IF(AA114&lt;80,"0",IF((AB114-AA114)&lt;=2,('DPI art.191'!$G$3-(('DPI art.191'!$F$3-'DPI art.191'!$G$3)/4)*(AB114-AA114-2)),('DPI art.191'!$G$3-(('DPI art.191'!$G$3-'DPI art.191'!$H$3)/8)*(AB114-AA114-2))))</f>
        <v/>
      </c>
      <c r="BH114" s="24">
        <f>AA114-BG114</f>
        <v/>
      </c>
      <c r="BI114" s="24">
        <f>IF(Z114&lt;135,Z114,Z114-'DPI art.191'!$I$3)</f>
        <v/>
      </c>
      <c r="BJ114" s="111">
        <f>IF(U114&lt;80,"0",IF((V114-U114)&lt;=2,('DPI art.191'!$G$7-(('DPI art.191'!$F$7-'DPI art.191'!$G$7)/4)*(U114-V114-2)),('DPI art.191'!$G$7-(('DPI art.191'!$G$7-'DPI art.191'!$H$7)/8)*(V114-U114-2))))</f>
        <v/>
      </c>
      <c r="BK114" s="24">
        <f>U114-BJ114</f>
        <v/>
      </c>
      <c r="BL114" s="24">
        <f>IF(T114&lt;135,T114,T114-'DPI art.191'!$I$7)</f>
        <v/>
      </c>
      <c r="BM114" s="111">
        <f>IF(AA114&lt;80,"0",IF((AB114-AA114)&lt;=2,('DPI art.191'!$G$5-(('DPI art.191'!$F$5-'DPI art.191'!$G$5)/4)*(AB114-AA114-2)),('DPI art.191'!$G$5-(('DPI art.191'!$G$5-'DPI art.191'!$H$5)/8)*(AB114-AA114-2))))</f>
        <v/>
      </c>
      <c r="BN114" s="24">
        <f>AD114-BM114</f>
        <v/>
      </c>
      <c r="BO114" s="24">
        <f>IF(Z114&lt;135,Z114,Z114-'DPI art.191'!$I$5)</f>
        <v/>
      </c>
      <c r="BP114" s="108">
        <f>10^(0.1*R114)</f>
        <v/>
      </c>
      <c r="BQ114" s="108">
        <f>10^(0.1*X114)</f>
        <v/>
      </c>
      <c r="BR114" s="108">
        <f>10^(0.1*AB114)</f>
        <v/>
      </c>
      <c r="BS114" s="108">
        <f>10^(0.1*AF114)</f>
        <v/>
      </c>
      <c r="BT114" s="108">
        <f>10^(0.1*AJ114)</f>
        <v/>
      </c>
      <c r="BU114" s="108">
        <f>10^(0.1*AN114)</f>
        <v/>
      </c>
      <c r="BV114" s="106">
        <f>IF(R114&gt;0,(O114-R114),"")</f>
        <v/>
      </c>
      <c r="BW114" s="106">
        <f>IF(X114&gt;0,(O114-X114),"")</f>
        <v/>
      </c>
      <c r="BX114" s="106">
        <f>IF(AB114&gt;0,(O114-AB114),"")</f>
        <v/>
      </c>
      <c r="BY114" s="106">
        <f>IF(AF114&gt;0,(O114-AF114),"")</f>
        <v/>
      </c>
      <c r="BZ114" s="106">
        <f>IF(AJ114&gt;0,(O114-AJ114),"")</f>
        <v/>
      </c>
      <c r="CA114" s="106">
        <f>IF(AN114&gt;0,(O114-AN114),"")</f>
        <v/>
      </c>
      <c r="CB114" s="106">
        <f>COUNT(BV114:CA114)</f>
        <v/>
      </c>
      <c r="CC114" s="464">
        <f>IF(CB114=0,0,IF(CB114=1,0,1/(CB114*(CB114-1))))</f>
        <v/>
      </c>
      <c r="CD114" s="136">
        <f>IF(R114&gt;0,(BV114^2),"")</f>
        <v/>
      </c>
      <c r="CE114" s="136">
        <f>IF(X114&gt;0,(BW114^2),"")</f>
        <v/>
      </c>
      <c r="CF114" s="136">
        <f>IF(AB114&gt;0,(BX114^2),"")</f>
        <v/>
      </c>
      <c r="CG114" s="136">
        <f>IF(AF114&gt;0,(BY114^2),"")</f>
        <v/>
      </c>
      <c r="CH114" s="136">
        <f>IF(AJ114&gt;0,(BZ114^2),"")</f>
        <v/>
      </c>
      <c r="CI114" s="136">
        <f>IF(AN114&gt;0,(CA114^2),"")</f>
        <v/>
      </c>
    </row>
    <row r="115" ht="18.75" customHeight="1" s="444">
      <c r="A115" s="340" t="inlineStr">
        <is>
          <t>/</t>
        </is>
      </c>
      <c r="B115" s="65">
        <f>B114+1</f>
        <v/>
      </c>
      <c r="C115" s="78" t="n"/>
      <c r="D115" s="83" t="n"/>
      <c r="E115" s="83" t="n"/>
      <c r="F115" s="329" t="n"/>
      <c r="G115" s="71" t="n">
        <v>40725</v>
      </c>
      <c r="H115" s="77" t="inlineStr">
        <is>
          <t>Compito</t>
        </is>
      </c>
      <c r="I115" s="77">
        <f>IF((V115-R115)&gt;3,"SI","")</f>
        <v/>
      </c>
      <c r="J115" s="77">
        <f>IF((U115-R115)&gt;3,"SI","")</f>
        <v/>
      </c>
      <c r="K115" s="77" t="n"/>
      <c r="L115" s="77" t="n"/>
      <c r="M115" s="137">
        <f>IF(R115&gt;0,(SQRT(CC115*(SUM(CD115:CI115)))),"")</f>
        <v/>
      </c>
      <c r="N115" s="4">
        <f>IF(T115&gt;0,(MAX(T115,Z115,AD115,AH115,AL115,AP115))+SQRT(1.2^2+1^2),"")</f>
        <v/>
      </c>
      <c r="O115" s="3">
        <f>IF(R115="",0,10*LOG10(SUM(BP115:BU115)/(COUNT(R115,X115,AB115,AF115,AJ115,AN115))))</f>
        <v/>
      </c>
      <c r="P115" s="5">
        <f>IF(AND(Y115="",AC115="",AG115="",AK115="",AO115=""),S115,AVERAGE(S115,Y115,AC115,AG115,AK115,AO115)+STDEV(S115,Y115,AC115,AG115,AK115,AO115))</f>
        <v/>
      </c>
      <c r="Q115" s="14" t="n"/>
      <c r="R115" s="11" t="n"/>
      <c r="S115" s="12" t="n"/>
      <c r="T115" s="13" t="n"/>
      <c r="U115" s="79" t="n"/>
      <c r="V115" s="79" t="n"/>
      <c r="W115" s="10" t="n"/>
      <c r="X115" s="11" t="n"/>
      <c r="Y115" s="12" t="n"/>
      <c r="Z115" s="13" t="n"/>
      <c r="AA115" s="10" t="n"/>
      <c r="AB115" s="11" t="n"/>
      <c r="AC115" s="12" t="n"/>
      <c r="AD115" s="13" t="n"/>
      <c r="AE115" s="14" t="n"/>
      <c r="AF115" s="11" t="n"/>
      <c r="AG115" s="12" t="n"/>
      <c r="AH115" s="13" t="n"/>
      <c r="AI115" s="10" t="n"/>
      <c r="AJ115" s="11" t="n"/>
      <c r="AK115" s="12" t="n"/>
      <c r="AL115" s="13" t="n"/>
      <c r="AM115" s="10" t="n"/>
      <c r="AN115" s="11" t="n"/>
      <c r="AO115" s="12" t="n"/>
      <c r="AP115" s="13" t="n"/>
      <c r="AQ115" s="6">
        <f>IF(AND((O115)&lt;85,N115&lt;137),"NO","SI")</f>
        <v/>
      </c>
      <c r="AR115" s="7">
        <f>IF((480*(10^(7.95-(O115/10))))&lt;480,480*(10^(7.95-(O115/10))),480)</f>
        <v/>
      </c>
      <c r="AS115" s="8">
        <f>IF((480*(10^(8.45-(O115/10))))&lt;480,480*(10^(8.45-(O115/10))),480)</f>
        <v/>
      </c>
      <c r="AT115" s="9">
        <f>IF((480*(10^(8.65-(O115/10))))&lt;480,480*(10^(8.65-(O115/10))),480)</f>
        <v/>
      </c>
      <c r="AU115" s="111">
        <f>IF(O115&lt;80,"0",IF((P115-O115)&lt;=2,('DPI art.191'!$G$3-(('DPI art.191'!$F$3-'DPI art.191'!$G$3)/4)*(P115-O115-2)),('DPI art.191'!$G$3-(('DPI art.191'!$G$3-'DPI art.191'!$H$3)/8)*(P115-O115-2))))</f>
        <v/>
      </c>
      <c r="AV115" s="24">
        <f>O115-AU115</f>
        <v/>
      </c>
      <c r="AW115" s="24">
        <f>IF(N115&lt;135,N115,N115-'DPI art.191'!$I$3)</f>
        <v/>
      </c>
      <c r="AX115" s="111">
        <f>IF(I115&lt;80,"0",IF((J115-I115)&lt;=2,('DPI art.191'!$G$7-(('DPI art.191'!$F$7-'DPI art.191'!$G$7)/4)*(I115-J115-2)),('DPI art.191'!$G$7-(('DPI art.191'!$G$7-'DPI art.191'!$H$7)/8)*(J115-I115-2))))</f>
        <v/>
      </c>
      <c r="AY115" s="24">
        <f>I115-AX115</f>
        <v/>
      </c>
      <c r="AZ115" s="24">
        <f>IF(H115&lt;135,H115,H115-'DPI art.191'!$I$7)</f>
        <v/>
      </c>
      <c r="BA115" s="111">
        <f>IF(O115&lt;80,"0",IF((P115-O115)&lt;=2,('DPI art.191'!$G$5-(('DPI art.191'!$F$5-'DPI art.191'!$G$5)/4)*(P115-O115-2)),('DPI art.191'!$G$5-(('DPI art.191'!$G$5-'DPI art.191'!$H$5)/8)*(P115-O115-2))))</f>
        <v/>
      </c>
      <c r="BB115" s="24">
        <f>R115-BA115</f>
        <v/>
      </c>
      <c r="BC115" s="24">
        <f>IF(N115&lt;135,N115,N115-'DPI art.191'!$I$5)</f>
        <v/>
      </c>
      <c r="BD115" s="111">
        <f>IF(O115&lt;80,"0",IF((P115-O115)&lt;=2,('DPI art.191'!$G$7-(('DPI art.191'!$F$7-'DPI art.191'!$G$7)/4)*(O115-P115-2)),('DPI art.191'!$G$7-(('DPI art.191'!$G$7-'DPI art.191'!$H$7)/8)*(P115-O115-2))))</f>
        <v/>
      </c>
      <c r="BE115" s="24">
        <f>O115-BD115</f>
        <v/>
      </c>
      <c r="BF115" s="24">
        <f>IF(N115&lt;135,N115,N115-'DPI art.191'!$I$7)</f>
        <v/>
      </c>
      <c r="BG115" s="111">
        <f>IF(AA115&lt;80,"0",IF((AB115-AA115)&lt;=2,('DPI art.191'!$G$3-(('DPI art.191'!$F$3-'DPI art.191'!$G$3)/4)*(AB115-AA115-2)),('DPI art.191'!$G$3-(('DPI art.191'!$G$3-'DPI art.191'!$H$3)/8)*(AB115-AA115-2))))</f>
        <v/>
      </c>
      <c r="BH115" s="24">
        <f>AA115-BG115</f>
        <v/>
      </c>
      <c r="BI115" s="24">
        <f>IF(Z115&lt;135,Z115,Z115-'DPI art.191'!$I$3)</f>
        <v/>
      </c>
      <c r="BJ115" s="111">
        <f>IF(U115&lt;80,"0",IF((V115-U115)&lt;=2,('DPI art.191'!$G$7-(('DPI art.191'!$F$7-'DPI art.191'!$G$7)/4)*(U115-V115-2)),('DPI art.191'!$G$7-(('DPI art.191'!$G$7-'DPI art.191'!$H$7)/8)*(V115-U115-2))))</f>
        <v/>
      </c>
      <c r="BK115" s="24">
        <f>U115-BJ115</f>
        <v/>
      </c>
      <c r="BL115" s="24">
        <f>IF(T115&lt;135,T115,T115-'DPI art.191'!$I$7)</f>
        <v/>
      </c>
      <c r="BM115" s="111">
        <f>IF(AA115&lt;80,"0",IF((AB115-AA115)&lt;=2,('DPI art.191'!$G$5-(('DPI art.191'!$F$5-'DPI art.191'!$G$5)/4)*(AB115-AA115-2)),('DPI art.191'!$G$5-(('DPI art.191'!$G$5-'DPI art.191'!$H$5)/8)*(AB115-AA115-2))))</f>
        <v/>
      </c>
      <c r="BN115" s="24">
        <f>AD115-BM115</f>
        <v/>
      </c>
      <c r="BO115" s="24">
        <f>IF(Z115&lt;135,Z115,Z115-'DPI art.191'!$I$5)</f>
        <v/>
      </c>
      <c r="BP115" s="108">
        <f>10^(0.1*R115)</f>
        <v/>
      </c>
      <c r="BQ115" s="108">
        <f>10^(0.1*X115)</f>
        <v/>
      </c>
      <c r="BR115" s="108">
        <f>10^(0.1*AB115)</f>
        <v/>
      </c>
      <c r="BS115" s="108">
        <f>10^(0.1*AF115)</f>
        <v/>
      </c>
      <c r="BT115" s="108">
        <f>10^(0.1*AJ115)</f>
        <v/>
      </c>
      <c r="BU115" s="108">
        <f>10^(0.1*AN115)</f>
        <v/>
      </c>
      <c r="BV115" s="106">
        <f>IF(R115&gt;0,(O115-R115),"")</f>
        <v/>
      </c>
      <c r="BW115" s="106">
        <f>IF(X115&gt;0,(O115-X115),"")</f>
        <v/>
      </c>
      <c r="BX115" s="106">
        <f>IF(AB115&gt;0,(O115-AB115),"")</f>
        <v/>
      </c>
      <c r="BY115" s="106">
        <f>IF(AF115&gt;0,(O115-AF115),"")</f>
        <v/>
      </c>
      <c r="BZ115" s="106">
        <f>IF(AJ115&gt;0,(O115-AJ115),"")</f>
        <v/>
      </c>
      <c r="CA115" s="106">
        <f>IF(AN115&gt;0,(O115-AN115),"")</f>
        <v/>
      </c>
      <c r="CB115" s="106">
        <f>COUNT(BV115:CA115)</f>
        <v/>
      </c>
      <c r="CC115" s="464">
        <f>IF(CB115=0,0,IF(CB115=1,0,1/(CB115*(CB115-1))))</f>
        <v/>
      </c>
      <c r="CD115" s="136">
        <f>IF(R115&gt;0,(BV115^2),"")</f>
        <v/>
      </c>
      <c r="CE115" s="136">
        <f>IF(X115&gt;0,(BW115^2),"")</f>
        <v/>
      </c>
      <c r="CF115" s="136">
        <f>IF(AB115&gt;0,(BX115^2),"")</f>
        <v/>
      </c>
      <c r="CG115" s="136">
        <f>IF(AF115&gt;0,(BY115^2),"")</f>
        <v/>
      </c>
      <c r="CH115" s="136">
        <f>IF(AJ115&gt;0,(BZ115^2),"")</f>
        <v/>
      </c>
      <c r="CI115" s="136">
        <f>IF(AN115&gt;0,(CA115^2),"")</f>
        <v/>
      </c>
    </row>
    <row r="116" ht="18.75" customHeight="1" s="444">
      <c r="A116" s="340" t="inlineStr">
        <is>
          <t>/</t>
        </is>
      </c>
      <c r="B116" s="65">
        <f>B115+1</f>
        <v/>
      </c>
      <c r="C116" s="78" t="n"/>
      <c r="D116" s="83" t="n"/>
      <c r="E116" s="83" t="n"/>
      <c r="F116" s="329" t="n"/>
      <c r="G116" s="71" t="n">
        <v>40725</v>
      </c>
      <c r="H116" s="77" t="inlineStr">
        <is>
          <t>Compito</t>
        </is>
      </c>
      <c r="I116" s="77">
        <f>IF((V116-R116)&gt;3,"SI","")</f>
        <v/>
      </c>
      <c r="J116" s="77">
        <f>IF((U116-R116)&gt;3,"SI","")</f>
        <v/>
      </c>
      <c r="K116" s="77" t="n"/>
      <c r="L116" s="77" t="n"/>
      <c r="M116" s="137">
        <f>IF(R116&gt;0,(SQRT(CC116*(SUM(CD116:CI116)))),"")</f>
        <v/>
      </c>
      <c r="N116" s="4">
        <f>IF(T116&gt;0,(MAX(T116,Z116,AD116,AH116,AL116,AP116))+SQRT(1.2^2+1^2),"")</f>
        <v/>
      </c>
      <c r="O116" s="3">
        <f>IF(R116="",0,10*LOG10(SUM(BP116:BU116)/(COUNT(R116,X116,AB116,AF116,AJ116,AN116))))</f>
        <v/>
      </c>
      <c r="P116" s="5">
        <f>IF(AND(Y116="",AC116="",AG116="",AK116="",AO116=""),S116,AVERAGE(S116,Y116,AC116,AG116,AK116,AO116)+STDEV(S116,Y116,AC116,AG116,AK116,AO116))</f>
        <v/>
      </c>
      <c r="Q116" s="14" t="n"/>
      <c r="R116" s="11" t="n"/>
      <c r="S116" s="12" t="n"/>
      <c r="T116" s="13" t="n"/>
      <c r="U116" s="79" t="n"/>
      <c r="V116" s="79" t="n"/>
      <c r="W116" s="10" t="n"/>
      <c r="X116" s="11" t="n"/>
      <c r="Y116" s="12" t="n"/>
      <c r="Z116" s="13" t="n"/>
      <c r="AA116" s="10" t="n"/>
      <c r="AB116" s="11" t="n"/>
      <c r="AC116" s="12" t="n"/>
      <c r="AD116" s="13" t="n"/>
      <c r="AE116" s="14" t="n"/>
      <c r="AF116" s="11" t="n"/>
      <c r="AG116" s="12" t="n"/>
      <c r="AH116" s="13" t="n"/>
      <c r="AI116" s="10" t="n"/>
      <c r="AJ116" s="11" t="n"/>
      <c r="AK116" s="12" t="n"/>
      <c r="AL116" s="13" t="n"/>
      <c r="AM116" s="10" t="n"/>
      <c r="AN116" s="11" t="n"/>
      <c r="AO116" s="12" t="n"/>
      <c r="AP116" s="13" t="n"/>
      <c r="AQ116" s="6">
        <f>IF(AND((O116)&lt;85,N116&lt;137),"NO","SI")</f>
        <v/>
      </c>
      <c r="AR116" s="7">
        <f>IF((480*(10^(7.95-(O116/10))))&lt;480,480*(10^(7.95-(O116/10))),480)</f>
        <v/>
      </c>
      <c r="AS116" s="8">
        <f>IF((480*(10^(8.45-(O116/10))))&lt;480,480*(10^(8.45-(O116/10))),480)</f>
        <v/>
      </c>
      <c r="AT116" s="9">
        <f>IF((480*(10^(8.65-(O116/10))))&lt;480,480*(10^(8.65-(O116/10))),480)</f>
        <v/>
      </c>
      <c r="AU116" s="111">
        <f>IF(O116&lt;80,"0",IF((P116-O116)&lt;=2,('DPI art.191'!$G$3-(('DPI art.191'!$F$3-'DPI art.191'!$G$3)/4)*(P116-O116-2)),('DPI art.191'!$G$3-(('DPI art.191'!$G$3-'DPI art.191'!$H$3)/8)*(P116-O116-2))))</f>
        <v/>
      </c>
      <c r="AV116" s="24">
        <f>O116-AU116</f>
        <v/>
      </c>
      <c r="AW116" s="24">
        <f>IF(N116&lt;135,N116,N116-'DPI art.191'!$I$3)</f>
        <v/>
      </c>
      <c r="AX116" s="111">
        <f>IF(I116&lt;80,"0",IF((J116-I116)&lt;=2,('DPI art.191'!$G$7-(('DPI art.191'!$F$7-'DPI art.191'!$G$7)/4)*(I116-J116-2)),('DPI art.191'!$G$7-(('DPI art.191'!$G$7-'DPI art.191'!$H$7)/8)*(J116-I116-2))))</f>
        <v/>
      </c>
      <c r="AY116" s="24">
        <f>I116-AX116</f>
        <v/>
      </c>
      <c r="AZ116" s="24">
        <f>IF(H116&lt;135,H116,H116-'DPI art.191'!$I$7)</f>
        <v/>
      </c>
      <c r="BA116" s="111">
        <f>IF(O116&lt;80,"0",IF((P116-O116)&lt;=2,('DPI art.191'!$G$5-(('DPI art.191'!$F$5-'DPI art.191'!$G$5)/4)*(P116-O116-2)),('DPI art.191'!$G$5-(('DPI art.191'!$G$5-'DPI art.191'!$H$5)/8)*(P116-O116-2))))</f>
        <v/>
      </c>
      <c r="BB116" s="24">
        <f>R116-BA116</f>
        <v/>
      </c>
      <c r="BC116" s="24">
        <f>IF(N116&lt;135,N116,N116-'DPI art.191'!$I$5)</f>
        <v/>
      </c>
      <c r="BD116" s="111">
        <f>IF(O116&lt;80,"0",IF((P116-O116)&lt;=2,('DPI art.191'!$G$7-(('DPI art.191'!$F$7-'DPI art.191'!$G$7)/4)*(O116-P116-2)),('DPI art.191'!$G$7-(('DPI art.191'!$G$7-'DPI art.191'!$H$7)/8)*(P116-O116-2))))</f>
        <v/>
      </c>
      <c r="BE116" s="24">
        <f>O116-BD116</f>
        <v/>
      </c>
      <c r="BF116" s="24">
        <f>IF(N116&lt;135,N116,N116-'DPI art.191'!$I$7)</f>
        <v/>
      </c>
      <c r="BG116" s="111">
        <f>IF(AA116&lt;80,"0",IF((AB116-AA116)&lt;=2,('DPI art.191'!$G$3-(('DPI art.191'!$F$3-'DPI art.191'!$G$3)/4)*(AB116-AA116-2)),('DPI art.191'!$G$3-(('DPI art.191'!$G$3-'DPI art.191'!$H$3)/8)*(AB116-AA116-2))))</f>
        <v/>
      </c>
      <c r="BH116" s="24">
        <f>AA116-BG116</f>
        <v/>
      </c>
      <c r="BI116" s="24">
        <f>IF(Z116&lt;135,Z116,Z116-'DPI art.191'!$I$3)</f>
        <v/>
      </c>
      <c r="BJ116" s="111">
        <f>IF(U116&lt;80,"0",IF((V116-U116)&lt;=2,('DPI art.191'!$G$7-(('DPI art.191'!$F$7-'DPI art.191'!$G$7)/4)*(U116-V116-2)),('DPI art.191'!$G$7-(('DPI art.191'!$G$7-'DPI art.191'!$H$7)/8)*(V116-U116-2))))</f>
        <v/>
      </c>
      <c r="BK116" s="24">
        <f>U116-BJ116</f>
        <v/>
      </c>
      <c r="BL116" s="24">
        <f>IF(T116&lt;135,T116,T116-'DPI art.191'!$I$7)</f>
        <v/>
      </c>
      <c r="BM116" s="111">
        <f>IF(AA116&lt;80,"0",IF((AB116-AA116)&lt;=2,('DPI art.191'!$G$5-(('DPI art.191'!$F$5-'DPI art.191'!$G$5)/4)*(AB116-AA116-2)),('DPI art.191'!$G$5-(('DPI art.191'!$G$5-'DPI art.191'!$H$5)/8)*(AB116-AA116-2))))</f>
        <v/>
      </c>
      <c r="BN116" s="24">
        <f>AD116-BM116</f>
        <v/>
      </c>
      <c r="BO116" s="24">
        <f>IF(Z116&lt;135,Z116,Z116-'DPI art.191'!$I$5)</f>
        <v/>
      </c>
      <c r="BP116" s="108">
        <f>10^(0.1*R116)</f>
        <v/>
      </c>
      <c r="BQ116" s="108">
        <f>10^(0.1*X116)</f>
        <v/>
      </c>
      <c r="BR116" s="108">
        <f>10^(0.1*AB116)</f>
        <v/>
      </c>
      <c r="BS116" s="108">
        <f>10^(0.1*AF116)</f>
        <v/>
      </c>
      <c r="BT116" s="108">
        <f>10^(0.1*AJ116)</f>
        <v/>
      </c>
      <c r="BU116" s="108">
        <f>10^(0.1*AN116)</f>
        <v/>
      </c>
      <c r="BV116" s="106">
        <f>IF(R116&gt;0,(O116-R116),"")</f>
        <v/>
      </c>
      <c r="BW116" s="106">
        <f>IF(X116&gt;0,(O116-X116),"")</f>
        <v/>
      </c>
      <c r="BX116" s="106">
        <f>IF(AB116&gt;0,(O116-AB116),"")</f>
        <v/>
      </c>
      <c r="BY116" s="106">
        <f>IF(AF116&gt;0,(O116-AF116),"")</f>
        <v/>
      </c>
      <c r="BZ116" s="106">
        <f>IF(AJ116&gt;0,(O116-AJ116),"")</f>
        <v/>
      </c>
      <c r="CA116" s="106">
        <f>IF(AN116&gt;0,(O116-AN116),"")</f>
        <v/>
      </c>
      <c r="CB116" s="106">
        <f>COUNT(BV116:CA116)</f>
        <v/>
      </c>
      <c r="CC116" s="464">
        <f>IF(CB116=0,0,IF(CB116=1,0,1/(CB116*(CB116-1))))</f>
        <v/>
      </c>
      <c r="CD116" s="136">
        <f>IF(R116&gt;0,(BV116^2),"")</f>
        <v/>
      </c>
      <c r="CE116" s="136">
        <f>IF(X116&gt;0,(BW116^2),"")</f>
        <v/>
      </c>
      <c r="CF116" s="136">
        <f>IF(AB116&gt;0,(BX116^2),"")</f>
        <v/>
      </c>
      <c r="CG116" s="136">
        <f>IF(AF116&gt;0,(BY116^2),"")</f>
        <v/>
      </c>
      <c r="CH116" s="136">
        <f>IF(AJ116&gt;0,(BZ116^2),"")</f>
        <v/>
      </c>
      <c r="CI116" s="136">
        <f>IF(AN116&gt;0,(CA116^2),"")</f>
        <v/>
      </c>
    </row>
    <row r="117" ht="18.75" customHeight="1" s="444">
      <c r="A117" s="340" t="inlineStr">
        <is>
          <t>/</t>
        </is>
      </c>
      <c r="B117" s="65">
        <f>B116+1</f>
        <v/>
      </c>
      <c r="C117" s="78" t="n"/>
      <c r="D117" s="83" t="n"/>
      <c r="E117" s="83" t="n"/>
      <c r="F117" s="329" t="n"/>
      <c r="G117" s="71" t="n">
        <v>40725</v>
      </c>
      <c r="H117" s="77" t="inlineStr">
        <is>
          <t>Compito</t>
        </is>
      </c>
      <c r="I117" s="77">
        <f>IF((V117-R117)&gt;3,"SI","")</f>
        <v/>
      </c>
      <c r="J117" s="77">
        <f>IF((U117-R117)&gt;3,"SI","")</f>
        <v/>
      </c>
      <c r="K117" s="77" t="n"/>
      <c r="L117" s="77" t="n"/>
      <c r="M117" s="137">
        <f>IF(R117&gt;0,(SQRT(CC117*(SUM(CD117:CI117)))),"")</f>
        <v/>
      </c>
      <c r="N117" s="4">
        <f>IF(T117&gt;0,(MAX(T117,Z117,AD117,AH117,AL117,AP117))+SQRT(1.2^2+1^2),"")</f>
        <v/>
      </c>
      <c r="O117" s="3">
        <f>IF(R117="",0,10*LOG10(SUM(BP117:BU117)/(COUNT(R117,X117,AB117,AF117,AJ117,AN117))))</f>
        <v/>
      </c>
      <c r="P117" s="5">
        <f>IF(AND(Y117="",AC117="",AG117="",AK117="",AO117=""),S117,AVERAGE(S117,Y117,AC117,AG117,AK117,AO117)+STDEV(S117,Y117,AC117,AG117,AK117,AO117))</f>
        <v/>
      </c>
      <c r="Q117" s="14" t="n"/>
      <c r="R117" s="11" t="n"/>
      <c r="S117" s="12" t="n"/>
      <c r="T117" s="13" t="n"/>
      <c r="U117" s="79" t="n"/>
      <c r="V117" s="79" t="n"/>
      <c r="W117" s="10" t="n"/>
      <c r="X117" s="11" t="n"/>
      <c r="Y117" s="12" t="n"/>
      <c r="Z117" s="13" t="n"/>
      <c r="AA117" s="10" t="n"/>
      <c r="AB117" s="11" t="n"/>
      <c r="AC117" s="12" t="n"/>
      <c r="AD117" s="13" t="n"/>
      <c r="AE117" s="14" t="n"/>
      <c r="AF117" s="11" t="n"/>
      <c r="AG117" s="12" t="n"/>
      <c r="AH117" s="13" t="n"/>
      <c r="AI117" s="10" t="n"/>
      <c r="AJ117" s="11" t="n"/>
      <c r="AK117" s="12" t="n"/>
      <c r="AL117" s="13" t="n"/>
      <c r="AM117" s="10" t="n"/>
      <c r="AN117" s="11" t="n"/>
      <c r="AO117" s="12" t="n"/>
      <c r="AP117" s="13" t="n"/>
      <c r="AQ117" s="6">
        <f>IF(AND((O117)&lt;85,N117&lt;137),"NO","SI")</f>
        <v/>
      </c>
      <c r="AR117" s="7">
        <f>IF((480*(10^(7.95-(O117/10))))&lt;480,480*(10^(7.95-(O117/10))),480)</f>
        <v/>
      </c>
      <c r="AS117" s="8">
        <f>IF((480*(10^(8.45-(O117/10))))&lt;480,480*(10^(8.45-(O117/10))),480)</f>
        <v/>
      </c>
      <c r="AT117" s="9">
        <f>IF((480*(10^(8.65-(O117/10))))&lt;480,480*(10^(8.65-(O117/10))),480)</f>
        <v/>
      </c>
      <c r="AU117" s="111">
        <f>IF(O117&lt;80,"0",IF((P117-O117)&lt;=2,('DPI art.191'!$G$3-(('DPI art.191'!$F$3-'DPI art.191'!$G$3)/4)*(P117-O117-2)),('DPI art.191'!$G$3-(('DPI art.191'!$G$3-'DPI art.191'!$H$3)/8)*(P117-O117-2))))</f>
        <v/>
      </c>
      <c r="AV117" s="24">
        <f>O117-AU117</f>
        <v/>
      </c>
      <c r="AW117" s="24">
        <f>IF(N117&lt;135,N117,N117-'DPI art.191'!$I$3)</f>
        <v/>
      </c>
      <c r="AX117" s="111">
        <f>IF(I117&lt;80,"0",IF((J117-I117)&lt;=2,('DPI art.191'!$G$7-(('DPI art.191'!$F$7-'DPI art.191'!$G$7)/4)*(I117-J117-2)),('DPI art.191'!$G$7-(('DPI art.191'!$G$7-'DPI art.191'!$H$7)/8)*(J117-I117-2))))</f>
        <v/>
      </c>
      <c r="AY117" s="24">
        <f>I117-AX117</f>
        <v/>
      </c>
      <c r="AZ117" s="24">
        <f>IF(H117&lt;135,H117,H117-'DPI art.191'!$I$7)</f>
        <v/>
      </c>
      <c r="BA117" s="111">
        <f>IF(O117&lt;80,"0",IF((P117-O117)&lt;=2,('DPI art.191'!$G$5-(('DPI art.191'!$F$5-'DPI art.191'!$G$5)/4)*(P117-O117-2)),('DPI art.191'!$G$5-(('DPI art.191'!$G$5-'DPI art.191'!$H$5)/8)*(P117-O117-2))))</f>
        <v/>
      </c>
      <c r="BB117" s="24">
        <f>R117-BA117</f>
        <v/>
      </c>
      <c r="BC117" s="24">
        <f>IF(N117&lt;135,N117,N117-'DPI art.191'!$I$5)</f>
        <v/>
      </c>
      <c r="BD117" s="111">
        <f>IF(O117&lt;80,"0",IF((P117-O117)&lt;=2,('DPI art.191'!$G$7-(('DPI art.191'!$F$7-'DPI art.191'!$G$7)/4)*(O117-P117-2)),('DPI art.191'!$G$7-(('DPI art.191'!$G$7-'DPI art.191'!$H$7)/8)*(P117-O117-2))))</f>
        <v/>
      </c>
      <c r="BE117" s="24">
        <f>O117-BD117</f>
        <v/>
      </c>
      <c r="BF117" s="24">
        <f>IF(N117&lt;135,N117,N117-'DPI art.191'!$I$7)</f>
        <v/>
      </c>
      <c r="BG117" s="111">
        <f>IF(AA117&lt;80,"0",IF((AB117-AA117)&lt;=2,('DPI art.191'!$G$3-(('DPI art.191'!$F$3-'DPI art.191'!$G$3)/4)*(AB117-AA117-2)),('DPI art.191'!$G$3-(('DPI art.191'!$G$3-'DPI art.191'!$H$3)/8)*(AB117-AA117-2))))</f>
        <v/>
      </c>
      <c r="BH117" s="24">
        <f>AA117-BG117</f>
        <v/>
      </c>
      <c r="BI117" s="24">
        <f>IF(Z117&lt;135,Z117,Z117-'DPI art.191'!$I$3)</f>
        <v/>
      </c>
      <c r="BJ117" s="111">
        <f>IF(U117&lt;80,"0",IF((V117-U117)&lt;=2,('DPI art.191'!$G$7-(('DPI art.191'!$F$7-'DPI art.191'!$G$7)/4)*(U117-V117-2)),('DPI art.191'!$G$7-(('DPI art.191'!$G$7-'DPI art.191'!$H$7)/8)*(V117-U117-2))))</f>
        <v/>
      </c>
      <c r="BK117" s="24">
        <f>U117-BJ117</f>
        <v/>
      </c>
      <c r="BL117" s="24">
        <f>IF(T117&lt;135,T117,T117-'DPI art.191'!$I$7)</f>
        <v/>
      </c>
      <c r="BM117" s="111">
        <f>IF(AA117&lt;80,"0",IF((AB117-AA117)&lt;=2,('DPI art.191'!$G$5-(('DPI art.191'!$F$5-'DPI art.191'!$G$5)/4)*(AB117-AA117-2)),('DPI art.191'!$G$5-(('DPI art.191'!$G$5-'DPI art.191'!$H$5)/8)*(AB117-AA117-2))))</f>
        <v/>
      </c>
      <c r="BN117" s="24">
        <f>AD117-BM117</f>
        <v/>
      </c>
      <c r="BO117" s="24">
        <f>IF(Z117&lt;135,Z117,Z117-'DPI art.191'!$I$5)</f>
        <v/>
      </c>
      <c r="BP117" s="108">
        <f>10^(0.1*R117)</f>
        <v/>
      </c>
      <c r="BQ117" s="108">
        <f>10^(0.1*X117)</f>
        <v/>
      </c>
      <c r="BR117" s="108">
        <f>10^(0.1*AB117)</f>
        <v/>
      </c>
      <c r="BS117" s="108">
        <f>10^(0.1*AF117)</f>
        <v/>
      </c>
      <c r="BT117" s="108">
        <f>10^(0.1*AJ117)</f>
        <v/>
      </c>
      <c r="BU117" s="108">
        <f>10^(0.1*AN117)</f>
        <v/>
      </c>
      <c r="BV117" s="106">
        <f>IF(R117&gt;0,(O117-R117),"")</f>
        <v/>
      </c>
      <c r="BW117" s="106">
        <f>IF(X117&gt;0,(O117-X117),"")</f>
        <v/>
      </c>
      <c r="BX117" s="106">
        <f>IF(AB117&gt;0,(O117-AB117),"")</f>
        <v/>
      </c>
      <c r="BY117" s="106">
        <f>IF(AF117&gt;0,(O117-AF117),"")</f>
        <v/>
      </c>
      <c r="BZ117" s="106">
        <f>IF(AJ117&gt;0,(O117-AJ117),"")</f>
        <v/>
      </c>
      <c r="CA117" s="106">
        <f>IF(AN117&gt;0,(O117-AN117),"")</f>
        <v/>
      </c>
      <c r="CB117" s="106">
        <f>COUNT(BV117:CA117)</f>
        <v/>
      </c>
      <c r="CC117" s="464">
        <f>IF(CB117=0,0,IF(CB117=1,0,1/(CB117*(CB117-1))))</f>
        <v/>
      </c>
      <c r="CD117" s="136">
        <f>IF(R117&gt;0,(BV117^2),"")</f>
        <v/>
      </c>
      <c r="CE117" s="136">
        <f>IF(X117&gt;0,(BW117^2),"")</f>
        <v/>
      </c>
      <c r="CF117" s="136">
        <f>IF(AB117&gt;0,(BX117^2),"")</f>
        <v/>
      </c>
      <c r="CG117" s="136">
        <f>IF(AF117&gt;0,(BY117^2),"")</f>
        <v/>
      </c>
      <c r="CH117" s="136">
        <f>IF(AJ117&gt;0,(BZ117^2),"")</f>
        <v/>
      </c>
      <c r="CI117" s="136">
        <f>IF(AN117&gt;0,(CA117^2),"")</f>
        <v/>
      </c>
    </row>
    <row r="118" ht="18.75" customHeight="1" s="444">
      <c r="A118" s="340" t="inlineStr">
        <is>
          <t>/</t>
        </is>
      </c>
      <c r="B118" s="65">
        <f>B117+1</f>
        <v/>
      </c>
      <c r="C118" s="78" t="n"/>
      <c r="D118" s="83" t="n"/>
      <c r="E118" s="83" t="n"/>
      <c r="F118" s="329" t="n"/>
      <c r="G118" s="71" t="n">
        <v>40725</v>
      </c>
      <c r="H118" s="77" t="inlineStr">
        <is>
          <t>Compito</t>
        </is>
      </c>
      <c r="I118" s="77">
        <f>IF((V118-R118)&gt;3,"SI","")</f>
        <v/>
      </c>
      <c r="J118" s="77">
        <f>IF((U118-R118)&gt;3,"SI","")</f>
        <v/>
      </c>
      <c r="K118" s="77" t="n"/>
      <c r="L118" s="77" t="n"/>
      <c r="M118" s="137">
        <f>IF(R118&gt;0,(SQRT(CC118*(SUM(CD118:CI118)))),"")</f>
        <v/>
      </c>
      <c r="N118" s="4">
        <f>IF(T118&gt;0,(MAX(T118,Z118,AD118,AH118,AL118,AP118))+SQRT(1.2^2+1^2),"")</f>
        <v/>
      </c>
      <c r="O118" s="3">
        <f>IF(R118="",0,10*LOG10(SUM(BP118:BU118)/(COUNT(R118,X118,AB118,AF118,AJ118,AN118))))</f>
        <v/>
      </c>
      <c r="P118" s="5">
        <f>IF(AND(Y118="",AC118="",AG118="",AK118="",AO118=""),S118,AVERAGE(S118,Y118,AC118,AG118,AK118,AO118)+STDEV(S118,Y118,AC118,AG118,AK118,AO118))</f>
        <v/>
      </c>
      <c r="Q118" s="14" t="n"/>
      <c r="R118" s="11" t="n"/>
      <c r="S118" s="12" t="n"/>
      <c r="T118" s="13" t="n"/>
      <c r="U118" s="79" t="n"/>
      <c r="V118" s="79" t="n"/>
      <c r="W118" s="10" t="n"/>
      <c r="X118" s="11" t="n"/>
      <c r="Y118" s="12" t="n"/>
      <c r="Z118" s="13" t="n"/>
      <c r="AA118" s="10" t="n"/>
      <c r="AB118" s="11" t="n"/>
      <c r="AC118" s="12" t="n"/>
      <c r="AD118" s="13" t="n"/>
      <c r="AE118" s="14" t="n"/>
      <c r="AF118" s="11" t="n"/>
      <c r="AG118" s="12" t="n"/>
      <c r="AH118" s="13" t="n"/>
      <c r="AI118" s="10" t="n"/>
      <c r="AJ118" s="11" t="n"/>
      <c r="AK118" s="12" t="n"/>
      <c r="AL118" s="13" t="n"/>
      <c r="AM118" s="10" t="n"/>
      <c r="AN118" s="11" t="n"/>
      <c r="AO118" s="12" t="n"/>
      <c r="AP118" s="13" t="n"/>
      <c r="AQ118" s="6">
        <f>IF(AND((O118)&lt;85,N118&lt;137),"NO","SI")</f>
        <v/>
      </c>
      <c r="AR118" s="7">
        <f>IF((480*(10^(7.95-(O118/10))))&lt;480,480*(10^(7.95-(O118/10))),480)</f>
        <v/>
      </c>
      <c r="AS118" s="8">
        <f>IF((480*(10^(8.45-(O118/10))))&lt;480,480*(10^(8.45-(O118/10))),480)</f>
        <v/>
      </c>
      <c r="AT118" s="9">
        <f>IF((480*(10^(8.65-(O118/10))))&lt;480,480*(10^(8.65-(O118/10))),480)</f>
        <v/>
      </c>
      <c r="AU118" s="111">
        <f>IF(O118&lt;80,"0",IF((P118-O118)&lt;=2,('DPI art.191'!$G$3-(('DPI art.191'!$F$3-'DPI art.191'!$G$3)/4)*(P118-O118-2)),('DPI art.191'!$G$3-(('DPI art.191'!$G$3-'DPI art.191'!$H$3)/8)*(P118-O118-2))))</f>
        <v/>
      </c>
      <c r="AV118" s="24">
        <f>O118-AU118</f>
        <v/>
      </c>
      <c r="AW118" s="24">
        <f>IF(N118&lt;135,N118,N118-'DPI art.191'!$I$3)</f>
        <v/>
      </c>
      <c r="AX118" s="111">
        <f>IF(I118&lt;80,"0",IF((J118-I118)&lt;=2,('DPI art.191'!$G$7-(('DPI art.191'!$F$7-'DPI art.191'!$G$7)/4)*(I118-J118-2)),('DPI art.191'!$G$7-(('DPI art.191'!$G$7-'DPI art.191'!$H$7)/8)*(J118-I118-2))))</f>
        <v/>
      </c>
      <c r="AY118" s="24">
        <f>I118-AX118</f>
        <v/>
      </c>
      <c r="AZ118" s="24">
        <f>IF(H118&lt;135,H118,H118-'DPI art.191'!$I$7)</f>
        <v/>
      </c>
      <c r="BA118" s="111">
        <f>IF(O118&lt;80,"0",IF((P118-O118)&lt;=2,('DPI art.191'!$G$5-(('DPI art.191'!$F$5-'DPI art.191'!$G$5)/4)*(P118-O118-2)),('DPI art.191'!$G$5-(('DPI art.191'!$G$5-'DPI art.191'!$H$5)/8)*(P118-O118-2))))</f>
        <v/>
      </c>
      <c r="BB118" s="24">
        <f>R118-BA118</f>
        <v/>
      </c>
      <c r="BC118" s="24">
        <f>IF(N118&lt;135,N118,N118-'DPI art.191'!$I$5)</f>
        <v/>
      </c>
      <c r="BD118" s="111">
        <f>IF(O118&lt;80,"0",IF((P118-O118)&lt;=2,('DPI art.191'!$G$7-(('DPI art.191'!$F$7-'DPI art.191'!$G$7)/4)*(O118-P118-2)),('DPI art.191'!$G$7-(('DPI art.191'!$G$7-'DPI art.191'!$H$7)/8)*(P118-O118-2))))</f>
        <v/>
      </c>
      <c r="BE118" s="24">
        <f>O118-BD118</f>
        <v/>
      </c>
      <c r="BF118" s="24">
        <f>IF(N118&lt;135,N118,N118-'DPI art.191'!$I$7)</f>
        <v/>
      </c>
      <c r="BG118" s="111">
        <f>IF(AA118&lt;80,"0",IF((AB118-AA118)&lt;=2,('DPI art.191'!$G$3-(('DPI art.191'!$F$3-'DPI art.191'!$G$3)/4)*(AB118-AA118-2)),('DPI art.191'!$G$3-(('DPI art.191'!$G$3-'DPI art.191'!$H$3)/8)*(AB118-AA118-2))))</f>
        <v/>
      </c>
      <c r="BH118" s="24">
        <f>AA118-BG118</f>
        <v/>
      </c>
      <c r="BI118" s="24">
        <f>IF(Z118&lt;135,Z118,Z118-'DPI art.191'!$I$3)</f>
        <v/>
      </c>
      <c r="BJ118" s="111">
        <f>IF(U118&lt;80,"0",IF((V118-U118)&lt;=2,('DPI art.191'!$G$7-(('DPI art.191'!$F$7-'DPI art.191'!$G$7)/4)*(U118-V118-2)),('DPI art.191'!$G$7-(('DPI art.191'!$G$7-'DPI art.191'!$H$7)/8)*(V118-U118-2))))</f>
        <v/>
      </c>
      <c r="BK118" s="24">
        <f>U118-BJ118</f>
        <v/>
      </c>
      <c r="BL118" s="24">
        <f>IF(T118&lt;135,T118,T118-'DPI art.191'!$I$7)</f>
        <v/>
      </c>
      <c r="BM118" s="111">
        <f>IF(AA118&lt;80,"0",IF((AB118-AA118)&lt;=2,('DPI art.191'!$G$5-(('DPI art.191'!$F$5-'DPI art.191'!$G$5)/4)*(AB118-AA118-2)),('DPI art.191'!$G$5-(('DPI art.191'!$G$5-'DPI art.191'!$H$5)/8)*(AB118-AA118-2))))</f>
        <v/>
      </c>
      <c r="BN118" s="24">
        <f>AD118-BM118</f>
        <v/>
      </c>
      <c r="BO118" s="24">
        <f>IF(Z118&lt;135,Z118,Z118-'DPI art.191'!$I$5)</f>
        <v/>
      </c>
      <c r="BP118" s="108">
        <f>10^(0.1*R118)</f>
        <v/>
      </c>
      <c r="BQ118" s="108">
        <f>10^(0.1*X118)</f>
        <v/>
      </c>
      <c r="BR118" s="108">
        <f>10^(0.1*AB118)</f>
        <v/>
      </c>
      <c r="BS118" s="108">
        <f>10^(0.1*AF118)</f>
        <v/>
      </c>
      <c r="BT118" s="108">
        <f>10^(0.1*AJ118)</f>
        <v/>
      </c>
      <c r="BU118" s="108">
        <f>10^(0.1*AN118)</f>
        <v/>
      </c>
      <c r="BV118" s="106">
        <f>IF(R118&gt;0,(O118-R118),"")</f>
        <v/>
      </c>
      <c r="BW118" s="106">
        <f>IF(X118&gt;0,(O118-X118),"")</f>
        <v/>
      </c>
      <c r="BX118" s="106">
        <f>IF(AB118&gt;0,(O118-AB118),"")</f>
        <v/>
      </c>
      <c r="BY118" s="106">
        <f>IF(AF118&gt;0,(O118-AF118),"")</f>
        <v/>
      </c>
      <c r="BZ118" s="106">
        <f>IF(AJ118&gt;0,(O118-AJ118),"")</f>
        <v/>
      </c>
      <c r="CA118" s="106">
        <f>IF(AN118&gt;0,(O118-AN118),"")</f>
        <v/>
      </c>
      <c r="CB118" s="106">
        <f>COUNT(BV118:CA118)</f>
        <v/>
      </c>
      <c r="CC118" s="464">
        <f>IF(CB118=0,0,IF(CB118=1,0,1/(CB118*(CB118-1))))</f>
        <v/>
      </c>
      <c r="CD118" s="136">
        <f>IF(R118&gt;0,(BV118^2),"")</f>
        <v/>
      </c>
      <c r="CE118" s="136">
        <f>IF(X118&gt;0,(BW118^2),"")</f>
        <v/>
      </c>
      <c r="CF118" s="136">
        <f>IF(AB118&gt;0,(BX118^2),"")</f>
        <v/>
      </c>
      <c r="CG118" s="136">
        <f>IF(AF118&gt;0,(BY118^2),"")</f>
        <v/>
      </c>
      <c r="CH118" s="136">
        <f>IF(AJ118&gt;0,(BZ118^2),"")</f>
        <v/>
      </c>
      <c r="CI118" s="136">
        <f>IF(AN118&gt;0,(CA118^2),"")</f>
        <v/>
      </c>
    </row>
    <row r="119" ht="18.75" customHeight="1" s="444">
      <c r="A119" s="340" t="inlineStr">
        <is>
          <t>/</t>
        </is>
      </c>
      <c r="B119" s="65">
        <f>B118+1</f>
        <v/>
      </c>
      <c r="C119" s="78" t="n"/>
      <c r="D119" s="83" t="n"/>
      <c r="E119" s="83" t="n"/>
      <c r="F119" s="329" t="n"/>
      <c r="G119" s="71" t="n">
        <v>40725</v>
      </c>
      <c r="H119" s="77" t="inlineStr">
        <is>
          <t>Compito</t>
        </is>
      </c>
      <c r="I119" s="77">
        <f>IF((V119-R119)&gt;3,"SI","")</f>
        <v/>
      </c>
      <c r="J119" s="77">
        <f>IF((U119-R119)&gt;3,"SI","")</f>
        <v/>
      </c>
      <c r="K119" s="77" t="n"/>
      <c r="L119" s="77" t="n"/>
      <c r="M119" s="137">
        <f>IF(R119&gt;0,(SQRT(CC119*(SUM(CD119:CI119)))),"")</f>
        <v/>
      </c>
      <c r="N119" s="4">
        <f>IF(T119&gt;0,(MAX(T119,Z119,AD119,AH119,AL119,AP119))+SQRT(1.2^2+1^2),"")</f>
        <v/>
      </c>
      <c r="O119" s="3">
        <f>IF(R119="",0,10*LOG10(SUM(BP119:BU119)/(COUNT(R119,X119,AB119,AF119,AJ119,AN119))))</f>
        <v/>
      </c>
      <c r="P119" s="5">
        <f>IF(AND(Y119="",AC119="",AG119="",AK119="",AO119=""),S119,AVERAGE(S119,Y119,AC119,AG119,AK119,AO119)+STDEV(S119,Y119,AC119,AG119,AK119,AO119))</f>
        <v/>
      </c>
      <c r="Q119" s="14" t="n"/>
      <c r="R119" s="11" t="n"/>
      <c r="S119" s="12" t="n"/>
      <c r="T119" s="13" t="n"/>
      <c r="U119" s="79" t="n"/>
      <c r="V119" s="79" t="n"/>
      <c r="W119" s="10" t="n"/>
      <c r="X119" s="11" t="n"/>
      <c r="Y119" s="12" t="n"/>
      <c r="Z119" s="13" t="n"/>
      <c r="AA119" s="10" t="n"/>
      <c r="AB119" s="11" t="n"/>
      <c r="AC119" s="12" t="n"/>
      <c r="AD119" s="13" t="n"/>
      <c r="AE119" s="14" t="n"/>
      <c r="AF119" s="11" t="n"/>
      <c r="AG119" s="12" t="n"/>
      <c r="AH119" s="13" t="n"/>
      <c r="AI119" s="10" t="n"/>
      <c r="AJ119" s="11" t="n"/>
      <c r="AK119" s="12" t="n"/>
      <c r="AL119" s="13" t="n"/>
      <c r="AM119" s="10" t="n"/>
      <c r="AN119" s="11" t="n"/>
      <c r="AO119" s="12" t="n"/>
      <c r="AP119" s="13" t="n"/>
      <c r="AQ119" s="6">
        <f>IF(AND((O119)&lt;85,N119&lt;137),"NO","SI")</f>
        <v/>
      </c>
      <c r="AR119" s="7">
        <f>IF((480*(10^(7.95-(O119/10))))&lt;480,480*(10^(7.95-(O119/10))),480)</f>
        <v/>
      </c>
      <c r="AS119" s="8">
        <f>IF((480*(10^(8.45-(O119/10))))&lt;480,480*(10^(8.45-(O119/10))),480)</f>
        <v/>
      </c>
      <c r="AT119" s="9">
        <f>IF((480*(10^(8.65-(O119/10))))&lt;480,480*(10^(8.65-(O119/10))),480)</f>
        <v/>
      </c>
      <c r="AU119" s="111">
        <f>IF(O119&lt;80,"0",IF((P119-O119)&lt;=2,('DPI art.191'!$G$3-(('DPI art.191'!$F$3-'DPI art.191'!$G$3)/4)*(P119-O119-2)),('DPI art.191'!$G$3-(('DPI art.191'!$G$3-'DPI art.191'!$H$3)/8)*(P119-O119-2))))</f>
        <v/>
      </c>
      <c r="AV119" s="24">
        <f>O119-AU119</f>
        <v/>
      </c>
      <c r="AW119" s="24">
        <f>IF(N119&lt;135,N119,N119-'DPI art.191'!$I$3)</f>
        <v/>
      </c>
      <c r="AX119" s="111">
        <f>IF(I119&lt;80,"0",IF((J119-I119)&lt;=2,('DPI art.191'!$G$7-(('DPI art.191'!$F$7-'DPI art.191'!$G$7)/4)*(I119-J119-2)),('DPI art.191'!$G$7-(('DPI art.191'!$G$7-'DPI art.191'!$H$7)/8)*(J119-I119-2))))</f>
        <v/>
      </c>
      <c r="AY119" s="24">
        <f>I119-AX119</f>
        <v/>
      </c>
      <c r="AZ119" s="24">
        <f>IF(H119&lt;135,H119,H119-'DPI art.191'!$I$7)</f>
        <v/>
      </c>
      <c r="BA119" s="111">
        <f>IF(O119&lt;80,"0",IF((P119-O119)&lt;=2,('DPI art.191'!$G$5-(('DPI art.191'!$F$5-'DPI art.191'!$G$5)/4)*(P119-O119-2)),('DPI art.191'!$G$5-(('DPI art.191'!$G$5-'DPI art.191'!$H$5)/8)*(P119-O119-2))))</f>
        <v/>
      </c>
      <c r="BB119" s="24">
        <f>R119-BA119</f>
        <v/>
      </c>
      <c r="BC119" s="24">
        <f>IF(N119&lt;135,N119,N119-'DPI art.191'!$I$5)</f>
        <v/>
      </c>
      <c r="BD119" s="111">
        <f>IF(O119&lt;80,"0",IF((P119-O119)&lt;=2,('DPI art.191'!$G$7-(('DPI art.191'!$F$7-'DPI art.191'!$G$7)/4)*(O119-P119-2)),('DPI art.191'!$G$7-(('DPI art.191'!$G$7-'DPI art.191'!$H$7)/8)*(P119-O119-2))))</f>
        <v/>
      </c>
      <c r="BE119" s="24">
        <f>O119-BD119</f>
        <v/>
      </c>
      <c r="BF119" s="24">
        <f>IF(N119&lt;135,N119,N119-'DPI art.191'!$I$7)</f>
        <v/>
      </c>
      <c r="BG119" s="111">
        <f>IF(AA119&lt;80,"0",IF((AB119-AA119)&lt;=2,('DPI art.191'!$G$3-(('DPI art.191'!$F$3-'DPI art.191'!$G$3)/4)*(AB119-AA119-2)),('DPI art.191'!$G$3-(('DPI art.191'!$G$3-'DPI art.191'!$H$3)/8)*(AB119-AA119-2))))</f>
        <v/>
      </c>
      <c r="BH119" s="24">
        <f>AA119-BG119</f>
        <v/>
      </c>
      <c r="BI119" s="24">
        <f>IF(Z119&lt;135,Z119,Z119-'DPI art.191'!$I$3)</f>
        <v/>
      </c>
      <c r="BJ119" s="111">
        <f>IF(U119&lt;80,"0",IF((V119-U119)&lt;=2,('DPI art.191'!$G$7-(('DPI art.191'!$F$7-'DPI art.191'!$G$7)/4)*(U119-V119-2)),('DPI art.191'!$G$7-(('DPI art.191'!$G$7-'DPI art.191'!$H$7)/8)*(V119-U119-2))))</f>
        <v/>
      </c>
      <c r="BK119" s="24">
        <f>U119-BJ119</f>
        <v/>
      </c>
      <c r="BL119" s="24">
        <f>IF(T119&lt;135,T119,T119-'DPI art.191'!$I$7)</f>
        <v/>
      </c>
      <c r="BM119" s="111">
        <f>IF(AA119&lt;80,"0",IF((AB119-AA119)&lt;=2,('DPI art.191'!$G$5-(('DPI art.191'!$F$5-'DPI art.191'!$G$5)/4)*(AB119-AA119-2)),('DPI art.191'!$G$5-(('DPI art.191'!$G$5-'DPI art.191'!$H$5)/8)*(AB119-AA119-2))))</f>
        <v/>
      </c>
      <c r="BN119" s="24">
        <f>AD119-BM119</f>
        <v/>
      </c>
      <c r="BO119" s="24">
        <f>IF(Z119&lt;135,Z119,Z119-'DPI art.191'!$I$5)</f>
        <v/>
      </c>
      <c r="BP119" s="108">
        <f>10^(0.1*R119)</f>
        <v/>
      </c>
      <c r="BQ119" s="108">
        <f>10^(0.1*X119)</f>
        <v/>
      </c>
      <c r="BR119" s="108">
        <f>10^(0.1*AB119)</f>
        <v/>
      </c>
      <c r="BS119" s="108">
        <f>10^(0.1*AF119)</f>
        <v/>
      </c>
      <c r="BT119" s="108">
        <f>10^(0.1*AJ119)</f>
        <v/>
      </c>
      <c r="BU119" s="108">
        <f>10^(0.1*AN119)</f>
        <v/>
      </c>
      <c r="BV119" s="106">
        <f>IF(R119&gt;0,(O119-R119),"")</f>
        <v/>
      </c>
      <c r="BW119" s="106">
        <f>IF(X119&gt;0,(O119-X119),"")</f>
        <v/>
      </c>
      <c r="BX119" s="106">
        <f>IF(AB119&gt;0,(O119-AB119),"")</f>
        <v/>
      </c>
      <c r="BY119" s="106">
        <f>IF(AF119&gt;0,(O119-AF119),"")</f>
        <v/>
      </c>
      <c r="BZ119" s="106">
        <f>IF(AJ119&gt;0,(O119-AJ119),"")</f>
        <v/>
      </c>
      <c r="CA119" s="106">
        <f>IF(AN119&gt;0,(O119-AN119),"")</f>
        <v/>
      </c>
      <c r="CB119" s="106">
        <f>COUNT(BV119:CA119)</f>
        <v/>
      </c>
      <c r="CC119" s="464">
        <f>IF(CB119=0,0,IF(CB119=1,0,1/(CB119*(CB119-1))))</f>
        <v/>
      </c>
      <c r="CD119" s="136">
        <f>IF(R119&gt;0,(BV119^2),"")</f>
        <v/>
      </c>
      <c r="CE119" s="136">
        <f>IF(X119&gt;0,(BW119^2),"")</f>
        <v/>
      </c>
      <c r="CF119" s="136">
        <f>IF(AB119&gt;0,(BX119^2),"")</f>
        <v/>
      </c>
      <c r="CG119" s="136">
        <f>IF(AF119&gt;0,(BY119^2),"")</f>
        <v/>
      </c>
      <c r="CH119" s="136">
        <f>IF(AJ119&gt;0,(BZ119^2),"")</f>
        <v/>
      </c>
      <c r="CI119" s="136">
        <f>IF(AN119&gt;0,(CA119^2),"")</f>
        <v/>
      </c>
    </row>
    <row r="120" ht="18.75" customHeight="1" s="444">
      <c r="A120" s="340" t="inlineStr">
        <is>
          <t>/</t>
        </is>
      </c>
      <c r="B120" s="65">
        <f>B119+1</f>
        <v/>
      </c>
      <c r="C120" s="78" t="n"/>
      <c r="D120" s="83" t="n"/>
      <c r="E120" s="83" t="n"/>
      <c r="F120" s="329" t="n"/>
      <c r="G120" s="71" t="n">
        <v>40725</v>
      </c>
      <c r="H120" s="77" t="inlineStr">
        <is>
          <t>Compito</t>
        </is>
      </c>
      <c r="I120" s="77">
        <f>IF((V120-R120)&gt;3,"SI","")</f>
        <v/>
      </c>
      <c r="J120" s="77">
        <f>IF((U120-R120)&gt;3,"SI","")</f>
        <v/>
      </c>
      <c r="K120" s="77" t="n"/>
      <c r="L120" s="77" t="n"/>
      <c r="M120" s="137">
        <f>IF(R120&gt;0,(SQRT(CC120*(SUM(CD120:CI120)))),"")</f>
        <v/>
      </c>
      <c r="N120" s="4">
        <f>IF(T120&gt;0,(MAX(T120,Z120,AD120,AH120,AL120,AP120))+SQRT(1.2^2+1^2),"")</f>
        <v/>
      </c>
      <c r="O120" s="3">
        <f>IF(R120="",0,10*LOG10(SUM(BP120:BU120)/(COUNT(R120,X120,AB120,AF120,AJ120,AN120))))</f>
        <v/>
      </c>
      <c r="P120" s="5">
        <f>IF(AND(Y120="",AC120="",AG120="",AK120="",AO120=""),S120,AVERAGE(S120,Y120,AC120,AG120,AK120,AO120)+STDEV(S120,Y120,AC120,AG120,AK120,AO120))</f>
        <v/>
      </c>
      <c r="Q120" s="14" t="n"/>
      <c r="R120" s="11" t="n"/>
      <c r="S120" s="12" t="n"/>
      <c r="T120" s="13" t="n"/>
      <c r="U120" s="79" t="n"/>
      <c r="V120" s="79" t="n"/>
      <c r="W120" s="10" t="n"/>
      <c r="X120" s="11" t="n"/>
      <c r="Y120" s="12" t="n"/>
      <c r="Z120" s="13" t="n"/>
      <c r="AA120" s="10" t="n"/>
      <c r="AB120" s="11" t="n"/>
      <c r="AC120" s="12" t="n"/>
      <c r="AD120" s="13" t="n"/>
      <c r="AE120" s="14" t="n"/>
      <c r="AF120" s="11" t="n"/>
      <c r="AG120" s="12" t="n"/>
      <c r="AH120" s="13" t="n"/>
      <c r="AI120" s="10" t="n"/>
      <c r="AJ120" s="11" t="n"/>
      <c r="AK120" s="12" t="n"/>
      <c r="AL120" s="13" t="n"/>
      <c r="AM120" s="10" t="n"/>
      <c r="AN120" s="11" t="n"/>
      <c r="AO120" s="12" t="n"/>
      <c r="AP120" s="13" t="n"/>
      <c r="AQ120" s="6">
        <f>IF(AND((O120)&lt;85,N120&lt;137),"NO","SI")</f>
        <v/>
      </c>
      <c r="AR120" s="7">
        <f>IF((480*(10^(7.95-(O120/10))))&lt;480,480*(10^(7.95-(O120/10))),480)</f>
        <v/>
      </c>
      <c r="AS120" s="8">
        <f>IF((480*(10^(8.45-(O120/10))))&lt;480,480*(10^(8.45-(O120/10))),480)</f>
        <v/>
      </c>
      <c r="AT120" s="9">
        <f>IF((480*(10^(8.65-(O120/10))))&lt;480,480*(10^(8.65-(O120/10))),480)</f>
        <v/>
      </c>
      <c r="AU120" s="111">
        <f>IF(O120&lt;80,"0",IF((P120-O120)&lt;=2,('DPI art.191'!$G$3-(('DPI art.191'!$F$3-'DPI art.191'!$G$3)/4)*(P120-O120-2)),('DPI art.191'!$G$3-(('DPI art.191'!$G$3-'DPI art.191'!$H$3)/8)*(P120-O120-2))))</f>
        <v/>
      </c>
      <c r="AV120" s="24">
        <f>O120-AU120</f>
        <v/>
      </c>
      <c r="AW120" s="24">
        <f>IF(N120&lt;135,N120,N120-'DPI art.191'!$I$3)</f>
        <v/>
      </c>
      <c r="AX120" s="111">
        <f>IF(I120&lt;80,"0",IF((J120-I120)&lt;=2,('DPI art.191'!$G$7-(('DPI art.191'!$F$7-'DPI art.191'!$G$7)/4)*(I120-J120-2)),('DPI art.191'!$G$7-(('DPI art.191'!$G$7-'DPI art.191'!$H$7)/8)*(J120-I120-2))))</f>
        <v/>
      </c>
      <c r="AY120" s="24">
        <f>I120-AX120</f>
        <v/>
      </c>
      <c r="AZ120" s="24">
        <f>IF(H120&lt;135,H120,H120-'DPI art.191'!$I$7)</f>
        <v/>
      </c>
      <c r="BA120" s="111">
        <f>IF(O120&lt;80,"0",IF((P120-O120)&lt;=2,('DPI art.191'!$G$5-(('DPI art.191'!$F$5-'DPI art.191'!$G$5)/4)*(P120-O120-2)),('DPI art.191'!$G$5-(('DPI art.191'!$G$5-'DPI art.191'!$H$5)/8)*(P120-O120-2))))</f>
        <v/>
      </c>
      <c r="BB120" s="24">
        <f>R120-BA120</f>
        <v/>
      </c>
      <c r="BC120" s="24">
        <f>IF(N120&lt;135,N120,N120-'DPI art.191'!$I$5)</f>
        <v/>
      </c>
      <c r="BD120" s="111">
        <f>IF(O120&lt;80,"0",IF((P120-O120)&lt;=2,('DPI art.191'!$G$7-(('DPI art.191'!$F$7-'DPI art.191'!$G$7)/4)*(O120-P120-2)),('DPI art.191'!$G$7-(('DPI art.191'!$G$7-'DPI art.191'!$H$7)/8)*(P120-O120-2))))</f>
        <v/>
      </c>
      <c r="BE120" s="24">
        <f>O120-BD120</f>
        <v/>
      </c>
      <c r="BF120" s="24">
        <f>IF(N120&lt;135,N120,N120-'DPI art.191'!$I$7)</f>
        <v/>
      </c>
      <c r="BG120" s="111">
        <f>IF(AA120&lt;80,"0",IF((AB120-AA120)&lt;=2,('DPI art.191'!$G$3-(('DPI art.191'!$F$3-'DPI art.191'!$G$3)/4)*(AB120-AA120-2)),('DPI art.191'!$G$3-(('DPI art.191'!$G$3-'DPI art.191'!$H$3)/8)*(AB120-AA120-2))))</f>
        <v/>
      </c>
      <c r="BH120" s="24">
        <f>AA120-BG120</f>
        <v/>
      </c>
      <c r="BI120" s="24">
        <f>IF(Z120&lt;135,Z120,Z120-'DPI art.191'!$I$3)</f>
        <v/>
      </c>
      <c r="BJ120" s="111">
        <f>IF(U120&lt;80,"0",IF((V120-U120)&lt;=2,('DPI art.191'!$G$7-(('DPI art.191'!$F$7-'DPI art.191'!$G$7)/4)*(U120-V120-2)),('DPI art.191'!$G$7-(('DPI art.191'!$G$7-'DPI art.191'!$H$7)/8)*(V120-U120-2))))</f>
        <v/>
      </c>
      <c r="BK120" s="24">
        <f>U120-BJ120</f>
        <v/>
      </c>
      <c r="BL120" s="24">
        <f>IF(T120&lt;135,T120,T120-'DPI art.191'!$I$7)</f>
        <v/>
      </c>
      <c r="BM120" s="111">
        <f>IF(AA120&lt;80,"0",IF((AB120-AA120)&lt;=2,('DPI art.191'!$G$5-(('DPI art.191'!$F$5-'DPI art.191'!$G$5)/4)*(AB120-AA120-2)),('DPI art.191'!$G$5-(('DPI art.191'!$G$5-'DPI art.191'!$H$5)/8)*(AB120-AA120-2))))</f>
        <v/>
      </c>
      <c r="BN120" s="24">
        <f>AD120-BM120</f>
        <v/>
      </c>
      <c r="BO120" s="24">
        <f>IF(Z120&lt;135,Z120,Z120-'DPI art.191'!$I$5)</f>
        <v/>
      </c>
      <c r="BP120" s="108">
        <f>10^(0.1*R120)</f>
        <v/>
      </c>
      <c r="BQ120" s="108">
        <f>10^(0.1*X120)</f>
        <v/>
      </c>
      <c r="BR120" s="108">
        <f>10^(0.1*AB120)</f>
        <v/>
      </c>
      <c r="BS120" s="108">
        <f>10^(0.1*AF120)</f>
        <v/>
      </c>
      <c r="BT120" s="108">
        <f>10^(0.1*AJ120)</f>
        <v/>
      </c>
      <c r="BU120" s="108">
        <f>10^(0.1*AN120)</f>
        <v/>
      </c>
      <c r="BV120" s="106">
        <f>IF(R120&gt;0,(O120-R120),"")</f>
        <v/>
      </c>
      <c r="BW120" s="106">
        <f>IF(X120&gt;0,(O120-X120),"")</f>
        <v/>
      </c>
      <c r="BX120" s="106">
        <f>IF(AB120&gt;0,(O120-AB120),"")</f>
        <v/>
      </c>
      <c r="BY120" s="106">
        <f>IF(AF120&gt;0,(O120-AF120),"")</f>
        <v/>
      </c>
      <c r="BZ120" s="106">
        <f>IF(AJ120&gt;0,(O120-AJ120),"")</f>
        <v/>
      </c>
      <c r="CA120" s="106">
        <f>IF(AN120&gt;0,(O120-AN120),"")</f>
        <v/>
      </c>
      <c r="CB120" s="106">
        <f>COUNT(BV120:CA120)</f>
        <v/>
      </c>
      <c r="CC120" s="464">
        <f>IF(CB120=0,0,IF(CB120=1,0,1/(CB120*(CB120-1))))</f>
        <v/>
      </c>
      <c r="CD120" s="136">
        <f>IF(R120&gt;0,(BV120^2),"")</f>
        <v/>
      </c>
      <c r="CE120" s="136">
        <f>IF(X120&gt;0,(BW120^2),"")</f>
        <v/>
      </c>
      <c r="CF120" s="136">
        <f>IF(AB120&gt;0,(BX120^2),"")</f>
        <v/>
      </c>
      <c r="CG120" s="136">
        <f>IF(AF120&gt;0,(BY120^2),"")</f>
        <v/>
      </c>
      <c r="CH120" s="136">
        <f>IF(AJ120&gt;0,(BZ120^2),"")</f>
        <v/>
      </c>
      <c r="CI120" s="136">
        <f>IF(AN120&gt;0,(CA120^2),"")</f>
        <v/>
      </c>
    </row>
    <row r="121" ht="18.75" customHeight="1" s="444">
      <c r="A121" s="340" t="inlineStr">
        <is>
          <t>/</t>
        </is>
      </c>
      <c r="B121" s="65">
        <f>B120+1</f>
        <v/>
      </c>
      <c r="C121" s="78" t="n"/>
      <c r="D121" s="83" t="n"/>
      <c r="E121" s="83" t="n"/>
      <c r="F121" s="329" t="n"/>
      <c r="G121" s="71" t="n">
        <v>40725</v>
      </c>
      <c r="H121" s="77" t="inlineStr">
        <is>
          <t>Compito</t>
        </is>
      </c>
      <c r="I121" s="77">
        <f>IF((V121-R121)&gt;3,"SI","")</f>
        <v/>
      </c>
      <c r="J121" s="77">
        <f>IF((U121-R121)&gt;3,"SI","")</f>
        <v/>
      </c>
      <c r="K121" s="77" t="n"/>
      <c r="L121" s="77" t="n"/>
      <c r="M121" s="137">
        <f>IF(R121&gt;0,(SQRT(CC121*(SUM(CD121:CI121)))),"")</f>
        <v/>
      </c>
      <c r="N121" s="4">
        <f>IF(T121&gt;0,(MAX(T121,Z121,AD121,AH121,AL121,AP121))+SQRT(1.2^2+1^2),"")</f>
        <v/>
      </c>
      <c r="O121" s="3">
        <f>IF(R121="",0,10*LOG10(SUM(BP121:BU121)/(COUNT(R121,X121,AB121,AF121,AJ121,AN121))))</f>
        <v/>
      </c>
      <c r="P121" s="5">
        <f>IF(AND(Y121="",AC121="",AG121="",AK121="",AO121=""),S121,AVERAGE(S121,Y121,AC121,AG121,AK121,AO121)+STDEV(S121,Y121,AC121,AG121,AK121,AO121))</f>
        <v/>
      </c>
      <c r="Q121" s="14" t="n"/>
      <c r="R121" s="11" t="n"/>
      <c r="S121" s="12" t="n"/>
      <c r="T121" s="13" t="n"/>
      <c r="U121" s="79" t="n"/>
      <c r="V121" s="79" t="n"/>
      <c r="W121" s="10" t="n"/>
      <c r="X121" s="11" t="n"/>
      <c r="Y121" s="12" t="n"/>
      <c r="Z121" s="13" t="n"/>
      <c r="AA121" s="10" t="n"/>
      <c r="AB121" s="11" t="n"/>
      <c r="AC121" s="12" t="n"/>
      <c r="AD121" s="13" t="n"/>
      <c r="AE121" s="14" t="n"/>
      <c r="AF121" s="11" t="n"/>
      <c r="AG121" s="12" t="n"/>
      <c r="AH121" s="13" t="n"/>
      <c r="AI121" s="10" t="n"/>
      <c r="AJ121" s="11" t="n"/>
      <c r="AK121" s="12" t="n"/>
      <c r="AL121" s="13" t="n"/>
      <c r="AM121" s="10" t="n"/>
      <c r="AN121" s="11" t="n"/>
      <c r="AO121" s="12" t="n"/>
      <c r="AP121" s="13" t="n"/>
      <c r="AQ121" s="6">
        <f>IF(AND((O121)&lt;85,N121&lt;137),"NO","SI")</f>
        <v/>
      </c>
      <c r="AR121" s="7">
        <f>IF((480*(10^(7.95-(O121/10))))&lt;480,480*(10^(7.95-(O121/10))),480)</f>
        <v/>
      </c>
      <c r="AS121" s="8">
        <f>IF((480*(10^(8.45-(O121/10))))&lt;480,480*(10^(8.45-(O121/10))),480)</f>
        <v/>
      </c>
      <c r="AT121" s="9">
        <f>IF((480*(10^(8.65-(O121/10))))&lt;480,480*(10^(8.65-(O121/10))),480)</f>
        <v/>
      </c>
      <c r="AU121" s="111">
        <f>IF(O121&lt;80,"0",IF((P121-O121)&lt;=2,('DPI art.191'!$G$3-(('DPI art.191'!$F$3-'DPI art.191'!$G$3)/4)*(P121-O121-2)),('DPI art.191'!$G$3-(('DPI art.191'!$G$3-'DPI art.191'!$H$3)/8)*(P121-O121-2))))</f>
        <v/>
      </c>
      <c r="AV121" s="24">
        <f>O121-AU121</f>
        <v/>
      </c>
      <c r="AW121" s="24">
        <f>IF(N121&lt;135,N121,N121-'DPI art.191'!$I$3)</f>
        <v/>
      </c>
      <c r="AX121" s="111">
        <f>IF(I121&lt;80,"0",IF((J121-I121)&lt;=2,('DPI art.191'!$G$7-(('DPI art.191'!$F$7-'DPI art.191'!$G$7)/4)*(I121-J121-2)),('DPI art.191'!$G$7-(('DPI art.191'!$G$7-'DPI art.191'!$H$7)/8)*(J121-I121-2))))</f>
        <v/>
      </c>
      <c r="AY121" s="24">
        <f>I121-AX121</f>
        <v/>
      </c>
      <c r="AZ121" s="24">
        <f>IF(H121&lt;135,H121,H121-'DPI art.191'!$I$7)</f>
        <v/>
      </c>
      <c r="BA121" s="111">
        <f>IF(O121&lt;80,"0",IF((P121-O121)&lt;=2,('DPI art.191'!$G$5-(('DPI art.191'!$F$5-'DPI art.191'!$G$5)/4)*(P121-O121-2)),('DPI art.191'!$G$5-(('DPI art.191'!$G$5-'DPI art.191'!$H$5)/8)*(P121-O121-2))))</f>
        <v/>
      </c>
      <c r="BB121" s="24">
        <f>R121-BA121</f>
        <v/>
      </c>
      <c r="BC121" s="24">
        <f>IF(N121&lt;135,N121,N121-'DPI art.191'!$I$5)</f>
        <v/>
      </c>
      <c r="BD121" s="111">
        <f>IF(O121&lt;80,"0",IF((P121-O121)&lt;=2,('DPI art.191'!$G$7-(('DPI art.191'!$F$7-'DPI art.191'!$G$7)/4)*(O121-P121-2)),('DPI art.191'!$G$7-(('DPI art.191'!$G$7-'DPI art.191'!$H$7)/8)*(P121-O121-2))))</f>
        <v/>
      </c>
      <c r="BE121" s="24">
        <f>O121-BD121</f>
        <v/>
      </c>
      <c r="BF121" s="24">
        <f>IF(N121&lt;135,N121,N121-'DPI art.191'!$I$7)</f>
        <v/>
      </c>
      <c r="BG121" s="111">
        <f>IF(AA121&lt;80,"0",IF((AB121-AA121)&lt;=2,('DPI art.191'!$G$3-(('DPI art.191'!$F$3-'DPI art.191'!$G$3)/4)*(AB121-AA121-2)),('DPI art.191'!$G$3-(('DPI art.191'!$G$3-'DPI art.191'!$H$3)/8)*(AB121-AA121-2))))</f>
        <v/>
      </c>
      <c r="BH121" s="24">
        <f>AA121-BG121</f>
        <v/>
      </c>
      <c r="BI121" s="24">
        <f>IF(Z121&lt;135,Z121,Z121-'DPI art.191'!$I$3)</f>
        <v/>
      </c>
      <c r="BJ121" s="111">
        <f>IF(U121&lt;80,"0",IF((V121-U121)&lt;=2,('DPI art.191'!$G$7-(('DPI art.191'!$F$7-'DPI art.191'!$G$7)/4)*(U121-V121-2)),('DPI art.191'!$G$7-(('DPI art.191'!$G$7-'DPI art.191'!$H$7)/8)*(V121-U121-2))))</f>
        <v/>
      </c>
      <c r="BK121" s="24">
        <f>U121-BJ121</f>
        <v/>
      </c>
      <c r="BL121" s="24">
        <f>IF(T121&lt;135,T121,T121-'DPI art.191'!$I$7)</f>
        <v/>
      </c>
      <c r="BM121" s="111">
        <f>IF(AA121&lt;80,"0",IF((AB121-AA121)&lt;=2,('DPI art.191'!$G$5-(('DPI art.191'!$F$5-'DPI art.191'!$G$5)/4)*(AB121-AA121-2)),('DPI art.191'!$G$5-(('DPI art.191'!$G$5-'DPI art.191'!$H$5)/8)*(AB121-AA121-2))))</f>
        <v/>
      </c>
      <c r="BN121" s="24">
        <f>AD121-BM121</f>
        <v/>
      </c>
      <c r="BO121" s="24">
        <f>IF(Z121&lt;135,Z121,Z121-'DPI art.191'!$I$5)</f>
        <v/>
      </c>
      <c r="BP121" s="108">
        <f>10^(0.1*R121)</f>
        <v/>
      </c>
      <c r="BQ121" s="108">
        <f>10^(0.1*X121)</f>
        <v/>
      </c>
      <c r="BR121" s="108">
        <f>10^(0.1*AB121)</f>
        <v/>
      </c>
      <c r="BS121" s="108">
        <f>10^(0.1*AF121)</f>
        <v/>
      </c>
      <c r="BT121" s="108">
        <f>10^(0.1*AJ121)</f>
        <v/>
      </c>
      <c r="BU121" s="108">
        <f>10^(0.1*AN121)</f>
        <v/>
      </c>
      <c r="BV121" s="106">
        <f>IF(R121&gt;0,(O121-R121),"")</f>
        <v/>
      </c>
      <c r="BW121" s="106">
        <f>IF(X121&gt;0,(O121-X121),"")</f>
        <v/>
      </c>
      <c r="BX121" s="106">
        <f>IF(AB121&gt;0,(O121-AB121),"")</f>
        <v/>
      </c>
      <c r="BY121" s="106">
        <f>IF(AF121&gt;0,(O121-AF121),"")</f>
        <v/>
      </c>
      <c r="BZ121" s="106">
        <f>IF(AJ121&gt;0,(O121-AJ121),"")</f>
        <v/>
      </c>
      <c r="CA121" s="106">
        <f>IF(AN121&gt;0,(O121-AN121),"")</f>
        <v/>
      </c>
      <c r="CB121" s="106">
        <f>COUNT(BV121:CA121)</f>
        <v/>
      </c>
      <c r="CC121" s="464">
        <f>IF(CB121=0,0,IF(CB121=1,0,1/(CB121*(CB121-1))))</f>
        <v/>
      </c>
      <c r="CD121" s="136">
        <f>IF(R121&gt;0,(BV121^2),"")</f>
        <v/>
      </c>
      <c r="CE121" s="136">
        <f>IF(X121&gt;0,(BW121^2),"")</f>
        <v/>
      </c>
      <c r="CF121" s="136">
        <f>IF(AB121&gt;0,(BX121^2),"")</f>
        <v/>
      </c>
      <c r="CG121" s="136">
        <f>IF(AF121&gt;0,(BY121^2),"")</f>
        <v/>
      </c>
      <c r="CH121" s="136">
        <f>IF(AJ121&gt;0,(BZ121^2),"")</f>
        <v/>
      </c>
      <c r="CI121" s="136">
        <f>IF(AN121&gt;0,(CA121^2),"")</f>
        <v/>
      </c>
    </row>
    <row r="122" ht="18.75" customHeight="1" s="444">
      <c r="A122" s="340" t="inlineStr">
        <is>
          <t>/</t>
        </is>
      </c>
      <c r="B122" s="65">
        <f>B121+1</f>
        <v/>
      </c>
      <c r="C122" s="78" t="n"/>
      <c r="D122" s="83" t="n"/>
      <c r="E122" s="83" t="n"/>
      <c r="F122" s="329" t="n"/>
      <c r="G122" s="71" t="n">
        <v>40725</v>
      </c>
      <c r="H122" s="77" t="inlineStr">
        <is>
          <t>Compito</t>
        </is>
      </c>
      <c r="I122" s="77">
        <f>IF((V122-R122)&gt;3,"SI","")</f>
        <v/>
      </c>
      <c r="J122" s="77">
        <f>IF((U122-R122)&gt;3,"SI","")</f>
        <v/>
      </c>
      <c r="K122" s="77" t="n"/>
      <c r="L122" s="77" t="n"/>
      <c r="M122" s="137">
        <f>IF(R122&gt;0,(SQRT(CC122*(SUM(CD122:CI122)))),"")</f>
        <v/>
      </c>
      <c r="N122" s="4">
        <f>IF(T122&gt;0,(MAX(T122,Z122,AD122,AH122,AL122,AP122))+SQRT(1.2^2+1^2),"")</f>
        <v/>
      </c>
      <c r="O122" s="3">
        <f>IF(R122="",0,10*LOG10(SUM(BP122:BU122)/(COUNT(R122,X122,AB122,AF122,AJ122,AN122))))</f>
        <v/>
      </c>
      <c r="P122" s="5">
        <f>IF(AND(Y122="",AC122="",AG122="",AK122="",AO122=""),S122,AVERAGE(S122,Y122,AC122,AG122,AK122,AO122)+STDEV(S122,Y122,AC122,AG122,AK122,AO122))</f>
        <v/>
      </c>
      <c r="Q122" s="14" t="n"/>
      <c r="R122" s="11" t="n"/>
      <c r="S122" s="12" t="n"/>
      <c r="T122" s="13" t="n"/>
      <c r="U122" s="79" t="n"/>
      <c r="V122" s="79" t="n"/>
      <c r="W122" s="10" t="n"/>
      <c r="X122" s="11" t="n"/>
      <c r="Y122" s="12" t="n"/>
      <c r="Z122" s="13" t="n"/>
      <c r="AA122" s="10" t="n"/>
      <c r="AB122" s="11" t="n"/>
      <c r="AC122" s="12" t="n"/>
      <c r="AD122" s="13" t="n"/>
      <c r="AE122" s="14" t="n"/>
      <c r="AF122" s="11" t="n"/>
      <c r="AG122" s="12" t="n"/>
      <c r="AH122" s="13" t="n"/>
      <c r="AI122" s="10" t="n"/>
      <c r="AJ122" s="11" t="n"/>
      <c r="AK122" s="12" t="n"/>
      <c r="AL122" s="13" t="n"/>
      <c r="AM122" s="10" t="n"/>
      <c r="AN122" s="11" t="n"/>
      <c r="AO122" s="12" t="n"/>
      <c r="AP122" s="13" t="n"/>
      <c r="AQ122" s="6">
        <f>IF(AND((O122)&lt;85,N122&lt;137),"NO","SI")</f>
        <v/>
      </c>
      <c r="AR122" s="7">
        <f>IF((480*(10^(7.95-(O122/10))))&lt;480,480*(10^(7.95-(O122/10))),480)</f>
        <v/>
      </c>
      <c r="AS122" s="8">
        <f>IF((480*(10^(8.45-(O122/10))))&lt;480,480*(10^(8.45-(O122/10))),480)</f>
        <v/>
      </c>
      <c r="AT122" s="9">
        <f>IF((480*(10^(8.65-(O122/10))))&lt;480,480*(10^(8.65-(O122/10))),480)</f>
        <v/>
      </c>
      <c r="AU122" s="111">
        <f>IF(O122&lt;80,"0",IF((P122-O122)&lt;=2,('DPI art.191'!$G$3-(('DPI art.191'!$F$3-'DPI art.191'!$G$3)/4)*(P122-O122-2)),('DPI art.191'!$G$3-(('DPI art.191'!$G$3-'DPI art.191'!$H$3)/8)*(P122-O122-2))))</f>
        <v/>
      </c>
      <c r="AV122" s="24">
        <f>O122-AU122</f>
        <v/>
      </c>
      <c r="AW122" s="24">
        <f>IF(N122&lt;135,N122,N122-'DPI art.191'!$I$3)</f>
        <v/>
      </c>
      <c r="AX122" s="111">
        <f>IF(I122&lt;80,"0",IF((J122-I122)&lt;=2,('DPI art.191'!$G$7-(('DPI art.191'!$F$7-'DPI art.191'!$G$7)/4)*(I122-J122-2)),('DPI art.191'!$G$7-(('DPI art.191'!$G$7-'DPI art.191'!$H$7)/8)*(J122-I122-2))))</f>
        <v/>
      </c>
      <c r="AY122" s="24">
        <f>I122-AX122</f>
        <v/>
      </c>
      <c r="AZ122" s="24">
        <f>IF(H122&lt;135,H122,H122-'DPI art.191'!$I$7)</f>
        <v/>
      </c>
      <c r="BA122" s="111">
        <f>IF(O122&lt;80,"0",IF((P122-O122)&lt;=2,('DPI art.191'!$G$5-(('DPI art.191'!$F$5-'DPI art.191'!$G$5)/4)*(P122-O122-2)),('DPI art.191'!$G$5-(('DPI art.191'!$G$5-'DPI art.191'!$H$5)/8)*(P122-O122-2))))</f>
        <v/>
      </c>
      <c r="BB122" s="24">
        <f>R122-BA122</f>
        <v/>
      </c>
      <c r="BC122" s="24">
        <f>IF(N122&lt;135,N122,N122-'DPI art.191'!$I$5)</f>
        <v/>
      </c>
      <c r="BD122" s="111">
        <f>IF(O122&lt;80,"0",IF((P122-O122)&lt;=2,('DPI art.191'!$G$7-(('DPI art.191'!$F$7-'DPI art.191'!$G$7)/4)*(O122-P122-2)),('DPI art.191'!$G$7-(('DPI art.191'!$G$7-'DPI art.191'!$H$7)/8)*(P122-O122-2))))</f>
        <v/>
      </c>
      <c r="BE122" s="24">
        <f>O122-BD122</f>
        <v/>
      </c>
      <c r="BF122" s="24">
        <f>IF(N122&lt;135,N122,N122-'DPI art.191'!$I$7)</f>
        <v/>
      </c>
      <c r="BG122" s="111">
        <f>IF(AA122&lt;80,"0",IF((AB122-AA122)&lt;=2,('DPI art.191'!$G$3-(('DPI art.191'!$F$3-'DPI art.191'!$G$3)/4)*(AB122-AA122-2)),('DPI art.191'!$G$3-(('DPI art.191'!$G$3-'DPI art.191'!$H$3)/8)*(AB122-AA122-2))))</f>
        <v/>
      </c>
      <c r="BH122" s="24">
        <f>AA122-BG122</f>
        <v/>
      </c>
      <c r="BI122" s="24">
        <f>IF(Z122&lt;135,Z122,Z122-'DPI art.191'!$I$3)</f>
        <v/>
      </c>
      <c r="BJ122" s="111">
        <f>IF(U122&lt;80,"0",IF((V122-U122)&lt;=2,('DPI art.191'!$G$7-(('DPI art.191'!$F$7-'DPI art.191'!$G$7)/4)*(U122-V122-2)),('DPI art.191'!$G$7-(('DPI art.191'!$G$7-'DPI art.191'!$H$7)/8)*(V122-U122-2))))</f>
        <v/>
      </c>
      <c r="BK122" s="24">
        <f>U122-BJ122</f>
        <v/>
      </c>
      <c r="BL122" s="24">
        <f>IF(T122&lt;135,T122,T122-'DPI art.191'!$I$7)</f>
        <v/>
      </c>
      <c r="BM122" s="111">
        <f>IF(AA122&lt;80,"0",IF((AB122-AA122)&lt;=2,('DPI art.191'!$G$5-(('DPI art.191'!$F$5-'DPI art.191'!$G$5)/4)*(AB122-AA122-2)),('DPI art.191'!$G$5-(('DPI art.191'!$G$5-'DPI art.191'!$H$5)/8)*(AB122-AA122-2))))</f>
        <v/>
      </c>
      <c r="BN122" s="24">
        <f>AD122-BM122</f>
        <v/>
      </c>
      <c r="BO122" s="24">
        <f>IF(Z122&lt;135,Z122,Z122-'DPI art.191'!$I$5)</f>
        <v/>
      </c>
      <c r="BP122" s="108">
        <f>10^(0.1*R122)</f>
        <v/>
      </c>
      <c r="BQ122" s="108">
        <f>10^(0.1*X122)</f>
        <v/>
      </c>
      <c r="BR122" s="108">
        <f>10^(0.1*AB122)</f>
        <v/>
      </c>
      <c r="BS122" s="108">
        <f>10^(0.1*AF122)</f>
        <v/>
      </c>
      <c r="BT122" s="108">
        <f>10^(0.1*AJ122)</f>
        <v/>
      </c>
      <c r="BU122" s="108">
        <f>10^(0.1*AN122)</f>
        <v/>
      </c>
      <c r="BV122" s="106">
        <f>IF(R122&gt;0,(O122-R122),"")</f>
        <v/>
      </c>
      <c r="BW122" s="106">
        <f>IF(X122&gt;0,(O122-X122),"")</f>
        <v/>
      </c>
      <c r="BX122" s="106">
        <f>IF(AB122&gt;0,(O122-AB122),"")</f>
        <v/>
      </c>
      <c r="BY122" s="106">
        <f>IF(AF122&gt;0,(O122-AF122),"")</f>
        <v/>
      </c>
      <c r="BZ122" s="106">
        <f>IF(AJ122&gt;0,(O122-AJ122),"")</f>
        <v/>
      </c>
      <c r="CA122" s="106">
        <f>IF(AN122&gt;0,(O122-AN122),"")</f>
        <v/>
      </c>
      <c r="CB122" s="106">
        <f>COUNT(BV122:CA122)</f>
        <v/>
      </c>
      <c r="CC122" s="464">
        <f>IF(CB122=0,0,IF(CB122=1,0,1/(CB122*(CB122-1))))</f>
        <v/>
      </c>
      <c r="CD122" s="136">
        <f>IF(R122&gt;0,(BV122^2),"")</f>
        <v/>
      </c>
      <c r="CE122" s="136">
        <f>IF(X122&gt;0,(BW122^2),"")</f>
        <v/>
      </c>
      <c r="CF122" s="136">
        <f>IF(AB122&gt;0,(BX122^2),"")</f>
        <v/>
      </c>
      <c r="CG122" s="136">
        <f>IF(AF122&gt;0,(BY122^2),"")</f>
        <v/>
      </c>
      <c r="CH122" s="136">
        <f>IF(AJ122&gt;0,(BZ122^2),"")</f>
        <v/>
      </c>
      <c r="CI122" s="136">
        <f>IF(AN122&gt;0,(CA122^2),"")</f>
        <v/>
      </c>
    </row>
    <row r="123" ht="18.75" customHeight="1" s="444">
      <c r="A123" s="340" t="inlineStr">
        <is>
          <t>/</t>
        </is>
      </c>
      <c r="B123" s="65">
        <f>B122+1</f>
        <v/>
      </c>
      <c r="C123" s="78" t="n"/>
      <c r="D123" s="83" t="n"/>
      <c r="E123" s="83" t="n"/>
      <c r="F123" s="329" t="n"/>
      <c r="G123" s="71" t="n">
        <v>40725</v>
      </c>
      <c r="H123" s="77" t="inlineStr">
        <is>
          <t>Compito</t>
        </is>
      </c>
      <c r="I123" s="77">
        <f>IF((V123-R123)&gt;3,"SI","")</f>
        <v/>
      </c>
      <c r="J123" s="77">
        <f>IF((U123-R123)&gt;3,"SI","")</f>
        <v/>
      </c>
      <c r="K123" s="77" t="n"/>
      <c r="L123" s="77" t="n"/>
      <c r="M123" s="137">
        <f>IF(R123&gt;0,(SQRT(CC123*(SUM(CD123:CI123)))),"")</f>
        <v/>
      </c>
      <c r="N123" s="4">
        <f>IF(T123&gt;0,(MAX(T123,Z123,AD123,AH123,AL123,AP123))+SQRT(1.2^2+1^2),"")</f>
        <v/>
      </c>
      <c r="O123" s="3">
        <f>IF(R123="",0,10*LOG10(SUM(BP123:BU123)/(COUNT(R123,X123,AB123,AF123,AJ123,AN123))))</f>
        <v/>
      </c>
      <c r="P123" s="5">
        <f>IF(AND(Y123="",AC123="",AG123="",AK123="",AO123=""),S123,AVERAGE(S123,Y123,AC123,AG123,AK123,AO123)+STDEV(S123,Y123,AC123,AG123,AK123,AO123))</f>
        <v/>
      </c>
      <c r="Q123" s="14" t="n"/>
      <c r="R123" s="11" t="n"/>
      <c r="S123" s="12" t="n"/>
      <c r="T123" s="13" t="n"/>
      <c r="U123" s="79" t="n"/>
      <c r="V123" s="79" t="n"/>
      <c r="W123" s="10" t="n"/>
      <c r="X123" s="11" t="n"/>
      <c r="Y123" s="12" t="n"/>
      <c r="Z123" s="13" t="n"/>
      <c r="AA123" s="10" t="n"/>
      <c r="AB123" s="11" t="n"/>
      <c r="AC123" s="12" t="n"/>
      <c r="AD123" s="13" t="n"/>
      <c r="AE123" s="14" t="n"/>
      <c r="AF123" s="11" t="n"/>
      <c r="AG123" s="12" t="n"/>
      <c r="AH123" s="13" t="n"/>
      <c r="AI123" s="10" t="n"/>
      <c r="AJ123" s="11" t="n"/>
      <c r="AK123" s="12" t="n"/>
      <c r="AL123" s="13" t="n"/>
      <c r="AM123" s="10" t="n"/>
      <c r="AN123" s="11" t="n"/>
      <c r="AO123" s="12" t="n"/>
      <c r="AP123" s="13" t="n"/>
      <c r="AQ123" s="6">
        <f>IF(AND((O123)&lt;85,N123&lt;137),"NO","SI")</f>
        <v/>
      </c>
      <c r="AR123" s="7">
        <f>IF((480*(10^(7.95-(O123/10))))&lt;480,480*(10^(7.95-(O123/10))),480)</f>
        <v/>
      </c>
      <c r="AS123" s="8">
        <f>IF((480*(10^(8.45-(O123/10))))&lt;480,480*(10^(8.45-(O123/10))),480)</f>
        <v/>
      </c>
      <c r="AT123" s="9">
        <f>IF((480*(10^(8.65-(O123/10))))&lt;480,480*(10^(8.65-(O123/10))),480)</f>
        <v/>
      </c>
      <c r="AU123" s="111">
        <f>IF(O123&lt;80,"0",IF((P123-O123)&lt;=2,('DPI art.191'!$G$3-(('DPI art.191'!$F$3-'DPI art.191'!$G$3)/4)*(P123-O123-2)),('DPI art.191'!$G$3-(('DPI art.191'!$G$3-'DPI art.191'!$H$3)/8)*(P123-O123-2))))</f>
        <v/>
      </c>
      <c r="AV123" s="24">
        <f>O123-AU123</f>
        <v/>
      </c>
      <c r="AW123" s="24">
        <f>IF(N123&lt;135,N123,N123-'DPI art.191'!$I$3)</f>
        <v/>
      </c>
      <c r="AX123" s="111">
        <f>IF(I123&lt;80,"0",IF((J123-I123)&lt;=2,('DPI art.191'!$G$7-(('DPI art.191'!$F$7-'DPI art.191'!$G$7)/4)*(I123-J123-2)),('DPI art.191'!$G$7-(('DPI art.191'!$G$7-'DPI art.191'!$H$7)/8)*(J123-I123-2))))</f>
        <v/>
      </c>
      <c r="AY123" s="24">
        <f>I123-AX123</f>
        <v/>
      </c>
      <c r="AZ123" s="24">
        <f>IF(H123&lt;135,H123,H123-'DPI art.191'!$I$7)</f>
        <v/>
      </c>
      <c r="BA123" s="111">
        <f>IF(O123&lt;80,"0",IF((P123-O123)&lt;=2,('DPI art.191'!$G$5-(('DPI art.191'!$F$5-'DPI art.191'!$G$5)/4)*(P123-O123-2)),('DPI art.191'!$G$5-(('DPI art.191'!$G$5-'DPI art.191'!$H$5)/8)*(P123-O123-2))))</f>
        <v/>
      </c>
      <c r="BB123" s="24">
        <f>R123-BA123</f>
        <v/>
      </c>
      <c r="BC123" s="24">
        <f>IF(N123&lt;135,N123,N123-'DPI art.191'!$I$5)</f>
        <v/>
      </c>
      <c r="BD123" s="111">
        <f>IF(O123&lt;80,"0",IF((P123-O123)&lt;=2,('DPI art.191'!$G$7-(('DPI art.191'!$F$7-'DPI art.191'!$G$7)/4)*(O123-P123-2)),('DPI art.191'!$G$7-(('DPI art.191'!$G$7-'DPI art.191'!$H$7)/8)*(P123-O123-2))))</f>
        <v/>
      </c>
      <c r="BE123" s="24">
        <f>O123-BD123</f>
        <v/>
      </c>
      <c r="BF123" s="24">
        <f>IF(N123&lt;135,N123,N123-'DPI art.191'!$I$7)</f>
        <v/>
      </c>
      <c r="BG123" s="111">
        <f>IF(AA123&lt;80,"0",IF((AB123-AA123)&lt;=2,('DPI art.191'!$G$3-(('DPI art.191'!$F$3-'DPI art.191'!$G$3)/4)*(AB123-AA123-2)),('DPI art.191'!$G$3-(('DPI art.191'!$G$3-'DPI art.191'!$H$3)/8)*(AB123-AA123-2))))</f>
        <v/>
      </c>
      <c r="BH123" s="24">
        <f>AA123-BG123</f>
        <v/>
      </c>
      <c r="BI123" s="24">
        <f>IF(Z123&lt;135,Z123,Z123-'DPI art.191'!$I$3)</f>
        <v/>
      </c>
      <c r="BJ123" s="111">
        <f>IF(U123&lt;80,"0",IF((V123-U123)&lt;=2,('DPI art.191'!$G$7-(('DPI art.191'!$F$7-'DPI art.191'!$G$7)/4)*(U123-V123-2)),('DPI art.191'!$G$7-(('DPI art.191'!$G$7-'DPI art.191'!$H$7)/8)*(V123-U123-2))))</f>
        <v/>
      </c>
      <c r="BK123" s="24">
        <f>U123-BJ123</f>
        <v/>
      </c>
      <c r="BL123" s="24">
        <f>IF(T123&lt;135,T123,T123-'DPI art.191'!$I$7)</f>
        <v/>
      </c>
      <c r="BM123" s="111">
        <f>IF(AA123&lt;80,"0",IF((AB123-AA123)&lt;=2,('DPI art.191'!$G$5-(('DPI art.191'!$F$5-'DPI art.191'!$G$5)/4)*(AB123-AA123-2)),('DPI art.191'!$G$5-(('DPI art.191'!$G$5-'DPI art.191'!$H$5)/8)*(AB123-AA123-2))))</f>
        <v/>
      </c>
      <c r="BN123" s="24">
        <f>AD123-BM123</f>
        <v/>
      </c>
      <c r="BO123" s="24">
        <f>IF(Z123&lt;135,Z123,Z123-'DPI art.191'!$I$5)</f>
        <v/>
      </c>
      <c r="BP123" s="108">
        <f>10^(0.1*R123)</f>
        <v/>
      </c>
      <c r="BQ123" s="108">
        <f>10^(0.1*X123)</f>
        <v/>
      </c>
      <c r="BR123" s="108">
        <f>10^(0.1*AB123)</f>
        <v/>
      </c>
      <c r="BS123" s="108">
        <f>10^(0.1*AF123)</f>
        <v/>
      </c>
      <c r="BT123" s="108">
        <f>10^(0.1*AJ123)</f>
        <v/>
      </c>
      <c r="BU123" s="108">
        <f>10^(0.1*AN123)</f>
        <v/>
      </c>
      <c r="BV123" s="106">
        <f>IF(R123&gt;0,(O123-R123),"")</f>
        <v/>
      </c>
      <c r="BW123" s="106">
        <f>IF(X123&gt;0,(O123-X123),"")</f>
        <v/>
      </c>
      <c r="BX123" s="106">
        <f>IF(AB123&gt;0,(O123-AB123),"")</f>
        <v/>
      </c>
      <c r="BY123" s="106">
        <f>IF(AF123&gt;0,(O123-AF123),"")</f>
        <v/>
      </c>
      <c r="BZ123" s="106">
        <f>IF(AJ123&gt;0,(O123-AJ123),"")</f>
        <v/>
      </c>
      <c r="CA123" s="106">
        <f>IF(AN123&gt;0,(O123-AN123),"")</f>
        <v/>
      </c>
      <c r="CB123" s="106">
        <f>COUNT(BV123:CA123)</f>
        <v/>
      </c>
      <c r="CC123" s="464">
        <f>IF(CB123=0,0,IF(CB123=1,0,1/(CB123*(CB123-1))))</f>
        <v/>
      </c>
      <c r="CD123" s="136">
        <f>IF(R123&gt;0,(BV123^2),"")</f>
        <v/>
      </c>
      <c r="CE123" s="136">
        <f>IF(X123&gt;0,(BW123^2),"")</f>
        <v/>
      </c>
      <c r="CF123" s="136">
        <f>IF(AB123&gt;0,(BX123^2),"")</f>
        <v/>
      </c>
      <c r="CG123" s="136">
        <f>IF(AF123&gt;0,(BY123^2),"")</f>
        <v/>
      </c>
      <c r="CH123" s="136">
        <f>IF(AJ123&gt;0,(BZ123^2),"")</f>
        <v/>
      </c>
      <c r="CI123" s="136">
        <f>IF(AN123&gt;0,(CA123^2),"")</f>
        <v/>
      </c>
    </row>
    <row r="124" ht="18.75" customHeight="1" s="444">
      <c r="A124" s="340" t="inlineStr">
        <is>
          <t>/</t>
        </is>
      </c>
      <c r="B124" s="65">
        <f>B123+1</f>
        <v/>
      </c>
      <c r="C124" s="78" t="n"/>
      <c r="D124" s="83" t="n"/>
      <c r="E124" s="83" t="n"/>
      <c r="F124" s="329" t="n"/>
      <c r="G124" s="71" t="n">
        <v>40725</v>
      </c>
      <c r="H124" s="77" t="inlineStr">
        <is>
          <t>Compito</t>
        </is>
      </c>
      <c r="I124" s="77">
        <f>IF((V124-R124)&gt;3,"SI","")</f>
        <v/>
      </c>
      <c r="J124" s="77">
        <f>IF((U124-R124)&gt;3,"SI","")</f>
        <v/>
      </c>
      <c r="K124" s="77" t="n"/>
      <c r="L124" s="77" t="n"/>
      <c r="M124" s="137">
        <f>IF(R124&gt;0,(SQRT(CC124*(SUM(CD124:CI124)))),"")</f>
        <v/>
      </c>
      <c r="N124" s="4">
        <f>IF(T124&gt;0,(MAX(T124,Z124,AD124,AH124,AL124,AP124))+SQRT(1.2^2+1^2),"")</f>
        <v/>
      </c>
      <c r="O124" s="3">
        <f>IF(R124="",0,10*LOG10(SUM(BP124:BU124)/(COUNT(R124,X124,AB124,AF124,AJ124,AN124))))</f>
        <v/>
      </c>
      <c r="P124" s="5">
        <f>IF(AND(Y124="",AC124="",AG124="",AK124="",AO124=""),S124,AVERAGE(S124,Y124,AC124,AG124,AK124,AO124)+STDEV(S124,Y124,AC124,AG124,AK124,AO124))</f>
        <v/>
      </c>
      <c r="Q124" s="14" t="n"/>
      <c r="R124" s="11" t="n"/>
      <c r="S124" s="12" t="n"/>
      <c r="T124" s="13" t="n"/>
      <c r="U124" s="79" t="n"/>
      <c r="V124" s="79" t="n"/>
      <c r="W124" s="10" t="n"/>
      <c r="X124" s="11" t="n"/>
      <c r="Y124" s="12" t="n"/>
      <c r="Z124" s="13" t="n"/>
      <c r="AA124" s="10" t="n"/>
      <c r="AB124" s="11" t="n"/>
      <c r="AC124" s="12" t="n"/>
      <c r="AD124" s="13" t="n"/>
      <c r="AE124" s="14" t="n"/>
      <c r="AF124" s="11" t="n"/>
      <c r="AG124" s="12" t="n"/>
      <c r="AH124" s="13" t="n"/>
      <c r="AI124" s="10" t="n"/>
      <c r="AJ124" s="11" t="n"/>
      <c r="AK124" s="12" t="n"/>
      <c r="AL124" s="13" t="n"/>
      <c r="AM124" s="10" t="n"/>
      <c r="AN124" s="11" t="n"/>
      <c r="AO124" s="12" t="n"/>
      <c r="AP124" s="13" t="n"/>
      <c r="AQ124" s="6">
        <f>IF(AND((O124)&lt;85,N124&lt;137),"NO","SI")</f>
        <v/>
      </c>
      <c r="AR124" s="7">
        <f>IF((480*(10^(7.95-(O124/10))))&lt;480,480*(10^(7.95-(O124/10))),480)</f>
        <v/>
      </c>
      <c r="AS124" s="8">
        <f>IF((480*(10^(8.45-(O124/10))))&lt;480,480*(10^(8.45-(O124/10))),480)</f>
        <v/>
      </c>
      <c r="AT124" s="9">
        <f>IF((480*(10^(8.65-(O124/10))))&lt;480,480*(10^(8.65-(O124/10))),480)</f>
        <v/>
      </c>
      <c r="AU124" s="111">
        <f>IF(O124&lt;80,"0",IF((P124-O124)&lt;=2,('DPI art.191'!$G$3-(('DPI art.191'!$F$3-'DPI art.191'!$G$3)/4)*(P124-O124-2)),('DPI art.191'!$G$3-(('DPI art.191'!$G$3-'DPI art.191'!$H$3)/8)*(P124-O124-2))))</f>
        <v/>
      </c>
      <c r="AV124" s="24">
        <f>O124-AU124</f>
        <v/>
      </c>
      <c r="AW124" s="24">
        <f>IF(N124&lt;135,N124,N124-'DPI art.191'!$I$3)</f>
        <v/>
      </c>
      <c r="AX124" s="111">
        <f>IF(I124&lt;80,"0",IF((J124-I124)&lt;=2,('DPI art.191'!$G$7-(('DPI art.191'!$F$7-'DPI art.191'!$G$7)/4)*(I124-J124-2)),('DPI art.191'!$G$7-(('DPI art.191'!$G$7-'DPI art.191'!$H$7)/8)*(J124-I124-2))))</f>
        <v/>
      </c>
      <c r="AY124" s="24">
        <f>I124-AX124</f>
        <v/>
      </c>
      <c r="AZ124" s="24">
        <f>IF(H124&lt;135,H124,H124-'DPI art.191'!$I$7)</f>
        <v/>
      </c>
      <c r="BA124" s="111">
        <f>IF(O124&lt;80,"0",IF((P124-O124)&lt;=2,('DPI art.191'!$G$5-(('DPI art.191'!$F$5-'DPI art.191'!$G$5)/4)*(P124-O124-2)),('DPI art.191'!$G$5-(('DPI art.191'!$G$5-'DPI art.191'!$H$5)/8)*(P124-O124-2))))</f>
        <v/>
      </c>
      <c r="BB124" s="24">
        <f>R124-BA124</f>
        <v/>
      </c>
      <c r="BC124" s="24">
        <f>IF(N124&lt;135,N124,N124-'DPI art.191'!$I$5)</f>
        <v/>
      </c>
      <c r="BD124" s="111">
        <f>IF(O124&lt;80,"0",IF((P124-O124)&lt;=2,('DPI art.191'!$G$7-(('DPI art.191'!$F$7-'DPI art.191'!$G$7)/4)*(O124-P124-2)),('DPI art.191'!$G$7-(('DPI art.191'!$G$7-'DPI art.191'!$H$7)/8)*(P124-O124-2))))</f>
        <v/>
      </c>
      <c r="BE124" s="24">
        <f>O124-BD124</f>
        <v/>
      </c>
      <c r="BF124" s="24">
        <f>IF(N124&lt;135,N124,N124-'DPI art.191'!$I$7)</f>
        <v/>
      </c>
      <c r="BG124" s="111">
        <f>IF(AA124&lt;80,"0",IF((AB124-AA124)&lt;=2,('DPI art.191'!$G$3-(('DPI art.191'!$F$3-'DPI art.191'!$G$3)/4)*(AB124-AA124-2)),('DPI art.191'!$G$3-(('DPI art.191'!$G$3-'DPI art.191'!$H$3)/8)*(AB124-AA124-2))))</f>
        <v/>
      </c>
      <c r="BH124" s="24">
        <f>AA124-BG124</f>
        <v/>
      </c>
      <c r="BI124" s="24">
        <f>IF(Z124&lt;135,Z124,Z124-'DPI art.191'!$I$3)</f>
        <v/>
      </c>
      <c r="BJ124" s="111">
        <f>IF(U124&lt;80,"0",IF((V124-U124)&lt;=2,('DPI art.191'!$G$7-(('DPI art.191'!$F$7-'DPI art.191'!$G$7)/4)*(U124-V124-2)),('DPI art.191'!$G$7-(('DPI art.191'!$G$7-'DPI art.191'!$H$7)/8)*(V124-U124-2))))</f>
        <v/>
      </c>
      <c r="BK124" s="24">
        <f>U124-BJ124</f>
        <v/>
      </c>
      <c r="BL124" s="24">
        <f>IF(T124&lt;135,T124,T124-'DPI art.191'!$I$7)</f>
        <v/>
      </c>
      <c r="BM124" s="111">
        <f>IF(AA124&lt;80,"0",IF((AB124-AA124)&lt;=2,('DPI art.191'!$G$5-(('DPI art.191'!$F$5-'DPI art.191'!$G$5)/4)*(AB124-AA124-2)),('DPI art.191'!$G$5-(('DPI art.191'!$G$5-'DPI art.191'!$H$5)/8)*(AB124-AA124-2))))</f>
        <v/>
      </c>
      <c r="BN124" s="24">
        <f>AD124-BM124</f>
        <v/>
      </c>
      <c r="BO124" s="24">
        <f>IF(Z124&lt;135,Z124,Z124-'DPI art.191'!$I$5)</f>
        <v/>
      </c>
      <c r="BP124" s="108">
        <f>10^(0.1*R124)</f>
        <v/>
      </c>
      <c r="BQ124" s="108">
        <f>10^(0.1*X124)</f>
        <v/>
      </c>
      <c r="BR124" s="108">
        <f>10^(0.1*AB124)</f>
        <v/>
      </c>
      <c r="BS124" s="108">
        <f>10^(0.1*AF124)</f>
        <v/>
      </c>
      <c r="BT124" s="108">
        <f>10^(0.1*AJ124)</f>
        <v/>
      </c>
      <c r="BU124" s="108">
        <f>10^(0.1*AN124)</f>
        <v/>
      </c>
      <c r="BV124" s="106">
        <f>IF(R124&gt;0,(O124-R124),"")</f>
        <v/>
      </c>
      <c r="BW124" s="106">
        <f>IF(X124&gt;0,(O124-X124),"")</f>
        <v/>
      </c>
      <c r="BX124" s="106">
        <f>IF(AB124&gt;0,(O124-AB124),"")</f>
        <v/>
      </c>
      <c r="BY124" s="106">
        <f>IF(AF124&gt;0,(O124-AF124),"")</f>
        <v/>
      </c>
      <c r="BZ124" s="106">
        <f>IF(AJ124&gt;0,(O124-AJ124),"")</f>
        <v/>
      </c>
      <c r="CA124" s="106">
        <f>IF(AN124&gt;0,(O124-AN124),"")</f>
        <v/>
      </c>
      <c r="CB124" s="106">
        <f>COUNT(BV124:CA124)</f>
        <v/>
      </c>
      <c r="CC124" s="464">
        <f>IF(CB124=0,0,IF(CB124=1,0,1/(CB124*(CB124-1))))</f>
        <v/>
      </c>
      <c r="CD124" s="136">
        <f>IF(R124&gt;0,(BV124^2),"")</f>
        <v/>
      </c>
      <c r="CE124" s="136">
        <f>IF(X124&gt;0,(BW124^2),"")</f>
        <v/>
      </c>
      <c r="CF124" s="136">
        <f>IF(AB124&gt;0,(BX124^2),"")</f>
        <v/>
      </c>
      <c r="CG124" s="136">
        <f>IF(AF124&gt;0,(BY124^2),"")</f>
        <v/>
      </c>
      <c r="CH124" s="136">
        <f>IF(AJ124&gt;0,(BZ124^2),"")</f>
        <v/>
      </c>
      <c r="CI124" s="136">
        <f>IF(AN124&gt;0,(CA124^2),"")</f>
        <v/>
      </c>
    </row>
    <row r="125" ht="18.75" customHeight="1" s="444">
      <c r="A125" s="340" t="inlineStr">
        <is>
          <t>/</t>
        </is>
      </c>
      <c r="B125" s="65">
        <f>B124+1</f>
        <v/>
      </c>
      <c r="C125" s="78" t="n"/>
      <c r="D125" s="83" t="n"/>
      <c r="E125" s="83" t="n"/>
      <c r="F125" s="329" t="n"/>
      <c r="G125" s="71" t="n">
        <v>40725</v>
      </c>
      <c r="H125" s="77" t="inlineStr">
        <is>
          <t>Compito</t>
        </is>
      </c>
      <c r="I125" s="77">
        <f>IF((V125-R125)&gt;3,"SI","")</f>
        <v/>
      </c>
      <c r="J125" s="77">
        <f>IF((U125-R125)&gt;3,"SI","")</f>
        <v/>
      </c>
      <c r="K125" s="77" t="n"/>
      <c r="L125" s="77" t="n"/>
      <c r="M125" s="137">
        <f>IF(R125&gt;0,(SQRT(CC125*(SUM(CD125:CI125)))),"")</f>
        <v/>
      </c>
      <c r="N125" s="4">
        <f>IF(T125&gt;0,(MAX(T125,Z125,AD125,AH125,AL125,AP125))+SQRT(1.2^2+1^2),"")</f>
        <v/>
      </c>
      <c r="O125" s="3">
        <f>IF(R125="",0,10*LOG10(SUM(BP125:BU125)/(COUNT(R125,X125,AB125,AF125,AJ125,AN125))))</f>
        <v/>
      </c>
      <c r="P125" s="5">
        <f>IF(AND(Y125="",AC125="",AG125="",AK125="",AO125=""),S125,AVERAGE(S125,Y125,AC125,AG125,AK125,AO125)+STDEV(S125,Y125,AC125,AG125,AK125,AO125))</f>
        <v/>
      </c>
      <c r="Q125" s="14" t="n"/>
      <c r="R125" s="11" t="n"/>
      <c r="S125" s="12" t="n"/>
      <c r="T125" s="13" t="n"/>
      <c r="U125" s="79" t="n"/>
      <c r="V125" s="79" t="n"/>
      <c r="W125" s="10" t="n"/>
      <c r="X125" s="11" t="n"/>
      <c r="Y125" s="12" t="n"/>
      <c r="Z125" s="13" t="n"/>
      <c r="AA125" s="10" t="n"/>
      <c r="AB125" s="11" t="n"/>
      <c r="AC125" s="12" t="n"/>
      <c r="AD125" s="13" t="n"/>
      <c r="AE125" s="14" t="n"/>
      <c r="AF125" s="11" t="n"/>
      <c r="AG125" s="12" t="n"/>
      <c r="AH125" s="13" t="n"/>
      <c r="AI125" s="10" t="n"/>
      <c r="AJ125" s="11" t="n"/>
      <c r="AK125" s="12" t="n"/>
      <c r="AL125" s="13" t="n"/>
      <c r="AM125" s="10" t="n"/>
      <c r="AN125" s="11" t="n"/>
      <c r="AO125" s="12" t="n"/>
      <c r="AP125" s="13" t="n"/>
      <c r="AQ125" s="6">
        <f>IF(AND((O125)&lt;85,N125&lt;137),"NO","SI")</f>
        <v/>
      </c>
      <c r="AR125" s="7">
        <f>IF((480*(10^(7.95-(O125/10))))&lt;480,480*(10^(7.95-(O125/10))),480)</f>
        <v/>
      </c>
      <c r="AS125" s="8">
        <f>IF((480*(10^(8.45-(O125/10))))&lt;480,480*(10^(8.45-(O125/10))),480)</f>
        <v/>
      </c>
      <c r="AT125" s="9">
        <f>IF((480*(10^(8.65-(O125/10))))&lt;480,480*(10^(8.65-(O125/10))),480)</f>
        <v/>
      </c>
      <c r="AU125" s="111">
        <f>IF(O125&lt;80,"0",IF((P125-O125)&lt;=2,('DPI art.191'!$G$3-(('DPI art.191'!$F$3-'DPI art.191'!$G$3)/4)*(P125-O125-2)),('DPI art.191'!$G$3-(('DPI art.191'!$G$3-'DPI art.191'!$H$3)/8)*(P125-O125-2))))</f>
        <v/>
      </c>
      <c r="AV125" s="24">
        <f>O125-AU125</f>
        <v/>
      </c>
      <c r="AW125" s="24">
        <f>IF(N125&lt;135,N125,N125-'DPI art.191'!$I$3)</f>
        <v/>
      </c>
      <c r="AX125" s="111">
        <f>IF(I125&lt;80,"0",IF((J125-I125)&lt;=2,('DPI art.191'!$G$7-(('DPI art.191'!$F$7-'DPI art.191'!$G$7)/4)*(I125-J125-2)),('DPI art.191'!$G$7-(('DPI art.191'!$G$7-'DPI art.191'!$H$7)/8)*(J125-I125-2))))</f>
        <v/>
      </c>
      <c r="AY125" s="24">
        <f>I125-AX125</f>
        <v/>
      </c>
      <c r="AZ125" s="24">
        <f>IF(H125&lt;135,H125,H125-'DPI art.191'!$I$7)</f>
        <v/>
      </c>
      <c r="BA125" s="111">
        <f>IF(O125&lt;80,"0",IF((P125-O125)&lt;=2,('DPI art.191'!$G$5-(('DPI art.191'!$F$5-'DPI art.191'!$G$5)/4)*(P125-O125-2)),('DPI art.191'!$G$5-(('DPI art.191'!$G$5-'DPI art.191'!$H$5)/8)*(P125-O125-2))))</f>
        <v/>
      </c>
      <c r="BB125" s="24">
        <f>R125-BA125</f>
        <v/>
      </c>
      <c r="BC125" s="24">
        <f>IF(N125&lt;135,N125,N125-'DPI art.191'!$I$5)</f>
        <v/>
      </c>
      <c r="BD125" s="111">
        <f>IF(O125&lt;80,"0",IF((P125-O125)&lt;=2,('DPI art.191'!$G$7-(('DPI art.191'!$F$7-'DPI art.191'!$G$7)/4)*(O125-P125-2)),('DPI art.191'!$G$7-(('DPI art.191'!$G$7-'DPI art.191'!$H$7)/8)*(P125-O125-2))))</f>
        <v/>
      </c>
      <c r="BE125" s="24">
        <f>O125-BD125</f>
        <v/>
      </c>
      <c r="BF125" s="24">
        <f>IF(N125&lt;135,N125,N125-'DPI art.191'!$I$7)</f>
        <v/>
      </c>
      <c r="BG125" s="111">
        <f>IF(AA125&lt;80,"0",IF((AB125-AA125)&lt;=2,('DPI art.191'!$G$3-(('DPI art.191'!$F$3-'DPI art.191'!$G$3)/4)*(AB125-AA125-2)),('DPI art.191'!$G$3-(('DPI art.191'!$G$3-'DPI art.191'!$H$3)/8)*(AB125-AA125-2))))</f>
        <v/>
      </c>
      <c r="BH125" s="24">
        <f>AA125-BG125</f>
        <v/>
      </c>
      <c r="BI125" s="24">
        <f>IF(Z125&lt;135,Z125,Z125-'DPI art.191'!$I$3)</f>
        <v/>
      </c>
      <c r="BJ125" s="111">
        <f>IF(U125&lt;80,"0",IF((V125-U125)&lt;=2,('DPI art.191'!$G$7-(('DPI art.191'!$F$7-'DPI art.191'!$G$7)/4)*(U125-V125-2)),('DPI art.191'!$G$7-(('DPI art.191'!$G$7-'DPI art.191'!$H$7)/8)*(V125-U125-2))))</f>
        <v/>
      </c>
      <c r="BK125" s="24">
        <f>U125-BJ125</f>
        <v/>
      </c>
      <c r="BL125" s="24">
        <f>IF(T125&lt;135,T125,T125-'DPI art.191'!$I$7)</f>
        <v/>
      </c>
      <c r="BM125" s="111">
        <f>IF(AA125&lt;80,"0",IF((AB125-AA125)&lt;=2,('DPI art.191'!$G$5-(('DPI art.191'!$F$5-'DPI art.191'!$G$5)/4)*(AB125-AA125-2)),('DPI art.191'!$G$5-(('DPI art.191'!$G$5-'DPI art.191'!$H$5)/8)*(AB125-AA125-2))))</f>
        <v/>
      </c>
      <c r="BN125" s="24">
        <f>AD125-BM125</f>
        <v/>
      </c>
      <c r="BO125" s="24">
        <f>IF(Z125&lt;135,Z125,Z125-'DPI art.191'!$I$5)</f>
        <v/>
      </c>
      <c r="BP125" s="108">
        <f>10^(0.1*R125)</f>
        <v/>
      </c>
      <c r="BQ125" s="108">
        <f>10^(0.1*X125)</f>
        <v/>
      </c>
      <c r="BR125" s="108">
        <f>10^(0.1*AB125)</f>
        <v/>
      </c>
      <c r="BS125" s="108">
        <f>10^(0.1*AF125)</f>
        <v/>
      </c>
      <c r="BT125" s="108">
        <f>10^(0.1*AJ125)</f>
        <v/>
      </c>
      <c r="BU125" s="108">
        <f>10^(0.1*AN125)</f>
        <v/>
      </c>
      <c r="BV125" s="106">
        <f>IF(R125&gt;0,(O125-R125),"")</f>
        <v/>
      </c>
      <c r="BW125" s="106">
        <f>IF(X125&gt;0,(O125-X125),"")</f>
        <v/>
      </c>
      <c r="BX125" s="106">
        <f>IF(AB125&gt;0,(O125-AB125),"")</f>
        <v/>
      </c>
      <c r="BY125" s="106">
        <f>IF(AF125&gt;0,(O125-AF125),"")</f>
        <v/>
      </c>
      <c r="BZ125" s="106">
        <f>IF(AJ125&gt;0,(O125-AJ125),"")</f>
        <v/>
      </c>
      <c r="CA125" s="106">
        <f>IF(AN125&gt;0,(O125-AN125),"")</f>
        <v/>
      </c>
      <c r="CB125" s="106">
        <f>COUNT(BV125:CA125)</f>
        <v/>
      </c>
      <c r="CC125" s="464">
        <f>IF(CB125=0,0,IF(CB125=1,0,1/(CB125*(CB125-1))))</f>
        <v/>
      </c>
      <c r="CD125" s="136">
        <f>IF(R125&gt;0,(BV125^2),"")</f>
        <v/>
      </c>
      <c r="CE125" s="136">
        <f>IF(X125&gt;0,(BW125^2),"")</f>
        <v/>
      </c>
      <c r="CF125" s="136">
        <f>IF(AB125&gt;0,(BX125^2),"")</f>
        <v/>
      </c>
      <c r="CG125" s="136">
        <f>IF(AF125&gt;0,(BY125^2),"")</f>
        <v/>
      </c>
      <c r="CH125" s="136">
        <f>IF(AJ125&gt;0,(BZ125^2),"")</f>
        <v/>
      </c>
      <c r="CI125" s="136">
        <f>IF(AN125&gt;0,(CA125^2),"")</f>
        <v/>
      </c>
    </row>
    <row r="126" ht="18.75" customHeight="1" s="444">
      <c r="A126" s="340" t="inlineStr">
        <is>
          <t>/</t>
        </is>
      </c>
      <c r="B126" s="65">
        <f>B125+1</f>
        <v/>
      </c>
      <c r="C126" s="78" t="n"/>
      <c r="D126" s="83" t="n"/>
      <c r="E126" s="83" t="n"/>
      <c r="F126" s="329" t="n"/>
      <c r="G126" s="71" t="n">
        <v>40725</v>
      </c>
      <c r="H126" s="77" t="inlineStr">
        <is>
          <t>Compito</t>
        </is>
      </c>
      <c r="I126" s="77">
        <f>IF((V126-R126)&gt;3,"SI","")</f>
        <v/>
      </c>
      <c r="J126" s="77">
        <f>IF((U126-R126)&gt;3,"SI","")</f>
        <v/>
      </c>
      <c r="K126" s="77" t="n"/>
      <c r="L126" s="77" t="n"/>
      <c r="M126" s="137">
        <f>IF(R126&gt;0,(SQRT(CC126*(SUM(CD126:CI126)))),"")</f>
        <v/>
      </c>
      <c r="N126" s="4">
        <f>IF(T126&gt;0,(MAX(T126,Z126,AD126,AH126,AL126,AP126))+SQRT(1.2^2+1^2),"")</f>
        <v/>
      </c>
      <c r="O126" s="3">
        <f>IF(R126="",0,10*LOG10(SUM(BP126:BU126)/(COUNT(R126,X126,AB126,AF126,AJ126,AN126))))</f>
        <v/>
      </c>
      <c r="P126" s="5">
        <f>IF(AND(Y126="",AC126="",AG126="",AK126="",AO126=""),S126,AVERAGE(S126,Y126,AC126,AG126,AK126,AO126)+STDEV(S126,Y126,AC126,AG126,AK126,AO126))</f>
        <v/>
      </c>
      <c r="Q126" s="14" t="n"/>
      <c r="R126" s="11" t="n"/>
      <c r="S126" s="12" t="n"/>
      <c r="T126" s="13" t="n"/>
      <c r="U126" s="79" t="n"/>
      <c r="V126" s="79" t="n"/>
      <c r="W126" s="10" t="n"/>
      <c r="X126" s="11" t="n"/>
      <c r="Y126" s="12" t="n"/>
      <c r="Z126" s="13" t="n"/>
      <c r="AA126" s="10" t="n"/>
      <c r="AB126" s="11" t="n"/>
      <c r="AC126" s="12" t="n"/>
      <c r="AD126" s="13" t="n"/>
      <c r="AE126" s="14" t="n"/>
      <c r="AF126" s="11" t="n"/>
      <c r="AG126" s="12" t="n"/>
      <c r="AH126" s="13" t="n"/>
      <c r="AI126" s="10" t="n"/>
      <c r="AJ126" s="11" t="n"/>
      <c r="AK126" s="12" t="n"/>
      <c r="AL126" s="13" t="n"/>
      <c r="AM126" s="10" t="n"/>
      <c r="AN126" s="11" t="n"/>
      <c r="AO126" s="12" t="n"/>
      <c r="AP126" s="13" t="n"/>
      <c r="AQ126" s="6">
        <f>IF(AND((O126)&lt;85,N126&lt;137),"NO","SI")</f>
        <v/>
      </c>
      <c r="AR126" s="7">
        <f>IF((480*(10^(7.95-(O126/10))))&lt;480,480*(10^(7.95-(O126/10))),480)</f>
        <v/>
      </c>
      <c r="AS126" s="8">
        <f>IF((480*(10^(8.45-(O126/10))))&lt;480,480*(10^(8.45-(O126/10))),480)</f>
        <v/>
      </c>
      <c r="AT126" s="9">
        <f>IF((480*(10^(8.65-(O126/10))))&lt;480,480*(10^(8.65-(O126/10))),480)</f>
        <v/>
      </c>
      <c r="AU126" s="111">
        <f>IF(O126&lt;80,"0",IF((P126-O126)&lt;=2,('DPI art.191'!$G$3-(('DPI art.191'!$F$3-'DPI art.191'!$G$3)/4)*(P126-O126-2)),('DPI art.191'!$G$3-(('DPI art.191'!$G$3-'DPI art.191'!$H$3)/8)*(P126-O126-2))))</f>
        <v/>
      </c>
      <c r="AV126" s="24">
        <f>O126-AU126</f>
        <v/>
      </c>
      <c r="AW126" s="24">
        <f>IF(N126&lt;135,N126,N126-'DPI art.191'!$I$3)</f>
        <v/>
      </c>
      <c r="AX126" s="111">
        <f>IF(I126&lt;80,"0",IF((J126-I126)&lt;=2,('DPI art.191'!$G$7-(('DPI art.191'!$F$7-'DPI art.191'!$G$7)/4)*(I126-J126-2)),('DPI art.191'!$G$7-(('DPI art.191'!$G$7-'DPI art.191'!$H$7)/8)*(J126-I126-2))))</f>
        <v/>
      </c>
      <c r="AY126" s="24">
        <f>I126-AX126</f>
        <v/>
      </c>
      <c r="AZ126" s="24">
        <f>IF(H126&lt;135,H126,H126-'DPI art.191'!$I$7)</f>
        <v/>
      </c>
      <c r="BA126" s="111">
        <f>IF(O126&lt;80,"0",IF((P126-O126)&lt;=2,('DPI art.191'!$G$5-(('DPI art.191'!$F$5-'DPI art.191'!$G$5)/4)*(P126-O126-2)),('DPI art.191'!$G$5-(('DPI art.191'!$G$5-'DPI art.191'!$H$5)/8)*(P126-O126-2))))</f>
        <v/>
      </c>
      <c r="BB126" s="24">
        <f>R126-BA126</f>
        <v/>
      </c>
      <c r="BC126" s="24">
        <f>IF(N126&lt;135,N126,N126-'DPI art.191'!$I$5)</f>
        <v/>
      </c>
      <c r="BD126" s="111">
        <f>IF(O126&lt;80,"0",IF((P126-O126)&lt;=2,('DPI art.191'!$G$7-(('DPI art.191'!$F$7-'DPI art.191'!$G$7)/4)*(O126-P126-2)),('DPI art.191'!$G$7-(('DPI art.191'!$G$7-'DPI art.191'!$H$7)/8)*(P126-O126-2))))</f>
        <v/>
      </c>
      <c r="BE126" s="24">
        <f>O126-BD126</f>
        <v/>
      </c>
      <c r="BF126" s="24">
        <f>IF(N126&lt;135,N126,N126-'DPI art.191'!$I$7)</f>
        <v/>
      </c>
      <c r="BG126" s="111">
        <f>IF(AA126&lt;80,"0",IF((AB126-AA126)&lt;=2,('DPI art.191'!$G$3-(('DPI art.191'!$F$3-'DPI art.191'!$G$3)/4)*(AB126-AA126-2)),('DPI art.191'!$G$3-(('DPI art.191'!$G$3-'DPI art.191'!$H$3)/8)*(AB126-AA126-2))))</f>
        <v/>
      </c>
      <c r="BH126" s="24">
        <f>AA126-BG126</f>
        <v/>
      </c>
      <c r="BI126" s="24">
        <f>IF(Z126&lt;135,Z126,Z126-'DPI art.191'!$I$3)</f>
        <v/>
      </c>
      <c r="BJ126" s="111">
        <f>IF(U126&lt;80,"0",IF((V126-U126)&lt;=2,('DPI art.191'!$G$7-(('DPI art.191'!$F$7-'DPI art.191'!$G$7)/4)*(U126-V126-2)),('DPI art.191'!$G$7-(('DPI art.191'!$G$7-'DPI art.191'!$H$7)/8)*(V126-U126-2))))</f>
        <v/>
      </c>
      <c r="BK126" s="24">
        <f>U126-BJ126</f>
        <v/>
      </c>
      <c r="BL126" s="24">
        <f>IF(T126&lt;135,T126,T126-'DPI art.191'!$I$7)</f>
        <v/>
      </c>
      <c r="BM126" s="111">
        <f>IF(AA126&lt;80,"0",IF((AB126-AA126)&lt;=2,('DPI art.191'!$G$5-(('DPI art.191'!$F$5-'DPI art.191'!$G$5)/4)*(AB126-AA126-2)),('DPI art.191'!$G$5-(('DPI art.191'!$G$5-'DPI art.191'!$H$5)/8)*(AB126-AA126-2))))</f>
        <v/>
      </c>
      <c r="BN126" s="24">
        <f>AD126-BM126</f>
        <v/>
      </c>
      <c r="BO126" s="24">
        <f>IF(Z126&lt;135,Z126,Z126-'DPI art.191'!$I$5)</f>
        <v/>
      </c>
      <c r="BP126" s="108">
        <f>10^(0.1*R126)</f>
        <v/>
      </c>
      <c r="BQ126" s="108">
        <f>10^(0.1*X126)</f>
        <v/>
      </c>
      <c r="BR126" s="108">
        <f>10^(0.1*AB126)</f>
        <v/>
      </c>
      <c r="BS126" s="108">
        <f>10^(0.1*AF126)</f>
        <v/>
      </c>
      <c r="BT126" s="108">
        <f>10^(0.1*AJ126)</f>
        <v/>
      </c>
      <c r="BU126" s="108">
        <f>10^(0.1*AN126)</f>
        <v/>
      </c>
      <c r="BV126" s="106">
        <f>IF(R126&gt;0,(O126-R126),"")</f>
        <v/>
      </c>
      <c r="BW126" s="106">
        <f>IF(X126&gt;0,(O126-X126),"")</f>
        <v/>
      </c>
      <c r="BX126" s="106">
        <f>IF(AB126&gt;0,(O126-AB126),"")</f>
        <v/>
      </c>
      <c r="BY126" s="106">
        <f>IF(AF126&gt;0,(O126-AF126),"")</f>
        <v/>
      </c>
      <c r="BZ126" s="106">
        <f>IF(AJ126&gt;0,(O126-AJ126),"")</f>
        <v/>
      </c>
      <c r="CA126" s="106">
        <f>IF(AN126&gt;0,(O126-AN126),"")</f>
        <v/>
      </c>
      <c r="CB126" s="106">
        <f>COUNT(BV126:CA126)</f>
        <v/>
      </c>
      <c r="CC126" s="464">
        <f>IF(CB126=0,0,IF(CB126=1,0,1/(CB126*(CB126-1))))</f>
        <v/>
      </c>
      <c r="CD126" s="136">
        <f>IF(R126&gt;0,(BV126^2),"")</f>
        <v/>
      </c>
      <c r="CE126" s="136">
        <f>IF(X126&gt;0,(BW126^2),"")</f>
        <v/>
      </c>
      <c r="CF126" s="136">
        <f>IF(AB126&gt;0,(BX126^2),"")</f>
        <v/>
      </c>
      <c r="CG126" s="136">
        <f>IF(AF126&gt;0,(BY126^2),"")</f>
        <v/>
      </c>
      <c r="CH126" s="136">
        <f>IF(AJ126&gt;0,(BZ126^2),"")</f>
        <v/>
      </c>
      <c r="CI126" s="136">
        <f>IF(AN126&gt;0,(CA126^2),"")</f>
        <v/>
      </c>
    </row>
    <row r="127" ht="18.75" customHeight="1" s="444">
      <c r="A127" s="340" t="inlineStr">
        <is>
          <t>/</t>
        </is>
      </c>
      <c r="B127" s="65">
        <f>B126+1</f>
        <v/>
      </c>
      <c r="C127" s="78" t="n"/>
      <c r="D127" s="83" t="n"/>
      <c r="E127" s="83" t="n"/>
      <c r="F127" s="329" t="n"/>
      <c r="G127" s="71" t="n">
        <v>40725</v>
      </c>
      <c r="H127" s="77" t="inlineStr">
        <is>
          <t>Compito</t>
        </is>
      </c>
      <c r="I127" s="77">
        <f>IF((V127-R127)&gt;3,"SI","")</f>
        <v/>
      </c>
      <c r="J127" s="77">
        <f>IF((U127-R127)&gt;3,"SI","")</f>
        <v/>
      </c>
      <c r="K127" s="77" t="n"/>
      <c r="L127" s="77" t="n"/>
      <c r="M127" s="137">
        <f>IF(R127&gt;0,(SQRT(CC127*(SUM(CD127:CI127)))),"")</f>
        <v/>
      </c>
      <c r="N127" s="4">
        <f>IF(T127&gt;0,(MAX(T127,Z127,AD127,AH127,AL127,AP127))+SQRT(1.2^2+1^2),"")</f>
        <v/>
      </c>
      <c r="O127" s="3">
        <f>IF(R127="",0,10*LOG10(SUM(BP127:BU127)/(COUNT(R127,X127,AB127,AF127,AJ127,AN127))))</f>
        <v/>
      </c>
      <c r="P127" s="5">
        <f>IF(AND(Y127="",AC127="",AG127="",AK127="",AO127=""),S127,AVERAGE(S127,Y127,AC127,AG127,AK127,AO127)+STDEV(S127,Y127,AC127,AG127,AK127,AO127))</f>
        <v/>
      </c>
      <c r="Q127" s="14" t="n"/>
      <c r="R127" s="11" t="n"/>
      <c r="S127" s="12" t="n"/>
      <c r="T127" s="13" t="n"/>
      <c r="U127" s="79" t="n"/>
      <c r="V127" s="79" t="n"/>
      <c r="W127" s="10" t="n"/>
      <c r="X127" s="11" t="n"/>
      <c r="Y127" s="12" t="n"/>
      <c r="Z127" s="13" t="n"/>
      <c r="AA127" s="10" t="n"/>
      <c r="AB127" s="11" t="n"/>
      <c r="AC127" s="12" t="n"/>
      <c r="AD127" s="13" t="n"/>
      <c r="AE127" s="14" t="n"/>
      <c r="AF127" s="11" t="n"/>
      <c r="AG127" s="12" t="n"/>
      <c r="AH127" s="13" t="n"/>
      <c r="AI127" s="10" t="n"/>
      <c r="AJ127" s="11" t="n"/>
      <c r="AK127" s="12" t="n"/>
      <c r="AL127" s="13" t="n"/>
      <c r="AM127" s="10" t="n"/>
      <c r="AN127" s="11" t="n"/>
      <c r="AO127" s="12" t="n"/>
      <c r="AP127" s="13" t="n"/>
      <c r="AQ127" s="6">
        <f>IF(AND((O127)&lt;85,N127&lt;137),"NO","SI")</f>
        <v/>
      </c>
      <c r="AR127" s="7">
        <f>IF((480*(10^(7.95-(O127/10))))&lt;480,480*(10^(7.95-(O127/10))),480)</f>
        <v/>
      </c>
      <c r="AS127" s="8">
        <f>IF((480*(10^(8.45-(O127/10))))&lt;480,480*(10^(8.45-(O127/10))),480)</f>
        <v/>
      </c>
      <c r="AT127" s="9">
        <f>IF((480*(10^(8.65-(O127/10))))&lt;480,480*(10^(8.65-(O127/10))),480)</f>
        <v/>
      </c>
      <c r="AU127" s="111">
        <f>IF(O127&lt;80,"0",IF((P127-O127)&lt;=2,('DPI art.191'!$G$3-(('DPI art.191'!$F$3-'DPI art.191'!$G$3)/4)*(P127-O127-2)),('DPI art.191'!$G$3-(('DPI art.191'!$G$3-'DPI art.191'!$H$3)/8)*(P127-O127-2))))</f>
        <v/>
      </c>
      <c r="AV127" s="24">
        <f>O127-AU127</f>
        <v/>
      </c>
      <c r="AW127" s="24">
        <f>IF(N127&lt;135,N127,N127-'DPI art.191'!$I$3)</f>
        <v/>
      </c>
      <c r="AX127" s="111">
        <f>IF(I127&lt;80,"0",IF((J127-I127)&lt;=2,('DPI art.191'!$G$7-(('DPI art.191'!$F$7-'DPI art.191'!$G$7)/4)*(I127-J127-2)),('DPI art.191'!$G$7-(('DPI art.191'!$G$7-'DPI art.191'!$H$7)/8)*(J127-I127-2))))</f>
        <v/>
      </c>
      <c r="AY127" s="24">
        <f>I127-AX127</f>
        <v/>
      </c>
      <c r="AZ127" s="24">
        <f>IF(H127&lt;135,H127,H127-'DPI art.191'!$I$7)</f>
        <v/>
      </c>
      <c r="BA127" s="111">
        <f>IF(O127&lt;80,"0",IF((P127-O127)&lt;=2,('DPI art.191'!$G$5-(('DPI art.191'!$F$5-'DPI art.191'!$G$5)/4)*(P127-O127-2)),('DPI art.191'!$G$5-(('DPI art.191'!$G$5-'DPI art.191'!$H$5)/8)*(P127-O127-2))))</f>
        <v/>
      </c>
      <c r="BB127" s="24">
        <f>R127-BA127</f>
        <v/>
      </c>
      <c r="BC127" s="24">
        <f>IF(N127&lt;135,N127,N127-'DPI art.191'!$I$5)</f>
        <v/>
      </c>
      <c r="BD127" s="111">
        <f>IF(O127&lt;80,"0",IF((P127-O127)&lt;=2,('DPI art.191'!$G$7-(('DPI art.191'!$F$7-'DPI art.191'!$G$7)/4)*(O127-P127-2)),('DPI art.191'!$G$7-(('DPI art.191'!$G$7-'DPI art.191'!$H$7)/8)*(P127-O127-2))))</f>
        <v/>
      </c>
      <c r="BE127" s="24">
        <f>O127-BD127</f>
        <v/>
      </c>
      <c r="BF127" s="24">
        <f>IF(N127&lt;135,N127,N127-'DPI art.191'!$I$7)</f>
        <v/>
      </c>
      <c r="BG127" s="111">
        <f>IF(AA127&lt;80,"0",IF((AB127-AA127)&lt;=2,('DPI art.191'!$G$3-(('DPI art.191'!$F$3-'DPI art.191'!$G$3)/4)*(AB127-AA127-2)),('DPI art.191'!$G$3-(('DPI art.191'!$G$3-'DPI art.191'!$H$3)/8)*(AB127-AA127-2))))</f>
        <v/>
      </c>
      <c r="BH127" s="24">
        <f>AA127-BG127</f>
        <v/>
      </c>
      <c r="BI127" s="24">
        <f>IF(Z127&lt;135,Z127,Z127-'DPI art.191'!$I$3)</f>
        <v/>
      </c>
      <c r="BJ127" s="111">
        <f>IF(U127&lt;80,"0",IF((V127-U127)&lt;=2,('DPI art.191'!$G$7-(('DPI art.191'!$F$7-'DPI art.191'!$G$7)/4)*(U127-V127-2)),('DPI art.191'!$G$7-(('DPI art.191'!$G$7-'DPI art.191'!$H$7)/8)*(V127-U127-2))))</f>
        <v/>
      </c>
      <c r="BK127" s="24">
        <f>U127-BJ127</f>
        <v/>
      </c>
      <c r="BL127" s="24">
        <f>IF(T127&lt;135,T127,T127-'DPI art.191'!$I$7)</f>
        <v/>
      </c>
      <c r="BM127" s="111">
        <f>IF(AA127&lt;80,"0",IF((AB127-AA127)&lt;=2,('DPI art.191'!$G$5-(('DPI art.191'!$F$5-'DPI art.191'!$G$5)/4)*(AB127-AA127-2)),('DPI art.191'!$G$5-(('DPI art.191'!$G$5-'DPI art.191'!$H$5)/8)*(AB127-AA127-2))))</f>
        <v/>
      </c>
      <c r="BN127" s="24">
        <f>AD127-BM127</f>
        <v/>
      </c>
      <c r="BO127" s="24">
        <f>IF(Z127&lt;135,Z127,Z127-'DPI art.191'!$I$5)</f>
        <v/>
      </c>
      <c r="BP127" s="108">
        <f>10^(0.1*R127)</f>
        <v/>
      </c>
      <c r="BQ127" s="108">
        <f>10^(0.1*X127)</f>
        <v/>
      </c>
      <c r="BR127" s="108">
        <f>10^(0.1*AB127)</f>
        <v/>
      </c>
      <c r="BS127" s="108">
        <f>10^(0.1*AF127)</f>
        <v/>
      </c>
      <c r="BT127" s="108">
        <f>10^(0.1*AJ127)</f>
        <v/>
      </c>
      <c r="BU127" s="108">
        <f>10^(0.1*AN127)</f>
        <v/>
      </c>
      <c r="BV127" s="106">
        <f>IF(R127&gt;0,(O127-R127),"")</f>
        <v/>
      </c>
      <c r="BW127" s="106">
        <f>IF(X127&gt;0,(O127-X127),"")</f>
        <v/>
      </c>
      <c r="BX127" s="106">
        <f>IF(AB127&gt;0,(O127-AB127),"")</f>
        <v/>
      </c>
      <c r="BY127" s="106">
        <f>IF(AF127&gt;0,(O127-AF127),"")</f>
        <v/>
      </c>
      <c r="BZ127" s="106">
        <f>IF(AJ127&gt;0,(O127-AJ127),"")</f>
        <v/>
      </c>
      <c r="CA127" s="106">
        <f>IF(AN127&gt;0,(O127-AN127),"")</f>
        <v/>
      </c>
      <c r="CB127" s="106">
        <f>COUNT(BV127:CA127)</f>
        <v/>
      </c>
      <c r="CC127" s="464">
        <f>IF(CB127=0,0,IF(CB127=1,0,1/(CB127*(CB127-1))))</f>
        <v/>
      </c>
      <c r="CD127" s="136">
        <f>IF(R127&gt;0,(BV127^2),"")</f>
        <v/>
      </c>
      <c r="CE127" s="136">
        <f>IF(X127&gt;0,(BW127^2),"")</f>
        <v/>
      </c>
      <c r="CF127" s="136">
        <f>IF(AB127&gt;0,(BX127^2),"")</f>
        <v/>
      </c>
      <c r="CG127" s="136">
        <f>IF(AF127&gt;0,(BY127^2),"")</f>
        <v/>
      </c>
      <c r="CH127" s="136">
        <f>IF(AJ127&gt;0,(BZ127^2),"")</f>
        <v/>
      </c>
      <c r="CI127" s="136">
        <f>IF(AN127&gt;0,(CA127^2),"")</f>
        <v/>
      </c>
    </row>
    <row r="128" ht="18.75" customHeight="1" s="444">
      <c r="A128" s="340" t="inlineStr">
        <is>
          <t>/</t>
        </is>
      </c>
      <c r="B128" s="65">
        <f>B127+1</f>
        <v/>
      </c>
      <c r="C128" s="78" t="n"/>
      <c r="D128" s="83" t="n"/>
      <c r="E128" s="83" t="n"/>
      <c r="F128" s="329" t="n"/>
      <c r="G128" s="71" t="n">
        <v>40725</v>
      </c>
      <c r="H128" s="77" t="inlineStr">
        <is>
          <t>Compito</t>
        </is>
      </c>
      <c r="I128" s="77">
        <f>IF((V128-R128)&gt;3,"SI","")</f>
        <v/>
      </c>
      <c r="J128" s="77">
        <f>IF((U128-R128)&gt;3,"SI","")</f>
        <v/>
      </c>
      <c r="K128" s="77" t="n"/>
      <c r="L128" s="77" t="n"/>
      <c r="M128" s="137">
        <f>IF(R128&gt;0,(SQRT(CC128*(SUM(CD128:CI128)))),"")</f>
        <v/>
      </c>
      <c r="N128" s="4">
        <f>IF(T128&gt;0,(MAX(T128,Z128,AD128,AH128,AL128,AP128))+SQRT(1.2^2+1^2),"")</f>
        <v/>
      </c>
      <c r="O128" s="3">
        <f>IF(R128="",0,10*LOG10(SUM(BP128:BU128)/(COUNT(R128,X128,AB128,AF128,AJ128,AN128))))</f>
        <v/>
      </c>
      <c r="P128" s="5">
        <f>IF(AND(Y128="",AC128="",AG128="",AK128="",AO128=""),S128,AVERAGE(S128,Y128,AC128,AG128,AK128,AO128)+STDEV(S128,Y128,AC128,AG128,AK128,AO128))</f>
        <v/>
      </c>
      <c r="Q128" s="14" t="n"/>
      <c r="R128" s="11" t="n"/>
      <c r="S128" s="12" t="n"/>
      <c r="T128" s="13" t="n"/>
      <c r="U128" s="79" t="n"/>
      <c r="V128" s="79" t="n"/>
      <c r="W128" s="10" t="n"/>
      <c r="X128" s="11" t="n"/>
      <c r="Y128" s="12" t="n"/>
      <c r="Z128" s="13" t="n"/>
      <c r="AA128" s="10" t="n"/>
      <c r="AB128" s="11" t="n"/>
      <c r="AC128" s="12" t="n"/>
      <c r="AD128" s="13" t="n"/>
      <c r="AE128" s="14" t="n"/>
      <c r="AF128" s="11" t="n"/>
      <c r="AG128" s="12" t="n"/>
      <c r="AH128" s="13" t="n"/>
      <c r="AI128" s="10" t="n"/>
      <c r="AJ128" s="11" t="n"/>
      <c r="AK128" s="12" t="n"/>
      <c r="AL128" s="13" t="n"/>
      <c r="AM128" s="10" t="n"/>
      <c r="AN128" s="11" t="n"/>
      <c r="AO128" s="12" t="n"/>
      <c r="AP128" s="13" t="n"/>
      <c r="AQ128" s="6">
        <f>IF(AND((O128)&lt;85,N128&lt;137),"NO","SI")</f>
        <v/>
      </c>
      <c r="AR128" s="7">
        <f>IF((480*(10^(7.95-(O128/10))))&lt;480,480*(10^(7.95-(O128/10))),480)</f>
        <v/>
      </c>
      <c r="AS128" s="8">
        <f>IF((480*(10^(8.45-(O128/10))))&lt;480,480*(10^(8.45-(O128/10))),480)</f>
        <v/>
      </c>
      <c r="AT128" s="9">
        <f>IF((480*(10^(8.65-(O128/10))))&lt;480,480*(10^(8.65-(O128/10))),480)</f>
        <v/>
      </c>
      <c r="AU128" s="111">
        <f>IF(O128&lt;80,"0",IF((P128-O128)&lt;=2,('DPI art.191'!$G$3-(('DPI art.191'!$F$3-'DPI art.191'!$G$3)/4)*(P128-O128-2)),('DPI art.191'!$G$3-(('DPI art.191'!$G$3-'DPI art.191'!$H$3)/8)*(P128-O128-2))))</f>
        <v/>
      </c>
      <c r="AV128" s="24">
        <f>O128-AU128</f>
        <v/>
      </c>
      <c r="AW128" s="24">
        <f>IF(N128&lt;135,N128,N128-'DPI art.191'!$I$3)</f>
        <v/>
      </c>
      <c r="AX128" s="111">
        <f>IF(I128&lt;80,"0",IF((J128-I128)&lt;=2,('DPI art.191'!$G$7-(('DPI art.191'!$F$7-'DPI art.191'!$G$7)/4)*(I128-J128-2)),('DPI art.191'!$G$7-(('DPI art.191'!$G$7-'DPI art.191'!$H$7)/8)*(J128-I128-2))))</f>
        <v/>
      </c>
      <c r="AY128" s="24">
        <f>I128-AX128</f>
        <v/>
      </c>
      <c r="AZ128" s="24">
        <f>IF(H128&lt;135,H128,H128-'DPI art.191'!$I$7)</f>
        <v/>
      </c>
      <c r="BA128" s="111">
        <f>IF(O128&lt;80,"0",IF((P128-O128)&lt;=2,('DPI art.191'!$G$5-(('DPI art.191'!$F$5-'DPI art.191'!$G$5)/4)*(P128-O128-2)),('DPI art.191'!$G$5-(('DPI art.191'!$G$5-'DPI art.191'!$H$5)/8)*(P128-O128-2))))</f>
        <v/>
      </c>
      <c r="BB128" s="24">
        <f>R128-BA128</f>
        <v/>
      </c>
      <c r="BC128" s="24">
        <f>IF(N128&lt;135,N128,N128-'DPI art.191'!$I$5)</f>
        <v/>
      </c>
      <c r="BD128" s="111">
        <f>IF(O128&lt;80,"0",IF((P128-O128)&lt;=2,('DPI art.191'!$G$7-(('DPI art.191'!$F$7-'DPI art.191'!$G$7)/4)*(O128-P128-2)),('DPI art.191'!$G$7-(('DPI art.191'!$G$7-'DPI art.191'!$H$7)/8)*(P128-O128-2))))</f>
        <v/>
      </c>
      <c r="BE128" s="24">
        <f>O128-BD128</f>
        <v/>
      </c>
      <c r="BF128" s="24">
        <f>IF(N128&lt;135,N128,N128-'DPI art.191'!$I$7)</f>
        <v/>
      </c>
      <c r="BG128" s="111">
        <f>IF(AA128&lt;80,"0",IF((AB128-AA128)&lt;=2,('DPI art.191'!$G$3-(('DPI art.191'!$F$3-'DPI art.191'!$G$3)/4)*(AB128-AA128-2)),('DPI art.191'!$G$3-(('DPI art.191'!$G$3-'DPI art.191'!$H$3)/8)*(AB128-AA128-2))))</f>
        <v/>
      </c>
      <c r="BH128" s="24">
        <f>AA128-BG128</f>
        <v/>
      </c>
      <c r="BI128" s="24">
        <f>IF(Z128&lt;135,Z128,Z128-'DPI art.191'!$I$3)</f>
        <v/>
      </c>
      <c r="BJ128" s="111">
        <f>IF(U128&lt;80,"0",IF((V128-U128)&lt;=2,('DPI art.191'!$G$7-(('DPI art.191'!$F$7-'DPI art.191'!$G$7)/4)*(U128-V128-2)),('DPI art.191'!$G$7-(('DPI art.191'!$G$7-'DPI art.191'!$H$7)/8)*(V128-U128-2))))</f>
        <v/>
      </c>
      <c r="BK128" s="24">
        <f>U128-BJ128</f>
        <v/>
      </c>
      <c r="BL128" s="24">
        <f>IF(T128&lt;135,T128,T128-'DPI art.191'!$I$7)</f>
        <v/>
      </c>
      <c r="BM128" s="111">
        <f>IF(AA128&lt;80,"0",IF((AB128-AA128)&lt;=2,('DPI art.191'!$G$5-(('DPI art.191'!$F$5-'DPI art.191'!$G$5)/4)*(AB128-AA128-2)),('DPI art.191'!$G$5-(('DPI art.191'!$G$5-'DPI art.191'!$H$5)/8)*(AB128-AA128-2))))</f>
        <v/>
      </c>
      <c r="BN128" s="24">
        <f>AD128-BM128</f>
        <v/>
      </c>
      <c r="BO128" s="24">
        <f>IF(Z128&lt;135,Z128,Z128-'DPI art.191'!$I$5)</f>
        <v/>
      </c>
      <c r="BP128" s="108">
        <f>10^(0.1*R128)</f>
        <v/>
      </c>
      <c r="BQ128" s="108">
        <f>10^(0.1*X128)</f>
        <v/>
      </c>
      <c r="BR128" s="108">
        <f>10^(0.1*AB128)</f>
        <v/>
      </c>
      <c r="BS128" s="108">
        <f>10^(0.1*AF128)</f>
        <v/>
      </c>
      <c r="BT128" s="108">
        <f>10^(0.1*AJ128)</f>
        <v/>
      </c>
      <c r="BU128" s="108">
        <f>10^(0.1*AN128)</f>
        <v/>
      </c>
      <c r="BV128" s="106">
        <f>IF(R128&gt;0,(O128-R128),"")</f>
        <v/>
      </c>
      <c r="BW128" s="106">
        <f>IF(X128&gt;0,(O128-X128),"")</f>
        <v/>
      </c>
      <c r="BX128" s="106">
        <f>IF(AB128&gt;0,(O128-AB128),"")</f>
        <v/>
      </c>
      <c r="BY128" s="106">
        <f>IF(AF128&gt;0,(O128-AF128),"")</f>
        <v/>
      </c>
      <c r="BZ128" s="106">
        <f>IF(AJ128&gt;0,(O128-AJ128),"")</f>
        <v/>
      </c>
      <c r="CA128" s="106">
        <f>IF(AN128&gt;0,(O128-AN128),"")</f>
        <v/>
      </c>
      <c r="CB128" s="106">
        <f>COUNT(BV128:CA128)</f>
        <v/>
      </c>
      <c r="CC128" s="464">
        <f>IF(CB128=0,0,IF(CB128=1,0,1/(CB128*(CB128-1))))</f>
        <v/>
      </c>
      <c r="CD128" s="136">
        <f>IF(R128&gt;0,(BV128^2),"")</f>
        <v/>
      </c>
      <c r="CE128" s="136">
        <f>IF(X128&gt;0,(BW128^2),"")</f>
        <v/>
      </c>
      <c r="CF128" s="136">
        <f>IF(AB128&gt;0,(BX128^2),"")</f>
        <v/>
      </c>
      <c r="CG128" s="136">
        <f>IF(AF128&gt;0,(BY128^2),"")</f>
        <v/>
      </c>
      <c r="CH128" s="136">
        <f>IF(AJ128&gt;0,(BZ128^2),"")</f>
        <v/>
      </c>
      <c r="CI128" s="136">
        <f>IF(AN128&gt;0,(CA128^2),"")</f>
        <v/>
      </c>
    </row>
    <row r="129" ht="18.75" customHeight="1" s="444">
      <c r="A129" s="340" t="inlineStr">
        <is>
          <t>/</t>
        </is>
      </c>
      <c r="B129" s="65">
        <f>B128+1</f>
        <v/>
      </c>
      <c r="C129" s="78" t="n"/>
      <c r="D129" s="83" t="n"/>
      <c r="E129" s="83" t="n"/>
      <c r="F129" s="329" t="n"/>
      <c r="G129" s="71" t="n">
        <v>40725</v>
      </c>
      <c r="H129" s="77" t="inlineStr">
        <is>
          <t>Compito</t>
        </is>
      </c>
      <c r="I129" s="77">
        <f>IF((V129-R129)&gt;3,"SI","")</f>
        <v/>
      </c>
      <c r="J129" s="77">
        <f>IF((U129-R129)&gt;3,"SI","")</f>
        <v/>
      </c>
      <c r="K129" s="77" t="n"/>
      <c r="L129" s="77" t="n"/>
      <c r="M129" s="137">
        <f>IF(R129&gt;0,(SQRT(CC129*(SUM(CD129:CI129)))),"")</f>
        <v/>
      </c>
      <c r="N129" s="4">
        <f>IF(T129&gt;0,(MAX(T129,Z129,AD129,AH129,AL129,AP129))+SQRT(1.2^2+1^2),"")</f>
        <v/>
      </c>
      <c r="O129" s="3">
        <f>IF(R129="",0,10*LOG10(SUM(BP129:BU129)/(COUNT(R129,X129,AB129,AF129,AJ129,AN129))))</f>
        <v/>
      </c>
      <c r="P129" s="5">
        <f>IF(AND(Y129="",AC129="",AG129="",AK129="",AO129=""),S129,AVERAGE(S129,Y129,AC129,AG129,AK129,AO129)+STDEV(S129,Y129,AC129,AG129,AK129,AO129))</f>
        <v/>
      </c>
      <c r="Q129" s="14" t="n"/>
      <c r="R129" s="11" t="n"/>
      <c r="S129" s="12" t="n"/>
      <c r="T129" s="13" t="n"/>
      <c r="U129" s="79" t="n"/>
      <c r="V129" s="79" t="n"/>
      <c r="W129" s="10" t="n"/>
      <c r="X129" s="11" t="n"/>
      <c r="Y129" s="12" t="n"/>
      <c r="Z129" s="13" t="n"/>
      <c r="AA129" s="10" t="n"/>
      <c r="AB129" s="11" t="n"/>
      <c r="AC129" s="12" t="n"/>
      <c r="AD129" s="13" t="n"/>
      <c r="AE129" s="14" t="n"/>
      <c r="AF129" s="11" t="n"/>
      <c r="AG129" s="12" t="n"/>
      <c r="AH129" s="13" t="n"/>
      <c r="AI129" s="10" t="n"/>
      <c r="AJ129" s="11" t="n"/>
      <c r="AK129" s="12" t="n"/>
      <c r="AL129" s="13" t="n"/>
      <c r="AM129" s="10" t="n"/>
      <c r="AN129" s="11" t="n"/>
      <c r="AO129" s="12" t="n"/>
      <c r="AP129" s="13" t="n"/>
      <c r="AQ129" s="6">
        <f>IF(AND((O129)&lt;85,N129&lt;137),"NO","SI")</f>
        <v/>
      </c>
      <c r="AR129" s="7">
        <f>IF((480*(10^(7.95-(O129/10))))&lt;480,480*(10^(7.95-(O129/10))),480)</f>
        <v/>
      </c>
      <c r="AS129" s="8">
        <f>IF((480*(10^(8.45-(O129/10))))&lt;480,480*(10^(8.45-(O129/10))),480)</f>
        <v/>
      </c>
      <c r="AT129" s="9">
        <f>IF((480*(10^(8.65-(O129/10))))&lt;480,480*(10^(8.65-(O129/10))),480)</f>
        <v/>
      </c>
      <c r="AU129" s="111">
        <f>IF(O129&lt;80,"0",IF((P129-O129)&lt;=2,('DPI art.191'!$G$3-(('DPI art.191'!$F$3-'DPI art.191'!$G$3)/4)*(P129-O129-2)),('DPI art.191'!$G$3-(('DPI art.191'!$G$3-'DPI art.191'!$H$3)/8)*(P129-O129-2))))</f>
        <v/>
      </c>
      <c r="AV129" s="24">
        <f>O129-AU129</f>
        <v/>
      </c>
      <c r="AW129" s="24">
        <f>IF(N129&lt;135,N129,N129-'DPI art.191'!$I$3)</f>
        <v/>
      </c>
      <c r="AX129" s="111">
        <f>IF(I129&lt;80,"0",IF((J129-I129)&lt;=2,('DPI art.191'!$G$7-(('DPI art.191'!$F$7-'DPI art.191'!$G$7)/4)*(I129-J129-2)),('DPI art.191'!$G$7-(('DPI art.191'!$G$7-'DPI art.191'!$H$7)/8)*(J129-I129-2))))</f>
        <v/>
      </c>
      <c r="AY129" s="24">
        <f>I129-AX129</f>
        <v/>
      </c>
      <c r="AZ129" s="24">
        <f>IF(H129&lt;135,H129,H129-'DPI art.191'!$I$7)</f>
        <v/>
      </c>
      <c r="BA129" s="111">
        <f>IF(O129&lt;80,"0",IF((P129-O129)&lt;=2,('DPI art.191'!$G$5-(('DPI art.191'!$F$5-'DPI art.191'!$G$5)/4)*(P129-O129-2)),('DPI art.191'!$G$5-(('DPI art.191'!$G$5-'DPI art.191'!$H$5)/8)*(P129-O129-2))))</f>
        <v/>
      </c>
      <c r="BB129" s="24">
        <f>R129-BA129</f>
        <v/>
      </c>
      <c r="BC129" s="24">
        <f>IF(N129&lt;135,N129,N129-'DPI art.191'!$I$5)</f>
        <v/>
      </c>
      <c r="BD129" s="111">
        <f>IF(O129&lt;80,"0",IF((P129-O129)&lt;=2,('DPI art.191'!$G$7-(('DPI art.191'!$F$7-'DPI art.191'!$G$7)/4)*(O129-P129-2)),('DPI art.191'!$G$7-(('DPI art.191'!$G$7-'DPI art.191'!$H$7)/8)*(P129-O129-2))))</f>
        <v/>
      </c>
      <c r="BE129" s="24">
        <f>O129-BD129</f>
        <v/>
      </c>
      <c r="BF129" s="24">
        <f>IF(N129&lt;135,N129,N129-'DPI art.191'!$I$7)</f>
        <v/>
      </c>
      <c r="BG129" s="111">
        <f>IF(AA129&lt;80,"0",IF((AB129-AA129)&lt;=2,('DPI art.191'!$G$3-(('DPI art.191'!$F$3-'DPI art.191'!$G$3)/4)*(AB129-AA129-2)),('DPI art.191'!$G$3-(('DPI art.191'!$G$3-'DPI art.191'!$H$3)/8)*(AB129-AA129-2))))</f>
        <v/>
      </c>
      <c r="BH129" s="24">
        <f>AA129-BG129</f>
        <v/>
      </c>
      <c r="BI129" s="24">
        <f>IF(Z129&lt;135,Z129,Z129-'DPI art.191'!$I$3)</f>
        <v/>
      </c>
      <c r="BJ129" s="111">
        <f>IF(U129&lt;80,"0",IF((V129-U129)&lt;=2,('DPI art.191'!$G$7-(('DPI art.191'!$F$7-'DPI art.191'!$G$7)/4)*(U129-V129-2)),('DPI art.191'!$G$7-(('DPI art.191'!$G$7-'DPI art.191'!$H$7)/8)*(V129-U129-2))))</f>
        <v/>
      </c>
      <c r="BK129" s="24">
        <f>U129-BJ129</f>
        <v/>
      </c>
      <c r="BL129" s="24">
        <f>IF(T129&lt;135,T129,T129-'DPI art.191'!$I$7)</f>
        <v/>
      </c>
      <c r="BM129" s="111">
        <f>IF(AA129&lt;80,"0",IF((AB129-AA129)&lt;=2,('DPI art.191'!$G$5-(('DPI art.191'!$F$5-'DPI art.191'!$G$5)/4)*(AB129-AA129-2)),('DPI art.191'!$G$5-(('DPI art.191'!$G$5-'DPI art.191'!$H$5)/8)*(AB129-AA129-2))))</f>
        <v/>
      </c>
      <c r="BN129" s="24">
        <f>AD129-BM129</f>
        <v/>
      </c>
      <c r="BO129" s="24">
        <f>IF(Z129&lt;135,Z129,Z129-'DPI art.191'!$I$5)</f>
        <v/>
      </c>
      <c r="BP129" s="108">
        <f>10^(0.1*R129)</f>
        <v/>
      </c>
      <c r="BQ129" s="108">
        <f>10^(0.1*X129)</f>
        <v/>
      </c>
      <c r="BR129" s="108">
        <f>10^(0.1*AB129)</f>
        <v/>
      </c>
      <c r="BS129" s="108">
        <f>10^(0.1*AF129)</f>
        <v/>
      </c>
      <c r="BT129" s="108">
        <f>10^(0.1*AJ129)</f>
        <v/>
      </c>
      <c r="BU129" s="108">
        <f>10^(0.1*AN129)</f>
        <v/>
      </c>
      <c r="BV129" s="106">
        <f>IF(R129&gt;0,(O129-R129),"")</f>
        <v/>
      </c>
      <c r="BW129" s="106">
        <f>IF(X129&gt;0,(O129-X129),"")</f>
        <v/>
      </c>
      <c r="BX129" s="106">
        <f>IF(AB129&gt;0,(O129-AB129),"")</f>
        <v/>
      </c>
      <c r="BY129" s="106">
        <f>IF(AF129&gt;0,(O129-AF129),"")</f>
        <v/>
      </c>
      <c r="BZ129" s="106">
        <f>IF(AJ129&gt;0,(O129-AJ129),"")</f>
        <v/>
      </c>
      <c r="CA129" s="106">
        <f>IF(AN129&gt;0,(O129-AN129),"")</f>
        <v/>
      </c>
      <c r="CB129" s="106">
        <f>COUNT(BV129:CA129)</f>
        <v/>
      </c>
      <c r="CC129" s="464">
        <f>IF(CB129=0,0,IF(CB129=1,0,1/(CB129*(CB129-1))))</f>
        <v/>
      </c>
      <c r="CD129" s="136">
        <f>IF(R129&gt;0,(BV129^2),"")</f>
        <v/>
      </c>
      <c r="CE129" s="136">
        <f>IF(X129&gt;0,(BW129^2),"")</f>
        <v/>
      </c>
      <c r="CF129" s="136">
        <f>IF(AB129&gt;0,(BX129^2),"")</f>
        <v/>
      </c>
      <c r="CG129" s="136">
        <f>IF(AF129&gt;0,(BY129^2),"")</f>
        <v/>
      </c>
      <c r="CH129" s="136">
        <f>IF(AJ129&gt;0,(BZ129^2),"")</f>
        <v/>
      </c>
      <c r="CI129" s="136">
        <f>IF(AN129&gt;0,(CA129^2),"")</f>
        <v/>
      </c>
    </row>
    <row r="130" ht="18.75" customHeight="1" s="444">
      <c r="A130" s="340" t="inlineStr">
        <is>
          <t>/</t>
        </is>
      </c>
      <c r="B130" s="65">
        <f>B129+1</f>
        <v/>
      </c>
      <c r="C130" s="78" t="n"/>
      <c r="D130" s="83" t="n"/>
      <c r="E130" s="83" t="n"/>
      <c r="F130" s="329" t="n"/>
      <c r="G130" s="71" t="n">
        <v>40725</v>
      </c>
      <c r="H130" s="77" t="inlineStr">
        <is>
          <t>Compito</t>
        </is>
      </c>
      <c r="I130" s="77">
        <f>IF((V130-R130)&gt;3,"SI","")</f>
        <v/>
      </c>
      <c r="J130" s="77">
        <f>IF((U130-R130)&gt;3,"SI","")</f>
        <v/>
      </c>
      <c r="K130" s="77" t="n"/>
      <c r="L130" s="77" t="n"/>
      <c r="M130" s="137">
        <f>IF(R130&gt;0,(SQRT(CC130*(SUM(CD130:CI130)))),"")</f>
        <v/>
      </c>
      <c r="N130" s="4">
        <f>IF(T130&gt;0,(MAX(T130,Z130,AD130,AH130,AL130,AP130))+SQRT(1.2^2+1^2),"")</f>
        <v/>
      </c>
      <c r="O130" s="3">
        <f>IF(R130="",0,10*LOG10(SUM(BP130:BU130)/(COUNT(R130,X130,AB130,AF130,AJ130,AN130))))</f>
        <v/>
      </c>
      <c r="P130" s="5">
        <f>IF(AND(Y130="",AC130="",AG130="",AK130="",AO130=""),S130,AVERAGE(S130,Y130,AC130,AG130,AK130,AO130)+STDEV(S130,Y130,AC130,AG130,AK130,AO130))</f>
        <v/>
      </c>
      <c r="Q130" s="14" t="n"/>
      <c r="R130" s="11" t="n"/>
      <c r="S130" s="12" t="n"/>
      <c r="T130" s="13" t="n"/>
      <c r="U130" s="79" t="n"/>
      <c r="V130" s="79" t="n"/>
      <c r="W130" s="10" t="n"/>
      <c r="X130" s="11" t="n"/>
      <c r="Y130" s="12" t="n"/>
      <c r="Z130" s="13" t="n"/>
      <c r="AA130" s="10" t="n"/>
      <c r="AB130" s="11" t="n"/>
      <c r="AC130" s="12" t="n"/>
      <c r="AD130" s="13" t="n"/>
      <c r="AE130" s="14" t="n"/>
      <c r="AF130" s="11" t="n"/>
      <c r="AG130" s="12" t="n"/>
      <c r="AH130" s="13" t="n"/>
      <c r="AI130" s="10" t="n"/>
      <c r="AJ130" s="11" t="n"/>
      <c r="AK130" s="12" t="n"/>
      <c r="AL130" s="13" t="n"/>
      <c r="AM130" s="10" t="n"/>
      <c r="AN130" s="11" t="n"/>
      <c r="AO130" s="12" t="n"/>
      <c r="AP130" s="13" t="n"/>
      <c r="AQ130" s="6">
        <f>IF(AND((O130)&lt;85,N130&lt;137),"NO","SI")</f>
        <v/>
      </c>
      <c r="AR130" s="7">
        <f>IF((480*(10^(7.95-(O130/10))))&lt;480,480*(10^(7.95-(O130/10))),480)</f>
        <v/>
      </c>
      <c r="AS130" s="8">
        <f>IF((480*(10^(8.45-(O130/10))))&lt;480,480*(10^(8.45-(O130/10))),480)</f>
        <v/>
      </c>
      <c r="AT130" s="9">
        <f>IF((480*(10^(8.65-(O130/10))))&lt;480,480*(10^(8.65-(O130/10))),480)</f>
        <v/>
      </c>
      <c r="AU130" s="111">
        <f>IF(O130&lt;80,"0",IF((P130-O130)&lt;=2,('DPI art.191'!$G$3-(('DPI art.191'!$F$3-'DPI art.191'!$G$3)/4)*(P130-O130-2)),('DPI art.191'!$G$3-(('DPI art.191'!$G$3-'DPI art.191'!$H$3)/8)*(P130-O130-2))))</f>
        <v/>
      </c>
      <c r="AV130" s="24">
        <f>O130-AU130</f>
        <v/>
      </c>
      <c r="AW130" s="24">
        <f>IF(N130&lt;135,N130,N130-'DPI art.191'!$I$3)</f>
        <v/>
      </c>
      <c r="AX130" s="111">
        <f>IF(I130&lt;80,"0",IF((J130-I130)&lt;=2,('DPI art.191'!$G$7-(('DPI art.191'!$F$7-'DPI art.191'!$G$7)/4)*(I130-J130-2)),('DPI art.191'!$G$7-(('DPI art.191'!$G$7-'DPI art.191'!$H$7)/8)*(J130-I130-2))))</f>
        <v/>
      </c>
      <c r="AY130" s="24">
        <f>I130-AX130</f>
        <v/>
      </c>
      <c r="AZ130" s="24">
        <f>IF(H130&lt;135,H130,H130-'DPI art.191'!$I$7)</f>
        <v/>
      </c>
      <c r="BA130" s="111">
        <f>IF(O130&lt;80,"0",IF((P130-O130)&lt;=2,('DPI art.191'!$G$5-(('DPI art.191'!$F$5-'DPI art.191'!$G$5)/4)*(P130-O130-2)),('DPI art.191'!$G$5-(('DPI art.191'!$G$5-'DPI art.191'!$H$5)/8)*(P130-O130-2))))</f>
        <v/>
      </c>
      <c r="BB130" s="24">
        <f>R130-BA130</f>
        <v/>
      </c>
      <c r="BC130" s="24">
        <f>IF(N130&lt;135,N130,N130-'DPI art.191'!$I$5)</f>
        <v/>
      </c>
      <c r="BD130" s="111">
        <f>IF(O130&lt;80,"0",IF((P130-O130)&lt;=2,('DPI art.191'!$G$7-(('DPI art.191'!$F$7-'DPI art.191'!$G$7)/4)*(O130-P130-2)),('DPI art.191'!$G$7-(('DPI art.191'!$G$7-'DPI art.191'!$H$7)/8)*(P130-O130-2))))</f>
        <v/>
      </c>
      <c r="BE130" s="24">
        <f>O130-BD130</f>
        <v/>
      </c>
      <c r="BF130" s="24">
        <f>IF(N130&lt;135,N130,N130-'DPI art.191'!$I$7)</f>
        <v/>
      </c>
      <c r="BG130" s="111">
        <f>IF(AA130&lt;80,"0",IF((AB130-AA130)&lt;=2,('DPI art.191'!$G$3-(('DPI art.191'!$F$3-'DPI art.191'!$G$3)/4)*(AB130-AA130-2)),('DPI art.191'!$G$3-(('DPI art.191'!$G$3-'DPI art.191'!$H$3)/8)*(AB130-AA130-2))))</f>
        <v/>
      </c>
      <c r="BH130" s="24">
        <f>AA130-BG130</f>
        <v/>
      </c>
      <c r="BI130" s="24">
        <f>IF(Z130&lt;135,Z130,Z130-'DPI art.191'!$I$3)</f>
        <v/>
      </c>
      <c r="BJ130" s="111">
        <f>IF(U130&lt;80,"0",IF((V130-U130)&lt;=2,('DPI art.191'!$G$7-(('DPI art.191'!$F$7-'DPI art.191'!$G$7)/4)*(U130-V130-2)),('DPI art.191'!$G$7-(('DPI art.191'!$G$7-'DPI art.191'!$H$7)/8)*(V130-U130-2))))</f>
        <v/>
      </c>
      <c r="BK130" s="24">
        <f>U130-BJ130</f>
        <v/>
      </c>
      <c r="BL130" s="24">
        <f>IF(T130&lt;135,T130,T130-'DPI art.191'!$I$7)</f>
        <v/>
      </c>
      <c r="BM130" s="111">
        <f>IF(AA130&lt;80,"0",IF((AB130-AA130)&lt;=2,('DPI art.191'!$G$5-(('DPI art.191'!$F$5-'DPI art.191'!$G$5)/4)*(AB130-AA130-2)),('DPI art.191'!$G$5-(('DPI art.191'!$G$5-'DPI art.191'!$H$5)/8)*(AB130-AA130-2))))</f>
        <v/>
      </c>
      <c r="BN130" s="24">
        <f>AD130-BM130</f>
        <v/>
      </c>
      <c r="BO130" s="24">
        <f>IF(Z130&lt;135,Z130,Z130-'DPI art.191'!$I$5)</f>
        <v/>
      </c>
      <c r="BP130" s="108">
        <f>10^(0.1*R130)</f>
        <v/>
      </c>
      <c r="BQ130" s="108">
        <f>10^(0.1*X130)</f>
        <v/>
      </c>
      <c r="BR130" s="108">
        <f>10^(0.1*AB130)</f>
        <v/>
      </c>
      <c r="BS130" s="108">
        <f>10^(0.1*AF130)</f>
        <v/>
      </c>
      <c r="BT130" s="108">
        <f>10^(0.1*AJ130)</f>
        <v/>
      </c>
      <c r="BU130" s="108">
        <f>10^(0.1*AN130)</f>
        <v/>
      </c>
      <c r="BV130" s="106">
        <f>IF(R130&gt;0,(O130-R130),"")</f>
        <v/>
      </c>
      <c r="BW130" s="106">
        <f>IF(X130&gt;0,(O130-X130),"")</f>
        <v/>
      </c>
      <c r="BX130" s="106">
        <f>IF(AB130&gt;0,(O130-AB130),"")</f>
        <v/>
      </c>
      <c r="BY130" s="106">
        <f>IF(AF130&gt;0,(O130-AF130),"")</f>
        <v/>
      </c>
      <c r="BZ130" s="106">
        <f>IF(AJ130&gt;0,(O130-AJ130),"")</f>
        <v/>
      </c>
      <c r="CA130" s="106">
        <f>IF(AN130&gt;0,(O130-AN130),"")</f>
        <v/>
      </c>
      <c r="CB130" s="106">
        <f>COUNT(BV130:CA130)</f>
        <v/>
      </c>
      <c r="CC130" s="464">
        <f>IF(CB130=0,0,IF(CB130=1,0,1/(CB130*(CB130-1))))</f>
        <v/>
      </c>
      <c r="CD130" s="136">
        <f>IF(R130&gt;0,(BV130^2),"")</f>
        <v/>
      </c>
      <c r="CE130" s="136">
        <f>IF(X130&gt;0,(BW130^2),"")</f>
        <v/>
      </c>
      <c r="CF130" s="136">
        <f>IF(AB130&gt;0,(BX130^2),"")</f>
        <v/>
      </c>
      <c r="CG130" s="136">
        <f>IF(AF130&gt;0,(BY130^2),"")</f>
        <v/>
      </c>
      <c r="CH130" s="136">
        <f>IF(AJ130&gt;0,(BZ130^2),"")</f>
        <v/>
      </c>
      <c r="CI130" s="136">
        <f>IF(AN130&gt;0,(CA130^2),"")</f>
        <v/>
      </c>
    </row>
    <row r="131" ht="18.75" customHeight="1" s="444">
      <c r="A131" s="340" t="inlineStr">
        <is>
          <t>/</t>
        </is>
      </c>
      <c r="B131" s="65">
        <f>B130+1</f>
        <v/>
      </c>
      <c r="C131" s="78" t="n"/>
      <c r="D131" s="83" t="n"/>
      <c r="E131" s="83" t="n"/>
      <c r="F131" s="329" t="n"/>
      <c r="G131" s="71" t="n">
        <v>40725</v>
      </c>
      <c r="H131" s="77" t="inlineStr">
        <is>
          <t>Compito</t>
        </is>
      </c>
      <c r="I131" s="77">
        <f>IF((V131-R131)&gt;3,"SI","")</f>
        <v/>
      </c>
      <c r="J131" s="77">
        <f>IF((U131-R131)&gt;3,"SI","")</f>
        <v/>
      </c>
      <c r="K131" s="77" t="n"/>
      <c r="L131" s="77" t="n"/>
      <c r="M131" s="137">
        <f>IF(R131&gt;0,(SQRT(CC131*(SUM(CD131:CI131)))),"")</f>
        <v/>
      </c>
      <c r="N131" s="4">
        <f>IF(T131&gt;0,(MAX(T131,Z131,AD131,AH131,AL131,AP131))+SQRT(1.2^2+1^2),"")</f>
        <v/>
      </c>
      <c r="O131" s="3">
        <f>IF(R131="",0,10*LOG10(SUM(BP131:BU131)/(COUNT(R131,X131,AB131,AF131,AJ131,AN131))))</f>
        <v/>
      </c>
      <c r="P131" s="5">
        <f>IF(AND(Y131="",AC131="",AG131="",AK131="",AO131=""),S131,AVERAGE(S131,Y131,AC131,AG131,AK131,AO131)+STDEV(S131,Y131,AC131,AG131,AK131,AO131))</f>
        <v/>
      </c>
      <c r="Q131" s="14" t="n"/>
      <c r="R131" s="11" t="n"/>
      <c r="S131" s="12" t="n"/>
      <c r="T131" s="13" t="n"/>
      <c r="U131" s="79" t="n"/>
      <c r="V131" s="79" t="n"/>
      <c r="W131" s="10" t="n"/>
      <c r="X131" s="11" t="n"/>
      <c r="Y131" s="12" t="n"/>
      <c r="Z131" s="13" t="n"/>
      <c r="AA131" s="10" t="n"/>
      <c r="AB131" s="11" t="n"/>
      <c r="AC131" s="12" t="n"/>
      <c r="AD131" s="13" t="n"/>
      <c r="AE131" s="14" t="n"/>
      <c r="AF131" s="11" t="n"/>
      <c r="AG131" s="12" t="n"/>
      <c r="AH131" s="13" t="n"/>
      <c r="AI131" s="10" t="n"/>
      <c r="AJ131" s="11" t="n"/>
      <c r="AK131" s="12" t="n"/>
      <c r="AL131" s="13" t="n"/>
      <c r="AM131" s="10" t="n"/>
      <c r="AN131" s="11" t="n"/>
      <c r="AO131" s="12" t="n"/>
      <c r="AP131" s="13" t="n"/>
      <c r="AQ131" s="6">
        <f>IF(AND((O131)&lt;85,N131&lt;137),"NO","SI")</f>
        <v/>
      </c>
      <c r="AR131" s="7">
        <f>IF((480*(10^(7.95-(O131/10))))&lt;480,480*(10^(7.95-(O131/10))),480)</f>
        <v/>
      </c>
      <c r="AS131" s="8">
        <f>IF((480*(10^(8.45-(O131/10))))&lt;480,480*(10^(8.45-(O131/10))),480)</f>
        <v/>
      </c>
      <c r="AT131" s="9">
        <f>IF((480*(10^(8.65-(O131/10))))&lt;480,480*(10^(8.65-(O131/10))),480)</f>
        <v/>
      </c>
      <c r="AU131" s="111">
        <f>IF(O131&lt;80,"0",IF((P131-O131)&lt;=2,('DPI art.191'!$G$3-(('DPI art.191'!$F$3-'DPI art.191'!$G$3)/4)*(P131-O131-2)),('DPI art.191'!$G$3-(('DPI art.191'!$G$3-'DPI art.191'!$H$3)/8)*(P131-O131-2))))</f>
        <v/>
      </c>
      <c r="AV131" s="24">
        <f>O131-AU131</f>
        <v/>
      </c>
      <c r="AW131" s="24">
        <f>IF(N131&lt;135,N131,N131-'DPI art.191'!$I$3)</f>
        <v/>
      </c>
      <c r="AX131" s="111">
        <f>IF(I131&lt;80,"0",IF((J131-I131)&lt;=2,('DPI art.191'!$G$7-(('DPI art.191'!$F$7-'DPI art.191'!$G$7)/4)*(I131-J131-2)),('DPI art.191'!$G$7-(('DPI art.191'!$G$7-'DPI art.191'!$H$7)/8)*(J131-I131-2))))</f>
        <v/>
      </c>
      <c r="AY131" s="24">
        <f>I131-AX131</f>
        <v/>
      </c>
      <c r="AZ131" s="24">
        <f>IF(H131&lt;135,H131,H131-'DPI art.191'!$I$7)</f>
        <v/>
      </c>
      <c r="BA131" s="111">
        <f>IF(O131&lt;80,"0",IF((P131-O131)&lt;=2,('DPI art.191'!$G$5-(('DPI art.191'!$F$5-'DPI art.191'!$G$5)/4)*(P131-O131-2)),('DPI art.191'!$G$5-(('DPI art.191'!$G$5-'DPI art.191'!$H$5)/8)*(P131-O131-2))))</f>
        <v/>
      </c>
      <c r="BB131" s="24">
        <f>R131-BA131</f>
        <v/>
      </c>
      <c r="BC131" s="24">
        <f>IF(N131&lt;135,N131,N131-'DPI art.191'!$I$5)</f>
        <v/>
      </c>
      <c r="BD131" s="111">
        <f>IF(O131&lt;80,"0",IF((P131-O131)&lt;=2,('DPI art.191'!$G$7-(('DPI art.191'!$F$7-'DPI art.191'!$G$7)/4)*(O131-P131-2)),('DPI art.191'!$G$7-(('DPI art.191'!$G$7-'DPI art.191'!$H$7)/8)*(P131-O131-2))))</f>
        <v/>
      </c>
      <c r="BE131" s="24">
        <f>O131-BD131</f>
        <v/>
      </c>
      <c r="BF131" s="24">
        <f>IF(N131&lt;135,N131,N131-'DPI art.191'!$I$7)</f>
        <v/>
      </c>
      <c r="BG131" s="111">
        <f>IF(AA131&lt;80,"0",IF((AB131-AA131)&lt;=2,('DPI art.191'!$G$3-(('DPI art.191'!$F$3-'DPI art.191'!$G$3)/4)*(AB131-AA131-2)),('DPI art.191'!$G$3-(('DPI art.191'!$G$3-'DPI art.191'!$H$3)/8)*(AB131-AA131-2))))</f>
        <v/>
      </c>
      <c r="BH131" s="24">
        <f>AA131-BG131</f>
        <v/>
      </c>
      <c r="BI131" s="24">
        <f>IF(Z131&lt;135,Z131,Z131-'DPI art.191'!$I$3)</f>
        <v/>
      </c>
      <c r="BJ131" s="111">
        <f>IF(U131&lt;80,"0",IF((V131-U131)&lt;=2,('DPI art.191'!$G$7-(('DPI art.191'!$F$7-'DPI art.191'!$G$7)/4)*(U131-V131-2)),('DPI art.191'!$G$7-(('DPI art.191'!$G$7-'DPI art.191'!$H$7)/8)*(V131-U131-2))))</f>
        <v/>
      </c>
      <c r="BK131" s="24">
        <f>U131-BJ131</f>
        <v/>
      </c>
      <c r="BL131" s="24">
        <f>IF(T131&lt;135,T131,T131-'DPI art.191'!$I$7)</f>
        <v/>
      </c>
      <c r="BM131" s="111">
        <f>IF(AA131&lt;80,"0",IF((AB131-AA131)&lt;=2,('DPI art.191'!$G$5-(('DPI art.191'!$F$5-'DPI art.191'!$G$5)/4)*(AB131-AA131-2)),('DPI art.191'!$G$5-(('DPI art.191'!$G$5-'DPI art.191'!$H$5)/8)*(AB131-AA131-2))))</f>
        <v/>
      </c>
      <c r="BN131" s="24">
        <f>AD131-BM131</f>
        <v/>
      </c>
      <c r="BO131" s="24">
        <f>IF(Z131&lt;135,Z131,Z131-'DPI art.191'!$I$5)</f>
        <v/>
      </c>
      <c r="BP131" s="108">
        <f>10^(0.1*R131)</f>
        <v/>
      </c>
      <c r="BQ131" s="108">
        <f>10^(0.1*X131)</f>
        <v/>
      </c>
      <c r="BR131" s="108">
        <f>10^(0.1*AB131)</f>
        <v/>
      </c>
      <c r="BS131" s="108">
        <f>10^(0.1*AF131)</f>
        <v/>
      </c>
      <c r="BT131" s="108">
        <f>10^(0.1*AJ131)</f>
        <v/>
      </c>
      <c r="BU131" s="108">
        <f>10^(0.1*AN131)</f>
        <v/>
      </c>
      <c r="BV131" s="106">
        <f>IF(R131&gt;0,(O131-R131),"")</f>
        <v/>
      </c>
      <c r="BW131" s="106">
        <f>IF(X131&gt;0,(O131-X131),"")</f>
        <v/>
      </c>
      <c r="BX131" s="106">
        <f>IF(AB131&gt;0,(O131-AB131),"")</f>
        <v/>
      </c>
      <c r="BY131" s="106">
        <f>IF(AF131&gt;0,(O131-AF131),"")</f>
        <v/>
      </c>
      <c r="BZ131" s="106">
        <f>IF(AJ131&gt;0,(O131-AJ131),"")</f>
        <v/>
      </c>
      <c r="CA131" s="106">
        <f>IF(AN131&gt;0,(O131-AN131),"")</f>
        <v/>
      </c>
      <c r="CB131" s="106">
        <f>COUNT(BV131:CA131)</f>
        <v/>
      </c>
      <c r="CC131" s="464">
        <f>IF(CB131=0,0,IF(CB131=1,0,1/(CB131*(CB131-1))))</f>
        <v/>
      </c>
      <c r="CD131" s="136">
        <f>IF(R131&gt;0,(BV131^2),"")</f>
        <v/>
      </c>
      <c r="CE131" s="136">
        <f>IF(X131&gt;0,(BW131^2),"")</f>
        <v/>
      </c>
      <c r="CF131" s="136">
        <f>IF(AB131&gt;0,(BX131^2),"")</f>
        <v/>
      </c>
      <c r="CG131" s="136">
        <f>IF(AF131&gt;0,(BY131^2),"")</f>
        <v/>
      </c>
      <c r="CH131" s="136">
        <f>IF(AJ131&gt;0,(BZ131^2),"")</f>
        <v/>
      </c>
      <c r="CI131" s="136">
        <f>IF(AN131&gt;0,(CA131^2),"")</f>
        <v/>
      </c>
    </row>
    <row r="132" ht="18.75" customHeight="1" s="444">
      <c r="A132" s="340" t="inlineStr">
        <is>
          <t>/</t>
        </is>
      </c>
      <c r="B132" s="65">
        <f>B131+1</f>
        <v/>
      </c>
      <c r="C132" s="78" t="n"/>
      <c r="D132" s="83" t="n"/>
      <c r="E132" s="83" t="n"/>
      <c r="F132" s="329" t="n"/>
      <c r="G132" s="71" t="n">
        <v>40725</v>
      </c>
      <c r="H132" s="77" t="inlineStr">
        <is>
          <t>Compito</t>
        </is>
      </c>
      <c r="I132" s="77">
        <f>IF((V132-R132)&gt;3,"SI","")</f>
        <v/>
      </c>
      <c r="J132" s="77">
        <f>IF((U132-R132)&gt;3,"SI","")</f>
        <v/>
      </c>
      <c r="K132" s="77" t="n"/>
      <c r="L132" s="77" t="n"/>
      <c r="M132" s="137">
        <f>IF(R132&gt;0,(SQRT(CC132*(SUM(CD132:CI132)))),"")</f>
        <v/>
      </c>
      <c r="N132" s="4">
        <f>IF(T132&gt;0,(MAX(T132,Z132,AD132,AH132,AL132,AP132))+SQRT(1.2^2+1^2),"")</f>
        <v/>
      </c>
      <c r="O132" s="3">
        <f>IF(R132="",0,10*LOG10(SUM(BP132:BU132)/(COUNT(R132,X132,AB132,AF132,AJ132,AN132))))</f>
        <v/>
      </c>
      <c r="P132" s="5">
        <f>IF(AND(Y132="",AC132="",AG132="",AK132="",AO132=""),S132,AVERAGE(S132,Y132,AC132,AG132,AK132,AO132)+STDEV(S132,Y132,AC132,AG132,AK132,AO132))</f>
        <v/>
      </c>
      <c r="Q132" s="14" t="n"/>
      <c r="R132" s="11" t="n"/>
      <c r="S132" s="12" t="n"/>
      <c r="T132" s="13" t="n"/>
      <c r="U132" s="79" t="n"/>
      <c r="V132" s="79" t="n"/>
      <c r="W132" s="10" t="n"/>
      <c r="X132" s="11" t="n"/>
      <c r="Y132" s="12" t="n"/>
      <c r="Z132" s="13" t="n"/>
      <c r="AA132" s="10" t="n"/>
      <c r="AB132" s="11" t="n"/>
      <c r="AC132" s="12" t="n"/>
      <c r="AD132" s="13" t="n"/>
      <c r="AE132" s="14" t="n"/>
      <c r="AF132" s="11" t="n"/>
      <c r="AG132" s="12" t="n"/>
      <c r="AH132" s="13" t="n"/>
      <c r="AI132" s="10" t="n"/>
      <c r="AJ132" s="11" t="n"/>
      <c r="AK132" s="12" t="n"/>
      <c r="AL132" s="13" t="n"/>
      <c r="AM132" s="10" t="n"/>
      <c r="AN132" s="11" t="n"/>
      <c r="AO132" s="12" t="n"/>
      <c r="AP132" s="13" t="n"/>
      <c r="AQ132" s="6">
        <f>IF(AND((O132)&lt;85,N132&lt;137),"NO","SI")</f>
        <v/>
      </c>
      <c r="AR132" s="7">
        <f>IF((480*(10^(7.95-(O132/10))))&lt;480,480*(10^(7.95-(O132/10))),480)</f>
        <v/>
      </c>
      <c r="AS132" s="8">
        <f>IF((480*(10^(8.45-(O132/10))))&lt;480,480*(10^(8.45-(O132/10))),480)</f>
        <v/>
      </c>
      <c r="AT132" s="9">
        <f>IF((480*(10^(8.65-(O132/10))))&lt;480,480*(10^(8.65-(O132/10))),480)</f>
        <v/>
      </c>
      <c r="AU132" s="111">
        <f>IF(O132&lt;80,"0",IF((P132-O132)&lt;=2,('DPI art.191'!$G$3-(('DPI art.191'!$F$3-'DPI art.191'!$G$3)/4)*(P132-O132-2)),('DPI art.191'!$G$3-(('DPI art.191'!$G$3-'DPI art.191'!$H$3)/8)*(P132-O132-2))))</f>
        <v/>
      </c>
      <c r="AV132" s="24">
        <f>O132-AU132</f>
        <v/>
      </c>
      <c r="AW132" s="24">
        <f>IF(N132&lt;135,N132,N132-'DPI art.191'!$I$3)</f>
        <v/>
      </c>
      <c r="AX132" s="111">
        <f>IF(I132&lt;80,"0",IF((J132-I132)&lt;=2,('DPI art.191'!$G$7-(('DPI art.191'!$F$7-'DPI art.191'!$G$7)/4)*(I132-J132-2)),('DPI art.191'!$G$7-(('DPI art.191'!$G$7-'DPI art.191'!$H$7)/8)*(J132-I132-2))))</f>
        <v/>
      </c>
      <c r="AY132" s="24">
        <f>I132-AX132</f>
        <v/>
      </c>
      <c r="AZ132" s="24">
        <f>IF(H132&lt;135,H132,H132-'DPI art.191'!$I$7)</f>
        <v/>
      </c>
      <c r="BA132" s="111">
        <f>IF(O132&lt;80,"0",IF((P132-O132)&lt;=2,('DPI art.191'!$G$5-(('DPI art.191'!$F$5-'DPI art.191'!$G$5)/4)*(P132-O132-2)),('DPI art.191'!$G$5-(('DPI art.191'!$G$5-'DPI art.191'!$H$5)/8)*(P132-O132-2))))</f>
        <v/>
      </c>
      <c r="BB132" s="24">
        <f>R132-BA132</f>
        <v/>
      </c>
      <c r="BC132" s="24">
        <f>IF(N132&lt;135,N132,N132-'DPI art.191'!$I$5)</f>
        <v/>
      </c>
      <c r="BD132" s="111">
        <f>IF(O132&lt;80,"0",IF((P132-O132)&lt;=2,('DPI art.191'!$G$7-(('DPI art.191'!$F$7-'DPI art.191'!$G$7)/4)*(O132-P132-2)),('DPI art.191'!$G$7-(('DPI art.191'!$G$7-'DPI art.191'!$H$7)/8)*(P132-O132-2))))</f>
        <v/>
      </c>
      <c r="BE132" s="24">
        <f>O132-BD132</f>
        <v/>
      </c>
      <c r="BF132" s="24">
        <f>IF(N132&lt;135,N132,N132-'DPI art.191'!$I$7)</f>
        <v/>
      </c>
      <c r="BG132" s="111">
        <f>IF(AA132&lt;80,"0",IF((AB132-AA132)&lt;=2,('DPI art.191'!$G$3-(('DPI art.191'!$F$3-'DPI art.191'!$G$3)/4)*(AB132-AA132-2)),('DPI art.191'!$G$3-(('DPI art.191'!$G$3-'DPI art.191'!$H$3)/8)*(AB132-AA132-2))))</f>
        <v/>
      </c>
      <c r="BH132" s="24">
        <f>AA132-BG132</f>
        <v/>
      </c>
      <c r="BI132" s="24">
        <f>IF(Z132&lt;135,Z132,Z132-'DPI art.191'!$I$3)</f>
        <v/>
      </c>
      <c r="BJ132" s="111">
        <f>IF(U132&lt;80,"0",IF((V132-U132)&lt;=2,('DPI art.191'!$G$7-(('DPI art.191'!$F$7-'DPI art.191'!$G$7)/4)*(U132-V132-2)),('DPI art.191'!$G$7-(('DPI art.191'!$G$7-'DPI art.191'!$H$7)/8)*(V132-U132-2))))</f>
        <v/>
      </c>
      <c r="BK132" s="24">
        <f>U132-BJ132</f>
        <v/>
      </c>
      <c r="BL132" s="24">
        <f>IF(T132&lt;135,T132,T132-'DPI art.191'!$I$7)</f>
        <v/>
      </c>
      <c r="BM132" s="111">
        <f>IF(AA132&lt;80,"0",IF((AB132-AA132)&lt;=2,('DPI art.191'!$G$5-(('DPI art.191'!$F$5-'DPI art.191'!$G$5)/4)*(AB132-AA132-2)),('DPI art.191'!$G$5-(('DPI art.191'!$G$5-'DPI art.191'!$H$5)/8)*(AB132-AA132-2))))</f>
        <v/>
      </c>
      <c r="BN132" s="24">
        <f>AD132-BM132</f>
        <v/>
      </c>
      <c r="BO132" s="24">
        <f>IF(Z132&lt;135,Z132,Z132-'DPI art.191'!$I$5)</f>
        <v/>
      </c>
      <c r="BP132" s="108">
        <f>10^(0.1*R132)</f>
        <v/>
      </c>
      <c r="BQ132" s="108">
        <f>10^(0.1*X132)</f>
        <v/>
      </c>
      <c r="BR132" s="108">
        <f>10^(0.1*AB132)</f>
        <v/>
      </c>
      <c r="BS132" s="108">
        <f>10^(0.1*AF132)</f>
        <v/>
      </c>
      <c r="BT132" s="108">
        <f>10^(0.1*AJ132)</f>
        <v/>
      </c>
      <c r="BU132" s="108">
        <f>10^(0.1*AN132)</f>
        <v/>
      </c>
      <c r="BV132" s="106">
        <f>IF(R132&gt;0,(O132-R132),"")</f>
        <v/>
      </c>
      <c r="BW132" s="106">
        <f>IF(X132&gt;0,(O132-X132),"")</f>
        <v/>
      </c>
      <c r="BX132" s="106">
        <f>IF(AB132&gt;0,(O132-AB132),"")</f>
        <v/>
      </c>
      <c r="BY132" s="106">
        <f>IF(AF132&gt;0,(O132-AF132),"")</f>
        <v/>
      </c>
      <c r="BZ132" s="106">
        <f>IF(AJ132&gt;0,(O132-AJ132),"")</f>
        <v/>
      </c>
      <c r="CA132" s="106">
        <f>IF(AN132&gt;0,(O132-AN132),"")</f>
        <v/>
      </c>
      <c r="CB132" s="106">
        <f>COUNT(BV132:CA132)</f>
        <v/>
      </c>
      <c r="CC132" s="464">
        <f>IF(CB132=0,0,IF(CB132=1,0,1/(CB132*(CB132-1))))</f>
        <v/>
      </c>
      <c r="CD132" s="136">
        <f>IF(R132&gt;0,(BV132^2),"")</f>
        <v/>
      </c>
      <c r="CE132" s="136">
        <f>IF(X132&gt;0,(BW132^2),"")</f>
        <v/>
      </c>
      <c r="CF132" s="136">
        <f>IF(AB132&gt;0,(BX132^2),"")</f>
        <v/>
      </c>
      <c r="CG132" s="136">
        <f>IF(AF132&gt;0,(BY132^2),"")</f>
        <v/>
      </c>
      <c r="CH132" s="136">
        <f>IF(AJ132&gt;0,(BZ132^2),"")</f>
        <v/>
      </c>
      <c r="CI132" s="136">
        <f>IF(AN132&gt;0,(CA132^2),"")</f>
        <v/>
      </c>
    </row>
    <row r="133" ht="18.75" customHeight="1" s="444">
      <c r="A133" s="340" t="inlineStr">
        <is>
          <t>/</t>
        </is>
      </c>
      <c r="B133" s="65">
        <f>B132+1</f>
        <v/>
      </c>
      <c r="C133" s="78" t="n"/>
      <c r="D133" s="83" t="n"/>
      <c r="E133" s="83" t="n"/>
      <c r="F133" s="329" t="n"/>
      <c r="G133" s="71" t="n">
        <v>40725</v>
      </c>
      <c r="H133" s="77" t="inlineStr">
        <is>
          <t>Compito</t>
        </is>
      </c>
      <c r="I133" s="77">
        <f>IF((V133-R133)&gt;3,"SI","")</f>
        <v/>
      </c>
      <c r="J133" s="77">
        <f>IF((U133-R133)&gt;3,"SI","")</f>
        <v/>
      </c>
      <c r="K133" s="77" t="n"/>
      <c r="L133" s="77" t="n"/>
      <c r="M133" s="137">
        <f>IF(R133&gt;0,(SQRT(CC133*(SUM(CD133:CI133)))),"")</f>
        <v/>
      </c>
      <c r="N133" s="4">
        <f>IF(T133&gt;0,(MAX(T133,Z133,AD133,AH133,AL133,AP133))+SQRT(1.2^2+1^2),"")</f>
        <v/>
      </c>
      <c r="O133" s="3">
        <f>IF(R133="",0,10*LOG10(SUM(BP133:BU133)/(COUNT(R133,X133,AB133,AF133,AJ133,AN133))))</f>
        <v/>
      </c>
      <c r="P133" s="5">
        <f>IF(AND(Y133="",AC133="",AG133="",AK133="",AO133=""),S133,AVERAGE(S133,Y133,AC133,AG133,AK133,AO133)+STDEV(S133,Y133,AC133,AG133,AK133,AO133))</f>
        <v/>
      </c>
      <c r="Q133" s="14" t="n"/>
      <c r="R133" s="11" t="n"/>
      <c r="S133" s="12" t="n"/>
      <c r="T133" s="13" t="n"/>
      <c r="U133" s="79" t="n"/>
      <c r="V133" s="79" t="n"/>
      <c r="W133" s="10" t="n"/>
      <c r="X133" s="11" t="n"/>
      <c r="Y133" s="12" t="n"/>
      <c r="Z133" s="13" t="n"/>
      <c r="AA133" s="10" t="n"/>
      <c r="AB133" s="11" t="n"/>
      <c r="AC133" s="12" t="n"/>
      <c r="AD133" s="13" t="n"/>
      <c r="AE133" s="14" t="n"/>
      <c r="AF133" s="11" t="n"/>
      <c r="AG133" s="12" t="n"/>
      <c r="AH133" s="13" t="n"/>
      <c r="AI133" s="10" t="n"/>
      <c r="AJ133" s="11" t="n"/>
      <c r="AK133" s="12" t="n"/>
      <c r="AL133" s="13" t="n"/>
      <c r="AM133" s="10" t="n"/>
      <c r="AN133" s="11" t="n"/>
      <c r="AO133" s="12" t="n"/>
      <c r="AP133" s="13" t="n"/>
      <c r="AQ133" s="6">
        <f>IF(AND((O133)&lt;85,N133&lt;137),"NO","SI")</f>
        <v/>
      </c>
      <c r="AR133" s="7">
        <f>IF((480*(10^(7.95-(O133/10))))&lt;480,480*(10^(7.95-(O133/10))),480)</f>
        <v/>
      </c>
      <c r="AS133" s="8">
        <f>IF((480*(10^(8.45-(O133/10))))&lt;480,480*(10^(8.45-(O133/10))),480)</f>
        <v/>
      </c>
      <c r="AT133" s="9">
        <f>IF((480*(10^(8.65-(O133/10))))&lt;480,480*(10^(8.65-(O133/10))),480)</f>
        <v/>
      </c>
      <c r="AU133" s="111">
        <f>IF(O133&lt;80,"0",IF((P133-O133)&lt;=2,('DPI art.191'!$G$3-(('DPI art.191'!$F$3-'DPI art.191'!$G$3)/4)*(P133-O133-2)),('DPI art.191'!$G$3-(('DPI art.191'!$G$3-'DPI art.191'!$H$3)/8)*(P133-O133-2))))</f>
        <v/>
      </c>
      <c r="AV133" s="24">
        <f>O133-AU133</f>
        <v/>
      </c>
      <c r="AW133" s="24">
        <f>IF(N133&lt;135,N133,N133-'DPI art.191'!$I$3)</f>
        <v/>
      </c>
      <c r="AX133" s="111">
        <f>IF(I133&lt;80,"0",IF((J133-I133)&lt;=2,('DPI art.191'!$G$7-(('DPI art.191'!$F$7-'DPI art.191'!$G$7)/4)*(I133-J133-2)),('DPI art.191'!$G$7-(('DPI art.191'!$G$7-'DPI art.191'!$H$7)/8)*(J133-I133-2))))</f>
        <v/>
      </c>
      <c r="AY133" s="24">
        <f>I133-AX133</f>
        <v/>
      </c>
      <c r="AZ133" s="24">
        <f>IF(H133&lt;135,H133,H133-'DPI art.191'!$I$7)</f>
        <v/>
      </c>
      <c r="BA133" s="111">
        <f>IF(O133&lt;80,"0",IF((P133-O133)&lt;=2,('DPI art.191'!$G$5-(('DPI art.191'!$F$5-'DPI art.191'!$G$5)/4)*(P133-O133-2)),('DPI art.191'!$G$5-(('DPI art.191'!$G$5-'DPI art.191'!$H$5)/8)*(P133-O133-2))))</f>
        <v/>
      </c>
      <c r="BB133" s="24">
        <f>R133-BA133</f>
        <v/>
      </c>
      <c r="BC133" s="24">
        <f>IF(N133&lt;135,N133,N133-'DPI art.191'!$I$5)</f>
        <v/>
      </c>
      <c r="BD133" s="111">
        <f>IF(O133&lt;80,"0",IF((P133-O133)&lt;=2,('DPI art.191'!$G$7-(('DPI art.191'!$F$7-'DPI art.191'!$G$7)/4)*(O133-P133-2)),('DPI art.191'!$G$7-(('DPI art.191'!$G$7-'DPI art.191'!$H$7)/8)*(P133-O133-2))))</f>
        <v/>
      </c>
      <c r="BE133" s="24">
        <f>O133-BD133</f>
        <v/>
      </c>
      <c r="BF133" s="24">
        <f>IF(N133&lt;135,N133,N133-'DPI art.191'!$I$7)</f>
        <v/>
      </c>
      <c r="BG133" s="111">
        <f>IF(AA133&lt;80,"0",IF((AB133-AA133)&lt;=2,('DPI art.191'!$G$3-(('DPI art.191'!$F$3-'DPI art.191'!$G$3)/4)*(AB133-AA133-2)),('DPI art.191'!$G$3-(('DPI art.191'!$G$3-'DPI art.191'!$H$3)/8)*(AB133-AA133-2))))</f>
        <v/>
      </c>
      <c r="BH133" s="24">
        <f>AA133-BG133</f>
        <v/>
      </c>
      <c r="BI133" s="24">
        <f>IF(Z133&lt;135,Z133,Z133-'DPI art.191'!$I$3)</f>
        <v/>
      </c>
      <c r="BJ133" s="111">
        <f>IF(U133&lt;80,"0",IF((V133-U133)&lt;=2,('DPI art.191'!$G$7-(('DPI art.191'!$F$7-'DPI art.191'!$G$7)/4)*(U133-V133-2)),('DPI art.191'!$G$7-(('DPI art.191'!$G$7-'DPI art.191'!$H$7)/8)*(V133-U133-2))))</f>
        <v/>
      </c>
      <c r="BK133" s="24">
        <f>U133-BJ133</f>
        <v/>
      </c>
      <c r="BL133" s="24">
        <f>IF(T133&lt;135,T133,T133-'DPI art.191'!$I$7)</f>
        <v/>
      </c>
      <c r="BM133" s="111">
        <f>IF(AA133&lt;80,"0",IF((AB133-AA133)&lt;=2,('DPI art.191'!$G$5-(('DPI art.191'!$F$5-'DPI art.191'!$G$5)/4)*(AB133-AA133-2)),('DPI art.191'!$G$5-(('DPI art.191'!$G$5-'DPI art.191'!$H$5)/8)*(AB133-AA133-2))))</f>
        <v/>
      </c>
      <c r="BN133" s="24">
        <f>AD133-BM133</f>
        <v/>
      </c>
      <c r="BO133" s="24">
        <f>IF(Z133&lt;135,Z133,Z133-'DPI art.191'!$I$5)</f>
        <v/>
      </c>
      <c r="BP133" s="108">
        <f>10^(0.1*R133)</f>
        <v/>
      </c>
      <c r="BQ133" s="108">
        <f>10^(0.1*X133)</f>
        <v/>
      </c>
      <c r="BR133" s="108">
        <f>10^(0.1*AB133)</f>
        <v/>
      </c>
      <c r="BS133" s="108">
        <f>10^(0.1*AF133)</f>
        <v/>
      </c>
      <c r="BT133" s="108">
        <f>10^(0.1*AJ133)</f>
        <v/>
      </c>
      <c r="BU133" s="108">
        <f>10^(0.1*AN133)</f>
        <v/>
      </c>
      <c r="BV133" s="106">
        <f>IF(R133&gt;0,(O133-R133),"")</f>
        <v/>
      </c>
      <c r="BW133" s="106">
        <f>IF(X133&gt;0,(O133-X133),"")</f>
        <v/>
      </c>
      <c r="BX133" s="106">
        <f>IF(AB133&gt;0,(O133-AB133),"")</f>
        <v/>
      </c>
      <c r="BY133" s="106">
        <f>IF(AF133&gt;0,(O133-AF133),"")</f>
        <v/>
      </c>
      <c r="BZ133" s="106">
        <f>IF(AJ133&gt;0,(O133-AJ133),"")</f>
        <v/>
      </c>
      <c r="CA133" s="106">
        <f>IF(AN133&gt;0,(O133-AN133),"")</f>
        <v/>
      </c>
      <c r="CB133" s="106">
        <f>COUNT(BV133:CA133)</f>
        <v/>
      </c>
      <c r="CC133" s="464">
        <f>IF(CB133=0,0,IF(CB133=1,0,1/(CB133*(CB133-1))))</f>
        <v/>
      </c>
      <c r="CD133" s="136">
        <f>IF(R133&gt;0,(BV133^2),"")</f>
        <v/>
      </c>
      <c r="CE133" s="136">
        <f>IF(X133&gt;0,(BW133^2),"")</f>
        <v/>
      </c>
      <c r="CF133" s="136">
        <f>IF(AB133&gt;0,(BX133^2),"")</f>
        <v/>
      </c>
      <c r="CG133" s="136">
        <f>IF(AF133&gt;0,(BY133^2),"")</f>
        <v/>
      </c>
      <c r="CH133" s="136">
        <f>IF(AJ133&gt;0,(BZ133^2),"")</f>
        <v/>
      </c>
      <c r="CI133" s="136">
        <f>IF(AN133&gt;0,(CA133^2),"")</f>
        <v/>
      </c>
    </row>
    <row r="134" ht="18.75" customHeight="1" s="444">
      <c r="A134" s="340" t="inlineStr">
        <is>
          <t>/</t>
        </is>
      </c>
      <c r="B134" s="65">
        <f>B133+1</f>
        <v/>
      </c>
      <c r="C134" s="78" t="n"/>
      <c r="D134" s="83" t="n"/>
      <c r="E134" s="83" t="n"/>
      <c r="F134" s="329" t="n"/>
      <c r="G134" s="71" t="n">
        <v>40725</v>
      </c>
      <c r="H134" s="77" t="inlineStr">
        <is>
          <t>Compito</t>
        </is>
      </c>
      <c r="I134" s="77">
        <f>IF((V134-R134)&gt;3,"SI","")</f>
        <v/>
      </c>
      <c r="J134" s="77">
        <f>IF((U134-R134)&gt;3,"SI","")</f>
        <v/>
      </c>
      <c r="K134" s="77" t="n"/>
      <c r="L134" s="77" t="n"/>
      <c r="M134" s="137">
        <f>IF(R134&gt;0,(SQRT(CC134*(SUM(CD134:CI134)))),"")</f>
        <v/>
      </c>
      <c r="N134" s="4">
        <f>IF(T134&gt;0,(MAX(T134,Z134,AD134,AH134,AL134,AP134))+SQRT(1.2^2+1^2),"")</f>
        <v/>
      </c>
      <c r="O134" s="3">
        <f>IF(R134="",0,10*LOG10(SUM(BP134:BU134)/(COUNT(R134,X134,AB134,AF134,AJ134,AN134))))</f>
        <v/>
      </c>
      <c r="P134" s="5">
        <f>IF(AND(Y134="",AC134="",AG134="",AK134="",AO134=""),S134,AVERAGE(S134,Y134,AC134,AG134,AK134,AO134)+STDEV(S134,Y134,AC134,AG134,AK134,AO134))</f>
        <v/>
      </c>
      <c r="Q134" s="14" t="n"/>
      <c r="R134" s="11" t="n"/>
      <c r="S134" s="12" t="n"/>
      <c r="T134" s="13" t="n"/>
      <c r="U134" s="79" t="n"/>
      <c r="V134" s="79" t="n"/>
      <c r="W134" s="10" t="n"/>
      <c r="X134" s="11" t="n"/>
      <c r="Y134" s="12" t="n"/>
      <c r="Z134" s="13" t="n"/>
      <c r="AA134" s="10" t="n"/>
      <c r="AB134" s="11" t="n"/>
      <c r="AC134" s="12" t="n"/>
      <c r="AD134" s="13" t="n"/>
      <c r="AE134" s="14" t="n"/>
      <c r="AF134" s="11" t="n"/>
      <c r="AG134" s="12" t="n"/>
      <c r="AH134" s="13" t="n"/>
      <c r="AI134" s="10" t="n"/>
      <c r="AJ134" s="11" t="n"/>
      <c r="AK134" s="12" t="n"/>
      <c r="AL134" s="13" t="n"/>
      <c r="AM134" s="10" t="n"/>
      <c r="AN134" s="11" t="n"/>
      <c r="AO134" s="12" t="n"/>
      <c r="AP134" s="13" t="n"/>
      <c r="AQ134" s="6">
        <f>IF(AND((O134)&lt;85,N134&lt;137),"NO","SI")</f>
        <v/>
      </c>
      <c r="AR134" s="7">
        <f>IF((480*(10^(7.95-(O134/10))))&lt;480,480*(10^(7.95-(O134/10))),480)</f>
        <v/>
      </c>
      <c r="AS134" s="8">
        <f>IF((480*(10^(8.45-(O134/10))))&lt;480,480*(10^(8.45-(O134/10))),480)</f>
        <v/>
      </c>
      <c r="AT134" s="9">
        <f>IF((480*(10^(8.65-(O134/10))))&lt;480,480*(10^(8.65-(O134/10))),480)</f>
        <v/>
      </c>
      <c r="AU134" s="111">
        <f>IF(O134&lt;80,"0",IF((P134-O134)&lt;=2,('DPI art.191'!$G$3-(('DPI art.191'!$F$3-'DPI art.191'!$G$3)/4)*(P134-O134-2)),('DPI art.191'!$G$3-(('DPI art.191'!$G$3-'DPI art.191'!$H$3)/8)*(P134-O134-2))))</f>
        <v/>
      </c>
      <c r="AV134" s="24">
        <f>O134-AU134</f>
        <v/>
      </c>
      <c r="AW134" s="24">
        <f>IF(N134&lt;135,N134,N134-'DPI art.191'!$I$3)</f>
        <v/>
      </c>
      <c r="AX134" s="111">
        <f>IF(I134&lt;80,"0",IF((J134-I134)&lt;=2,('DPI art.191'!$G$7-(('DPI art.191'!$F$7-'DPI art.191'!$G$7)/4)*(I134-J134-2)),('DPI art.191'!$G$7-(('DPI art.191'!$G$7-'DPI art.191'!$H$7)/8)*(J134-I134-2))))</f>
        <v/>
      </c>
      <c r="AY134" s="24">
        <f>I134-AX134</f>
        <v/>
      </c>
      <c r="AZ134" s="24">
        <f>IF(H134&lt;135,H134,H134-'DPI art.191'!$I$7)</f>
        <v/>
      </c>
      <c r="BA134" s="111">
        <f>IF(O134&lt;80,"0",IF((P134-O134)&lt;=2,('DPI art.191'!$G$5-(('DPI art.191'!$F$5-'DPI art.191'!$G$5)/4)*(P134-O134-2)),('DPI art.191'!$G$5-(('DPI art.191'!$G$5-'DPI art.191'!$H$5)/8)*(P134-O134-2))))</f>
        <v/>
      </c>
      <c r="BB134" s="24">
        <f>R134-BA134</f>
        <v/>
      </c>
      <c r="BC134" s="24">
        <f>IF(N134&lt;135,N134,N134-'DPI art.191'!$I$5)</f>
        <v/>
      </c>
      <c r="BD134" s="111">
        <f>IF(O134&lt;80,"0",IF((P134-O134)&lt;=2,('DPI art.191'!$G$7-(('DPI art.191'!$F$7-'DPI art.191'!$G$7)/4)*(O134-P134-2)),('DPI art.191'!$G$7-(('DPI art.191'!$G$7-'DPI art.191'!$H$7)/8)*(P134-O134-2))))</f>
        <v/>
      </c>
      <c r="BE134" s="24">
        <f>O134-BD134</f>
        <v/>
      </c>
      <c r="BF134" s="24">
        <f>IF(N134&lt;135,N134,N134-'DPI art.191'!$I$7)</f>
        <v/>
      </c>
      <c r="BG134" s="111">
        <f>IF(AA134&lt;80,"0",IF((AB134-AA134)&lt;=2,('DPI art.191'!$G$3-(('DPI art.191'!$F$3-'DPI art.191'!$G$3)/4)*(AB134-AA134-2)),('DPI art.191'!$G$3-(('DPI art.191'!$G$3-'DPI art.191'!$H$3)/8)*(AB134-AA134-2))))</f>
        <v/>
      </c>
      <c r="BH134" s="24">
        <f>AA134-BG134</f>
        <v/>
      </c>
      <c r="BI134" s="24">
        <f>IF(Z134&lt;135,Z134,Z134-'DPI art.191'!$I$3)</f>
        <v/>
      </c>
      <c r="BJ134" s="111">
        <f>IF(U134&lt;80,"0",IF((V134-U134)&lt;=2,('DPI art.191'!$G$7-(('DPI art.191'!$F$7-'DPI art.191'!$G$7)/4)*(U134-V134-2)),('DPI art.191'!$G$7-(('DPI art.191'!$G$7-'DPI art.191'!$H$7)/8)*(V134-U134-2))))</f>
        <v/>
      </c>
      <c r="BK134" s="24">
        <f>U134-BJ134</f>
        <v/>
      </c>
      <c r="BL134" s="24">
        <f>IF(T134&lt;135,T134,T134-'DPI art.191'!$I$7)</f>
        <v/>
      </c>
      <c r="BM134" s="111">
        <f>IF(AA134&lt;80,"0",IF((AB134-AA134)&lt;=2,('DPI art.191'!$G$5-(('DPI art.191'!$F$5-'DPI art.191'!$G$5)/4)*(AB134-AA134-2)),('DPI art.191'!$G$5-(('DPI art.191'!$G$5-'DPI art.191'!$H$5)/8)*(AB134-AA134-2))))</f>
        <v/>
      </c>
      <c r="BN134" s="24">
        <f>AD134-BM134</f>
        <v/>
      </c>
      <c r="BO134" s="24">
        <f>IF(Z134&lt;135,Z134,Z134-'DPI art.191'!$I$5)</f>
        <v/>
      </c>
      <c r="BP134" s="108">
        <f>10^(0.1*R134)</f>
        <v/>
      </c>
      <c r="BQ134" s="108">
        <f>10^(0.1*X134)</f>
        <v/>
      </c>
      <c r="BR134" s="108">
        <f>10^(0.1*AB134)</f>
        <v/>
      </c>
      <c r="BS134" s="108">
        <f>10^(0.1*AF134)</f>
        <v/>
      </c>
      <c r="BT134" s="108">
        <f>10^(0.1*AJ134)</f>
        <v/>
      </c>
      <c r="BU134" s="108">
        <f>10^(0.1*AN134)</f>
        <v/>
      </c>
      <c r="BV134" s="106">
        <f>IF(R134&gt;0,(O134-R134),"")</f>
        <v/>
      </c>
      <c r="BW134" s="106">
        <f>IF(X134&gt;0,(O134-X134),"")</f>
        <v/>
      </c>
      <c r="BX134" s="106">
        <f>IF(AB134&gt;0,(O134-AB134),"")</f>
        <v/>
      </c>
      <c r="BY134" s="106">
        <f>IF(AF134&gt;0,(O134-AF134),"")</f>
        <v/>
      </c>
      <c r="BZ134" s="106">
        <f>IF(AJ134&gt;0,(O134-AJ134),"")</f>
        <v/>
      </c>
      <c r="CA134" s="106">
        <f>IF(AN134&gt;0,(O134-AN134),"")</f>
        <v/>
      </c>
      <c r="CB134" s="106">
        <f>COUNT(BV134:CA134)</f>
        <v/>
      </c>
      <c r="CC134" s="464">
        <f>IF(CB134=0,0,IF(CB134=1,0,1/(CB134*(CB134-1))))</f>
        <v/>
      </c>
      <c r="CD134" s="136">
        <f>IF(R134&gt;0,(BV134^2),"")</f>
        <v/>
      </c>
      <c r="CE134" s="136">
        <f>IF(X134&gt;0,(BW134^2),"")</f>
        <v/>
      </c>
      <c r="CF134" s="136">
        <f>IF(AB134&gt;0,(BX134^2),"")</f>
        <v/>
      </c>
      <c r="CG134" s="136">
        <f>IF(AF134&gt;0,(BY134^2),"")</f>
        <v/>
      </c>
      <c r="CH134" s="136">
        <f>IF(AJ134&gt;0,(BZ134^2),"")</f>
        <v/>
      </c>
      <c r="CI134" s="136">
        <f>IF(AN134&gt;0,(CA134^2),"")</f>
        <v/>
      </c>
    </row>
    <row r="135" ht="18.75" customHeight="1" s="444">
      <c r="A135" s="340" t="inlineStr">
        <is>
          <t>/</t>
        </is>
      </c>
      <c r="B135" s="65">
        <f>B134+1</f>
        <v/>
      </c>
      <c r="C135" s="78" t="n"/>
      <c r="D135" s="83" t="n"/>
      <c r="E135" s="83" t="n"/>
      <c r="F135" s="329" t="n"/>
      <c r="G135" s="71" t="n">
        <v>40725</v>
      </c>
      <c r="H135" s="77" t="inlineStr">
        <is>
          <t>Compito</t>
        </is>
      </c>
      <c r="I135" s="77">
        <f>IF((V135-R135)&gt;3,"SI","")</f>
        <v/>
      </c>
      <c r="J135" s="77">
        <f>IF((U135-R135)&gt;3,"SI","")</f>
        <v/>
      </c>
      <c r="K135" s="77" t="n"/>
      <c r="L135" s="77" t="n"/>
      <c r="M135" s="137">
        <f>IF(R135&gt;0,(SQRT(CC135*(SUM(CD135:CI135)))),"")</f>
        <v/>
      </c>
      <c r="N135" s="4">
        <f>IF(T135&gt;0,(MAX(T135,Z135,AD135,AH135,AL135,AP135))+SQRT(1.2^2+1^2),"")</f>
        <v/>
      </c>
      <c r="O135" s="3">
        <f>IF(R135="",0,10*LOG10(SUM(BP135:BU135)/(COUNT(R135,X135,AB135,AF135,AJ135,AN135))))</f>
        <v/>
      </c>
      <c r="P135" s="5">
        <f>IF(AND(Y135="",AC135="",AG135="",AK135="",AO135=""),S135,AVERAGE(S135,Y135,AC135,AG135,AK135,AO135)+STDEV(S135,Y135,AC135,AG135,AK135,AO135))</f>
        <v/>
      </c>
      <c r="Q135" s="14" t="n"/>
      <c r="R135" s="11" t="n"/>
      <c r="S135" s="12" t="n"/>
      <c r="T135" s="13" t="n"/>
      <c r="U135" s="79" t="n"/>
      <c r="V135" s="79" t="n"/>
      <c r="W135" s="10" t="n"/>
      <c r="X135" s="11" t="n"/>
      <c r="Y135" s="12" t="n"/>
      <c r="Z135" s="13" t="n"/>
      <c r="AA135" s="10" t="n"/>
      <c r="AB135" s="11" t="n"/>
      <c r="AC135" s="12" t="n"/>
      <c r="AD135" s="13" t="n"/>
      <c r="AE135" s="14" t="n"/>
      <c r="AF135" s="11" t="n"/>
      <c r="AG135" s="12" t="n"/>
      <c r="AH135" s="13" t="n"/>
      <c r="AI135" s="10" t="n"/>
      <c r="AJ135" s="11" t="n"/>
      <c r="AK135" s="12" t="n"/>
      <c r="AL135" s="13" t="n"/>
      <c r="AM135" s="10" t="n"/>
      <c r="AN135" s="11" t="n"/>
      <c r="AO135" s="12" t="n"/>
      <c r="AP135" s="13" t="n"/>
      <c r="AQ135" s="6">
        <f>IF(AND((O135)&lt;85,N135&lt;137),"NO","SI")</f>
        <v/>
      </c>
      <c r="AR135" s="7">
        <f>IF((480*(10^(7.95-(O135/10))))&lt;480,480*(10^(7.95-(O135/10))),480)</f>
        <v/>
      </c>
      <c r="AS135" s="8">
        <f>IF((480*(10^(8.45-(O135/10))))&lt;480,480*(10^(8.45-(O135/10))),480)</f>
        <v/>
      </c>
      <c r="AT135" s="9">
        <f>IF((480*(10^(8.65-(O135/10))))&lt;480,480*(10^(8.65-(O135/10))),480)</f>
        <v/>
      </c>
      <c r="AU135" s="111">
        <f>IF(O135&lt;80,"0",IF((P135-O135)&lt;=2,('DPI art.191'!$G$3-(('DPI art.191'!$F$3-'DPI art.191'!$G$3)/4)*(P135-O135-2)),('DPI art.191'!$G$3-(('DPI art.191'!$G$3-'DPI art.191'!$H$3)/8)*(P135-O135-2))))</f>
        <v/>
      </c>
      <c r="AV135" s="24">
        <f>O135-AU135</f>
        <v/>
      </c>
      <c r="AW135" s="24">
        <f>IF(N135&lt;135,N135,N135-'DPI art.191'!$I$3)</f>
        <v/>
      </c>
      <c r="AX135" s="111">
        <f>IF(I135&lt;80,"0",IF((J135-I135)&lt;=2,('DPI art.191'!$G$7-(('DPI art.191'!$F$7-'DPI art.191'!$G$7)/4)*(I135-J135-2)),('DPI art.191'!$G$7-(('DPI art.191'!$G$7-'DPI art.191'!$H$7)/8)*(J135-I135-2))))</f>
        <v/>
      </c>
      <c r="AY135" s="24">
        <f>I135-AX135</f>
        <v/>
      </c>
      <c r="AZ135" s="24">
        <f>IF(H135&lt;135,H135,H135-'DPI art.191'!$I$7)</f>
        <v/>
      </c>
      <c r="BA135" s="111">
        <f>IF(O135&lt;80,"0",IF((P135-O135)&lt;=2,('DPI art.191'!$G$5-(('DPI art.191'!$F$5-'DPI art.191'!$G$5)/4)*(P135-O135-2)),('DPI art.191'!$G$5-(('DPI art.191'!$G$5-'DPI art.191'!$H$5)/8)*(P135-O135-2))))</f>
        <v/>
      </c>
      <c r="BB135" s="24">
        <f>R135-BA135</f>
        <v/>
      </c>
      <c r="BC135" s="24">
        <f>IF(N135&lt;135,N135,N135-'DPI art.191'!$I$5)</f>
        <v/>
      </c>
      <c r="BD135" s="111">
        <f>IF(O135&lt;80,"0",IF((P135-O135)&lt;=2,('DPI art.191'!$G$7-(('DPI art.191'!$F$7-'DPI art.191'!$G$7)/4)*(O135-P135-2)),('DPI art.191'!$G$7-(('DPI art.191'!$G$7-'DPI art.191'!$H$7)/8)*(P135-O135-2))))</f>
        <v/>
      </c>
      <c r="BE135" s="24">
        <f>O135-BD135</f>
        <v/>
      </c>
      <c r="BF135" s="24">
        <f>IF(N135&lt;135,N135,N135-'DPI art.191'!$I$7)</f>
        <v/>
      </c>
      <c r="BG135" s="111">
        <f>IF(AA135&lt;80,"0",IF((AB135-AA135)&lt;=2,('DPI art.191'!$G$3-(('DPI art.191'!$F$3-'DPI art.191'!$G$3)/4)*(AB135-AA135-2)),('DPI art.191'!$G$3-(('DPI art.191'!$G$3-'DPI art.191'!$H$3)/8)*(AB135-AA135-2))))</f>
        <v/>
      </c>
      <c r="BH135" s="24">
        <f>AA135-BG135</f>
        <v/>
      </c>
      <c r="BI135" s="24">
        <f>IF(Z135&lt;135,Z135,Z135-'DPI art.191'!$I$3)</f>
        <v/>
      </c>
      <c r="BJ135" s="111">
        <f>IF(U135&lt;80,"0",IF((V135-U135)&lt;=2,('DPI art.191'!$G$7-(('DPI art.191'!$F$7-'DPI art.191'!$G$7)/4)*(U135-V135-2)),('DPI art.191'!$G$7-(('DPI art.191'!$G$7-'DPI art.191'!$H$7)/8)*(V135-U135-2))))</f>
        <v/>
      </c>
      <c r="BK135" s="24">
        <f>U135-BJ135</f>
        <v/>
      </c>
      <c r="BL135" s="24">
        <f>IF(T135&lt;135,T135,T135-'DPI art.191'!$I$7)</f>
        <v/>
      </c>
      <c r="BM135" s="111">
        <f>IF(AA135&lt;80,"0",IF((AB135-AA135)&lt;=2,('DPI art.191'!$G$5-(('DPI art.191'!$F$5-'DPI art.191'!$G$5)/4)*(AB135-AA135-2)),('DPI art.191'!$G$5-(('DPI art.191'!$G$5-'DPI art.191'!$H$5)/8)*(AB135-AA135-2))))</f>
        <v/>
      </c>
      <c r="BN135" s="24">
        <f>AD135-BM135</f>
        <v/>
      </c>
      <c r="BO135" s="24">
        <f>IF(Z135&lt;135,Z135,Z135-'DPI art.191'!$I$5)</f>
        <v/>
      </c>
      <c r="BP135" s="108">
        <f>10^(0.1*R135)</f>
        <v/>
      </c>
      <c r="BQ135" s="108">
        <f>10^(0.1*X135)</f>
        <v/>
      </c>
      <c r="BR135" s="108">
        <f>10^(0.1*AB135)</f>
        <v/>
      </c>
      <c r="BS135" s="108">
        <f>10^(0.1*AF135)</f>
        <v/>
      </c>
      <c r="BT135" s="108">
        <f>10^(0.1*AJ135)</f>
        <v/>
      </c>
      <c r="BU135" s="108">
        <f>10^(0.1*AN135)</f>
        <v/>
      </c>
      <c r="BV135" s="106">
        <f>IF(R135&gt;0,(O135-R135),"")</f>
        <v/>
      </c>
      <c r="BW135" s="106">
        <f>IF(X135&gt;0,(O135-X135),"")</f>
        <v/>
      </c>
      <c r="BX135" s="106">
        <f>IF(AB135&gt;0,(O135-AB135),"")</f>
        <v/>
      </c>
      <c r="BY135" s="106">
        <f>IF(AF135&gt;0,(O135-AF135),"")</f>
        <v/>
      </c>
      <c r="BZ135" s="106">
        <f>IF(AJ135&gt;0,(O135-AJ135),"")</f>
        <v/>
      </c>
      <c r="CA135" s="106">
        <f>IF(AN135&gt;0,(O135-AN135),"")</f>
        <v/>
      </c>
      <c r="CB135" s="106">
        <f>COUNT(BV135:CA135)</f>
        <v/>
      </c>
      <c r="CC135" s="464">
        <f>IF(CB135=0,0,IF(CB135=1,0,1/(CB135*(CB135-1))))</f>
        <v/>
      </c>
      <c r="CD135" s="136">
        <f>IF(R135&gt;0,(BV135^2),"")</f>
        <v/>
      </c>
      <c r="CE135" s="136">
        <f>IF(X135&gt;0,(BW135^2),"")</f>
        <v/>
      </c>
      <c r="CF135" s="136">
        <f>IF(AB135&gt;0,(BX135^2),"")</f>
        <v/>
      </c>
      <c r="CG135" s="136">
        <f>IF(AF135&gt;0,(BY135^2),"")</f>
        <v/>
      </c>
      <c r="CH135" s="136">
        <f>IF(AJ135&gt;0,(BZ135^2),"")</f>
        <v/>
      </c>
      <c r="CI135" s="136">
        <f>IF(AN135&gt;0,(CA135^2),"")</f>
        <v/>
      </c>
    </row>
    <row r="136" ht="18.75" customHeight="1" s="444">
      <c r="A136" s="340" t="inlineStr">
        <is>
          <t>/</t>
        </is>
      </c>
      <c r="B136" s="65">
        <f>B135+1</f>
        <v/>
      </c>
      <c r="C136" s="78" t="n"/>
      <c r="D136" s="83" t="n"/>
      <c r="E136" s="83" t="n"/>
      <c r="F136" s="329" t="n"/>
      <c r="G136" s="71" t="n">
        <v>40725</v>
      </c>
      <c r="H136" s="77" t="inlineStr">
        <is>
          <t>Compito</t>
        </is>
      </c>
      <c r="I136" s="77">
        <f>IF((V136-R136)&gt;3,"SI","")</f>
        <v/>
      </c>
      <c r="J136" s="77">
        <f>IF((U136-R136)&gt;3,"SI","")</f>
        <v/>
      </c>
      <c r="K136" s="77" t="n"/>
      <c r="L136" s="77" t="n"/>
      <c r="M136" s="137">
        <f>IF(R136&gt;0,(SQRT(CC136*(SUM(CD136:CI136)))),"")</f>
        <v/>
      </c>
      <c r="N136" s="4">
        <f>IF(T136&gt;0,(MAX(T136,Z136,AD136,AH136,AL136,AP136))+SQRT(1.2^2+1^2),"")</f>
        <v/>
      </c>
      <c r="O136" s="3">
        <f>IF(R136="",0,10*LOG10(SUM(BP136:BU136)/(COUNT(R136,X136,AB136,AF136,AJ136,AN136))))</f>
        <v/>
      </c>
      <c r="P136" s="5">
        <f>IF(AND(Y136="",AC136="",AG136="",AK136="",AO136=""),S136,AVERAGE(S136,Y136,AC136,AG136,AK136,AO136)+STDEV(S136,Y136,AC136,AG136,AK136,AO136))</f>
        <v/>
      </c>
      <c r="Q136" s="14" t="n"/>
      <c r="R136" s="11" t="n"/>
      <c r="S136" s="12" t="n"/>
      <c r="T136" s="13" t="n"/>
      <c r="U136" s="79" t="n"/>
      <c r="V136" s="79" t="n"/>
      <c r="W136" s="10" t="n"/>
      <c r="X136" s="11" t="n"/>
      <c r="Y136" s="12" t="n"/>
      <c r="Z136" s="13" t="n"/>
      <c r="AA136" s="10" t="n"/>
      <c r="AB136" s="11" t="n"/>
      <c r="AC136" s="12" t="n"/>
      <c r="AD136" s="13" t="n"/>
      <c r="AE136" s="14" t="n"/>
      <c r="AF136" s="11" t="n"/>
      <c r="AG136" s="12" t="n"/>
      <c r="AH136" s="13" t="n"/>
      <c r="AI136" s="10" t="n"/>
      <c r="AJ136" s="11" t="n"/>
      <c r="AK136" s="12" t="n"/>
      <c r="AL136" s="13" t="n"/>
      <c r="AM136" s="10" t="n"/>
      <c r="AN136" s="11" t="n"/>
      <c r="AO136" s="12" t="n"/>
      <c r="AP136" s="13" t="n"/>
      <c r="AQ136" s="6">
        <f>IF(AND((O136)&lt;85,N136&lt;137),"NO","SI")</f>
        <v/>
      </c>
      <c r="AR136" s="7">
        <f>IF((480*(10^(7.95-(O136/10))))&lt;480,480*(10^(7.95-(O136/10))),480)</f>
        <v/>
      </c>
      <c r="AS136" s="8">
        <f>IF((480*(10^(8.45-(O136/10))))&lt;480,480*(10^(8.45-(O136/10))),480)</f>
        <v/>
      </c>
      <c r="AT136" s="9">
        <f>IF((480*(10^(8.65-(O136/10))))&lt;480,480*(10^(8.65-(O136/10))),480)</f>
        <v/>
      </c>
      <c r="AU136" s="111">
        <f>IF(O136&lt;80,"0",IF((P136-O136)&lt;=2,('DPI art.191'!$G$3-(('DPI art.191'!$F$3-'DPI art.191'!$G$3)/4)*(P136-O136-2)),('DPI art.191'!$G$3-(('DPI art.191'!$G$3-'DPI art.191'!$H$3)/8)*(P136-O136-2))))</f>
        <v/>
      </c>
      <c r="AV136" s="24">
        <f>O136-AU136</f>
        <v/>
      </c>
      <c r="AW136" s="24">
        <f>IF(N136&lt;135,N136,N136-'DPI art.191'!$I$3)</f>
        <v/>
      </c>
      <c r="AX136" s="111">
        <f>IF(I136&lt;80,"0",IF((J136-I136)&lt;=2,('DPI art.191'!$G$7-(('DPI art.191'!$F$7-'DPI art.191'!$G$7)/4)*(I136-J136-2)),('DPI art.191'!$G$7-(('DPI art.191'!$G$7-'DPI art.191'!$H$7)/8)*(J136-I136-2))))</f>
        <v/>
      </c>
      <c r="AY136" s="24">
        <f>I136-AX136</f>
        <v/>
      </c>
      <c r="AZ136" s="24">
        <f>IF(H136&lt;135,H136,H136-'DPI art.191'!$I$7)</f>
        <v/>
      </c>
      <c r="BA136" s="111">
        <f>IF(O136&lt;80,"0",IF((P136-O136)&lt;=2,('DPI art.191'!$G$5-(('DPI art.191'!$F$5-'DPI art.191'!$G$5)/4)*(P136-O136-2)),('DPI art.191'!$G$5-(('DPI art.191'!$G$5-'DPI art.191'!$H$5)/8)*(P136-O136-2))))</f>
        <v/>
      </c>
      <c r="BB136" s="24">
        <f>R136-BA136</f>
        <v/>
      </c>
      <c r="BC136" s="24">
        <f>IF(N136&lt;135,N136,N136-'DPI art.191'!$I$5)</f>
        <v/>
      </c>
      <c r="BD136" s="111">
        <f>IF(O136&lt;80,"0",IF((P136-O136)&lt;=2,('DPI art.191'!$G$7-(('DPI art.191'!$F$7-'DPI art.191'!$G$7)/4)*(O136-P136-2)),('DPI art.191'!$G$7-(('DPI art.191'!$G$7-'DPI art.191'!$H$7)/8)*(P136-O136-2))))</f>
        <v/>
      </c>
      <c r="BE136" s="24">
        <f>O136-BD136</f>
        <v/>
      </c>
      <c r="BF136" s="24">
        <f>IF(N136&lt;135,N136,N136-'DPI art.191'!$I$7)</f>
        <v/>
      </c>
      <c r="BG136" s="111">
        <f>IF(AA136&lt;80,"0",IF((AB136-AA136)&lt;=2,('DPI art.191'!$G$3-(('DPI art.191'!$F$3-'DPI art.191'!$G$3)/4)*(AB136-AA136-2)),('DPI art.191'!$G$3-(('DPI art.191'!$G$3-'DPI art.191'!$H$3)/8)*(AB136-AA136-2))))</f>
        <v/>
      </c>
      <c r="BH136" s="24">
        <f>AA136-BG136</f>
        <v/>
      </c>
      <c r="BI136" s="24">
        <f>IF(Z136&lt;135,Z136,Z136-'DPI art.191'!$I$3)</f>
        <v/>
      </c>
      <c r="BJ136" s="111">
        <f>IF(U136&lt;80,"0",IF((V136-U136)&lt;=2,('DPI art.191'!$G$7-(('DPI art.191'!$F$7-'DPI art.191'!$G$7)/4)*(U136-V136-2)),('DPI art.191'!$G$7-(('DPI art.191'!$G$7-'DPI art.191'!$H$7)/8)*(V136-U136-2))))</f>
        <v/>
      </c>
      <c r="BK136" s="24">
        <f>U136-BJ136</f>
        <v/>
      </c>
      <c r="BL136" s="24">
        <f>IF(T136&lt;135,T136,T136-'DPI art.191'!$I$7)</f>
        <v/>
      </c>
      <c r="BM136" s="111">
        <f>IF(AA136&lt;80,"0",IF((AB136-AA136)&lt;=2,('DPI art.191'!$G$5-(('DPI art.191'!$F$5-'DPI art.191'!$G$5)/4)*(AB136-AA136-2)),('DPI art.191'!$G$5-(('DPI art.191'!$G$5-'DPI art.191'!$H$5)/8)*(AB136-AA136-2))))</f>
        <v/>
      </c>
      <c r="BN136" s="24">
        <f>AD136-BM136</f>
        <v/>
      </c>
      <c r="BO136" s="24">
        <f>IF(Z136&lt;135,Z136,Z136-'DPI art.191'!$I$5)</f>
        <v/>
      </c>
      <c r="BP136" s="108">
        <f>10^(0.1*R136)</f>
        <v/>
      </c>
      <c r="BQ136" s="108">
        <f>10^(0.1*X136)</f>
        <v/>
      </c>
      <c r="BR136" s="108">
        <f>10^(0.1*AB136)</f>
        <v/>
      </c>
      <c r="BS136" s="108">
        <f>10^(0.1*AF136)</f>
        <v/>
      </c>
      <c r="BT136" s="108">
        <f>10^(0.1*AJ136)</f>
        <v/>
      </c>
      <c r="BU136" s="108">
        <f>10^(0.1*AN136)</f>
        <v/>
      </c>
      <c r="BV136" s="106">
        <f>IF(R136&gt;0,(O136-R136),"")</f>
        <v/>
      </c>
      <c r="BW136" s="106">
        <f>IF(X136&gt;0,(O136-X136),"")</f>
        <v/>
      </c>
      <c r="BX136" s="106">
        <f>IF(AB136&gt;0,(O136-AB136),"")</f>
        <v/>
      </c>
      <c r="BY136" s="106">
        <f>IF(AF136&gt;0,(O136-AF136),"")</f>
        <v/>
      </c>
      <c r="BZ136" s="106">
        <f>IF(AJ136&gt;0,(O136-AJ136),"")</f>
        <v/>
      </c>
      <c r="CA136" s="106">
        <f>IF(AN136&gt;0,(O136-AN136),"")</f>
        <v/>
      </c>
      <c r="CB136" s="106">
        <f>COUNT(BV136:CA136)</f>
        <v/>
      </c>
      <c r="CC136" s="464">
        <f>IF(CB136=0,0,IF(CB136=1,0,1/(CB136*(CB136-1))))</f>
        <v/>
      </c>
      <c r="CD136" s="136">
        <f>IF(R136&gt;0,(BV136^2),"")</f>
        <v/>
      </c>
      <c r="CE136" s="136">
        <f>IF(X136&gt;0,(BW136^2),"")</f>
        <v/>
      </c>
      <c r="CF136" s="136">
        <f>IF(AB136&gt;0,(BX136^2),"")</f>
        <v/>
      </c>
      <c r="CG136" s="136">
        <f>IF(AF136&gt;0,(BY136^2),"")</f>
        <v/>
      </c>
      <c r="CH136" s="136">
        <f>IF(AJ136&gt;0,(BZ136^2),"")</f>
        <v/>
      </c>
      <c r="CI136" s="136">
        <f>IF(AN136&gt;0,(CA136^2),"")</f>
        <v/>
      </c>
    </row>
    <row r="137" ht="18.75" customHeight="1" s="444">
      <c r="A137" s="340" t="inlineStr">
        <is>
          <t>/</t>
        </is>
      </c>
      <c r="B137" s="65">
        <f>B136+1</f>
        <v/>
      </c>
      <c r="C137" s="78" t="n"/>
      <c r="D137" s="83" t="n"/>
      <c r="E137" s="83" t="n"/>
      <c r="F137" s="329" t="n"/>
      <c r="G137" s="71" t="n">
        <v>40725</v>
      </c>
      <c r="H137" s="77" t="inlineStr">
        <is>
          <t>Compito</t>
        </is>
      </c>
      <c r="I137" s="77">
        <f>IF((V137-R137)&gt;3,"SI","")</f>
        <v/>
      </c>
      <c r="J137" s="77">
        <f>IF((U137-R137)&gt;3,"SI","")</f>
        <v/>
      </c>
      <c r="K137" s="77" t="n"/>
      <c r="L137" s="77" t="n"/>
      <c r="M137" s="137">
        <f>IF(R137&gt;0,(SQRT(CC137*(SUM(CD137:CI137)))),"")</f>
        <v/>
      </c>
      <c r="N137" s="4">
        <f>IF(T137&gt;0,(MAX(T137,Z137,AD137,AH137,AL137,AP137))+SQRT(1.2^2+1^2),"")</f>
        <v/>
      </c>
      <c r="O137" s="3">
        <f>IF(R137="",0,10*LOG10(SUM(BP137:BU137)/(COUNT(R137,X137,AB137,AF137,AJ137,AN137))))</f>
        <v/>
      </c>
      <c r="P137" s="5">
        <f>IF(AND(Y137="",AC137="",AG137="",AK137="",AO137=""),S137,AVERAGE(S137,Y137,AC137,AG137,AK137,AO137)+STDEV(S137,Y137,AC137,AG137,AK137,AO137))</f>
        <v/>
      </c>
      <c r="Q137" s="14" t="n"/>
      <c r="R137" s="11" t="n"/>
      <c r="S137" s="12" t="n"/>
      <c r="T137" s="13" t="n"/>
      <c r="U137" s="79" t="n"/>
      <c r="V137" s="79" t="n"/>
      <c r="W137" s="10" t="n"/>
      <c r="X137" s="11" t="n"/>
      <c r="Y137" s="12" t="n"/>
      <c r="Z137" s="13" t="n"/>
      <c r="AA137" s="10" t="n"/>
      <c r="AB137" s="11" t="n"/>
      <c r="AC137" s="12" t="n"/>
      <c r="AD137" s="13" t="n"/>
      <c r="AE137" s="14" t="n"/>
      <c r="AF137" s="11" t="n"/>
      <c r="AG137" s="12" t="n"/>
      <c r="AH137" s="13" t="n"/>
      <c r="AI137" s="10" t="n"/>
      <c r="AJ137" s="11" t="n"/>
      <c r="AK137" s="12" t="n"/>
      <c r="AL137" s="13" t="n"/>
      <c r="AM137" s="10" t="n"/>
      <c r="AN137" s="11" t="n"/>
      <c r="AO137" s="12" t="n"/>
      <c r="AP137" s="13" t="n"/>
      <c r="AQ137" s="6">
        <f>IF(AND((O137)&lt;85,N137&lt;137),"NO","SI")</f>
        <v/>
      </c>
      <c r="AR137" s="7">
        <f>IF((480*(10^(7.95-(O137/10))))&lt;480,480*(10^(7.95-(O137/10))),480)</f>
        <v/>
      </c>
      <c r="AS137" s="8">
        <f>IF((480*(10^(8.45-(O137/10))))&lt;480,480*(10^(8.45-(O137/10))),480)</f>
        <v/>
      </c>
      <c r="AT137" s="9">
        <f>IF((480*(10^(8.65-(O137/10))))&lt;480,480*(10^(8.65-(O137/10))),480)</f>
        <v/>
      </c>
      <c r="AU137" s="111">
        <f>IF(O137&lt;80,"0",IF((P137-O137)&lt;=2,('DPI art.191'!$G$3-(('DPI art.191'!$F$3-'DPI art.191'!$G$3)/4)*(P137-O137-2)),('DPI art.191'!$G$3-(('DPI art.191'!$G$3-'DPI art.191'!$H$3)/8)*(P137-O137-2))))</f>
        <v/>
      </c>
      <c r="AV137" s="24">
        <f>O137-AU137</f>
        <v/>
      </c>
      <c r="AW137" s="24">
        <f>IF(N137&lt;135,N137,N137-'DPI art.191'!$I$3)</f>
        <v/>
      </c>
      <c r="AX137" s="111">
        <f>IF(I137&lt;80,"0",IF((J137-I137)&lt;=2,('DPI art.191'!$G$7-(('DPI art.191'!$F$7-'DPI art.191'!$G$7)/4)*(I137-J137-2)),('DPI art.191'!$G$7-(('DPI art.191'!$G$7-'DPI art.191'!$H$7)/8)*(J137-I137-2))))</f>
        <v/>
      </c>
      <c r="AY137" s="24">
        <f>I137-AX137</f>
        <v/>
      </c>
      <c r="AZ137" s="24">
        <f>IF(H137&lt;135,H137,H137-'DPI art.191'!$I$7)</f>
        <v/>
      </c>
      <c r="BA137" s="111">
        <f>IF(O137&lt;80,"0",IF((P137-O137)&lt;=2,('DPI art.191'!$G$5-(('DPI art.191'!$F$5-'DPI art.191'!$G$5)/4)*(P137-O137-2)),('DPI art.191'!$G$5-(('DPI art.191'!$G$5-'DPI art.191'!$H$5)/8)*(P137-O137-2))))</f>
        <v/>
      </c>
      <c r="BB137" s="24">
        <f>R137-BA137</f>
        <v/>
      </c>
      <c r="BC137" s="24">
        <f>IF(N137&lt;135,N137,N137-'DPI art.191'!$I$5)</f>
        <v/>
      </c>
      <c r="BD137" s="111">
        <f>IF(O137&lt;80,"0",IF((P137-O137)&lt;=2,('DPI art.191'!$G$7-(('DPI art.191'!$F$7-'DPI art.191'!$G$7)/4)*(O137-P137-2)),('DPI art.191'!$G$7-(('DPI art.191'!$G$7-'DPI art.191'!$H$7)/8)*(P137-O137-2))))</f>
        <v/>
      </c>
      <c r="BE137" s="24">
        <f>O137-BD137</f>
        <v/>
      </c>
      <c r="BF137" s="24">
        <f>IF(N137&lt;135,N137,N137-'DPI art.191'!$I$7)</f>
        <v/>
      </c>
      <c r="BG137" s="111">
        <f>IF(AA137&lt;80,"0",IF((AB137-AA137)&lt;=2,('DPI art.191'!$G$3-(('DPI art.191'!$F$3-'DPI art.191'!$G$3)/4)*(AB137-AA137-2)),('DPI art.191'!$G$3-(('DPI art.191'!$G$3-'DPI art.191'!$H$3)/8)*(AB137-AA137-2))))</f>
        <v/>
      </c>
      <c r="BH137" s="24">
        <f>AA137-BG137</f>
        <v/>
      </c>
      <c r="BI137" s="24">
        <f>IF(Z137&lt;135,Z137,Z137-'DPI art.191'!$I$3)</f>
        <v/>
      </c>
      <c r="BJ137" s="111">
        <f>IF(U137&lt;80,"0",IF((V137-U137)&lt;=2,('DPI art.191'!$G$7-(('DPI art.191'!$F$7-'DPI art.191'!$G$7)/4)*(U137-V137-2)),('DPI art.191'!$G$7-(('DPI art.191'!$G$7-'DPI art.191'!$H$7)/8)*(V137-U137-2))))</f>
        <v/>
      </c>
      <c r="BK137" s="24">
        <f>U137-BJ137</f>
        <v/>
      </c>
      <c r="BL137" s="24">
        <f>IF(T137&lt;135,T137,T137-'DPI art.191'!$I$7)</f>
        <v/>
      </c>
      <c r="BM137" s="111">
        <f>IF(AA137&lt;80,"0",IF((AB137-AA137)&lt;=2,('DPI art.191'!$G$5-(('DPI art.191'!$F$5-'DPI art.191'!$G$5)/4)*(AB137-AA137-2)),('DPI art.191'!$G$5-(('DPI art.191'!$G$5-'DPI art.191'!$H$5)/8)*(AB137-AA137-2))))</f>
        <v/>
      </c>
      <c r="BN137" s="24">
        <f>AD137-BM137</f>
        <v/>
      </c>
      <c r="BO137" s="24">
        <f>IF(Z137&lt;135,Z137,Z137-'DPI art.191'!$I$5)</f>
        <v/>
      </c>
      <c r="BP137" s="108">
        <f>10^(0.1*R137)</f>
        <v/>
      </c>
      <c r="BQ137" s="108">
        <f>10^(0.1*X137)</f>
        <v/>
      </c>
      <c r="BR137" s="108">
        <f>10^(0.1*AB137)</f>
        <v/>
      </c>
      <c r="BS137" s="108">
        <f>10^(0.1*AF137)</f>
        <v/>
      </c>
      <c r="BT137" s="108">
        <f>10^(0.1*AJ137)</f>
        <v/>
      </c>
      <c r="BU137" s="108">
        <f>10^(0.1*AN137)</f>
        <v/>
      </c>
      <c r="BV137" s="106">
        <f>IF(R137&gt;0,(O137-R137),"")</f>
        <v/>
      </c>
      <c r="BW137" s="106">
        <f>IF(X137&gt;0,(O137-X137),"")</f>
        <v/>
      </c>
      <c r="BX137" s="106">
        <f>IF(AB137&gt;0,(O137-AB137),"")</f>
        <v/>
      </c>
      <c r="BY137" s="106">
        <f>IF(AF137&gt;0,(O137-AF137),"")</f>
        <v/>
      </c>
      <c r="BZ137" s="106">
        <f>IF(AJ137&gt;0,(O137-AJ137),"")</f>
        <v/>
      </c>
      <c r="CA137" s="106">
        <f>IF(AN137&gt;0,(O137-AN137),"")</f>
        <v/>
      </c>
      <c r="CB137" s="106">
        <f>COUNT(BV137:CA137)</f>
        <v/>
      </c>
      <c r="CC137" s="464">
        <f>IF(CB137=0,0,IF(CB137=1,0,1/(CB137*(CB137-1))))</f>
        <v/>
      </c>
      <c r="CD137" s="136">
        <f>IF(R137&gt;0,(BV137^2),"")</f>
        <v/>
      </c>
      <c r="CE137" s="136">
        <f>IF(X137&gt;0,(BW137^2),"")</f>
        <v/>
      </c>
      <c r="CF137" s="136">
        <f>IF(AB137&gt;0,(BX137^2),"")</f>
        <v/>
      </c>
      <c r="CG137" s="136">
        <f>IF(AF137&gt;0,(BY137^2),"")</f>
        <v/>
      </c>
      <c r="CH137" s="136">
        <f>IF(AJ137&gt;0,(BZ137^2),"")</f>
        <v/>
      </c>
      <c r="CI137" s="136">
        <f>IF(AN137&gt;0,(CA137^2),"")</f>
        <v/>
      </c>
    </row>
    <row r="138" ht="18.75" customHeight="1" s="444">
      <c r="A138" s="340" t="inlineStr">
        <is>
          <t>/</t>
        </is>
      </c>
      <c r="B138" s="65">
        <f>B137+1</f>
        <v/>
      </c>
      <c r="C138" s="78" t="n"/>
      <c r="D138" s="83" t="n"/>
      <c r="E138" s="83" t="n"/>
      <c r="F138" s="329" t="n"/>
      <c r="G138" s="71" t="n">
        <v>40725</v>
      </c>
      <c r="H138" s="77" t="inlineStr">
        <is>
          <t>Compito</t>
        </is>
      </c>
      <c r="I138" s="77">
        <f>IF((V138-R138)&gt;3,"SI","")</f>
        <v/>
      </c>
      <c r="J138" s="77">
        <f>IF((U138-R138)&gt;3,"SI","")</f>
        <v/>
      </c>
      <c r="K138" s="77" t="n"/>
      <c r="L138" s="77" t="n"/>
      <c r="M138" s="137">
        <f>IF(R138&gt;0,(SQRT(CC138*(SUM(CD138:CI138)))),"")</f>
        <v/>
      </c>
      <c r="N138" s="4">
        <f>IF(T138&gt;0,(MAX(T138,Z138,AD138,AH138,AL138,AP138))+SQRT(1.2^2+1^2),"")</f>
        <v/>
      </c>
      <c r="O138" s="3">
        <f>IF(R138="",0,10*LOG10(SUM(BP138:BU138)/(COUNT(R138,X138,AB138,AF138,AJ138,AN138))))</f>
        <v/>
      </c>
      <c r="P138" s="5">
        <f>IF(AND(Y138="",AC138="",AG138="",AK138="",AO138=""),S138,AVERAGE(S138,Y138,AC138,AG138,AK138,AO138)+STDEV(S138,Y138,AC138,AG138,AK138,AO138))</f>
        <v/>
      </c>
      <c r="Q138" s="14" t="n"/>
      <c r="R138" s="11" t="n"/>
      <c r="S138" s="12" t="n"/>
      <c r="T138" s="13" t="n"/>
      <c r="U138" s="79" t="n"/>
      <c r="V138" s="79" t="n"/>
      <c r="W138" s="10" t="n"/>
      <c r="X138" s="11" t="n"/>
      <c r="Y138" s="12" t="n"/>
      <c r="Z138" s="13" t="n"/>
      <c r="AA138" s="10" t="n"/>
      <c r="AB138" s="11" t="n"/>
      <c r="AC138" s="12" t="n"/>
      <c r="AD138" s="13" t="n"/>
      <c r="AE138" s="14" t="n"/>
      <c r="AF138" s="11" t="n"/>
      <c r="AG138" s="12" t="n"/>
      <c r="AH138" s="13" t="n"/>
      <c r="AI138" s="10" t="n"/>
      <c r="AJ138" s="11" t="n"/>
      <c r="AK138" s="12" t="n"/>
      <c r="AL138" s="13" t="n"/>
      <c r="AM138" s="10" t="n"/>
      <c r="AN138" s="11" t="n"/>
      <c r="AO138" s="12" t="n"/>
      <c r="AP138" s="13" t="n"/>
      <c r="AQ138" s="6">
        <f>IF(AND((O138)&lt;85,N138&lt;137),"NO","SI")</f>
        <v/>
      </c>
      <c r="AR138" s="7">
        <f>IF((480*(10^(7.95-(O138/10))))&lt;480,480*(10^(7.95-(O138/10))),480)</f>
        <v/>
      </c>
      <c r="AS138" s="8">
        <f>IF((480*(10^(8.45-(O138/10))))&lt;480,480*(10^(8.45-(O138/10))),480)</f>
        <v/>
      </c>
      <c r="AT138" s="9">
        <f>IF((480*(10^(8.65-(O138/10))))&lt;480,480*(10^(8.65-(O138/10))),480)</f>
        <v/>
      </c>
      <c r="AU138" s="111">
        <f>IF(O138&lt;80,"0",IF((P138-O138)&lt;=2,('DPI art.191'!$G$3-(('DPI art.191'!$F$3-'DPI art.191'!$G$3)/4)*(P138-O138-2)),('DPI art.191'!$G$3-(('DPI art.191'!$G$3-'DPI art.191'!$H$3)/8)*(P138-O138-2))))</f>
        <v/>
      </c>
      <c r="AV138" s="24">
        <f>O138-AU138</f>
        <v/>
      </c>
      <c r="AW138" s="24">
        <f>IF(N138&lt;135,N138,N138-'DPI art.191'!$I$3)</f>
        <v/>
      </c>
      <c r="AX138" s="111">
        <f>IF(I138&lt;80,"0",IF((J138-I138)&lt;=2,('DPI art.191'!$G$7-(('DPI art.191'!$F$7-'DPI art.191'!$G$7)/4)*(I138-J138-2)),('DPI art.191'!$G$7-(('DPI art.191'!$G$7-'DPI art.191'!$H$7)/8)*(J138-I138-2))))</f>
        <v/>
      </c>
      <c r="AY138" s="24">
        <f>I138-AX138</f>
        <v/>
      </c>
      <c r="AZ138" s="24">
        <f>IF(H138&lt;135,H138,H138-'DPI art.191'!$I$7)</f>
        <v/>
      </c>
      <c r="BA138" s="111">
        <f>IF(O138&lt;80,"0",IF((P138-O138)&lt;=2,('DPI art.191'!$G$5-(('DPI art.191'!$F$5-'DPI art.191'!$G$5)/4)*(P138-O138-2)),('DPI art.191'!$G$5-(('DPI art.191'!$G$5-'DPI art.191'!$H$5)/8)*(P138-O138-2))))</f>
        <v/>
      </c>
      <c r="BB138" s="24">
        <f>R138-BA138</f>
        <v/>
      </c>
      <c r="BC138" s="24">
        <f>IF(N138&lt;135,N138,N138-'DPI art.191'!$I$5)</f>
        <v/>
      </c>
      <c r="BD138" s="111">
        <f>IF(O138&lt;80,"0",IF((P138-O138)&lt;=2,('DPI art.191'!$G$7-(('DPI art.191'!$F$7-'DPI art.191'!$G$7)/4)*(O138-P138-2)),('DPI art.191'!$G$7-(('DPI art.191'!$G$7-'DPI art.191'!$H$7)/8)*(P138-O138-2))))</f>
        <v/>
      </c>
      <c r="BE138" s="24">
        <f>O138-BD138</f>
        <v/>
      </c>
      <c r="BF138" s="24">
        <f>IF(N138&lt;135,N138,N138-'DPI art.191'!$I$7)</f>
        <v/>
      </c>
      <c r="BG138" s="111">
        <f>IF(AA138&lt;80,"0",IF((AB138-AA138)&lt;=2,('DPI art.191'!$G$3-(('DPI art.191'!$F$3-'DPI art.191'!$G$3)/4)*(AB138-AA138-2)),('DPI art.191'!$G$3-(('DPI art.191'!$G$3-'DPI art.191'!$H$3)/8)*(AB138-AA138-2))))</f>
        <v/>
      </c>
      <c r="BH138" s="24">
        <f>AA138-BG138</f>
        <v/>
      </c>
      <c r="BI138" s="24">
        <f>IF(Z138&lt;135,Z138,Z138-'DPI art.191'!$I$3)</f>
        <v/>
      </c>
      <c r="BJ138" s="111">
        <f>IF(U138&lt;80,"0",IF((V138-U138)&lt;=2,('DPI art.191'!$G$7-(('DPI art.191'!$F$7-'DPI art.191'!$G$7)/4)*(U138-V138-2)),('DPI art.191'!$G$7-(('DPI art.191'!$G$7-'DPI art.191'!$H$7)/8)*(V138-U138-2))))</f>
        <v/>
      </c>
      <c r="BK138" s="24">
        <f>U138-BJ138</f>
        <v/>
      </c>
      <c r="BL138" s="24">
        <f>IF(T138&lt;135,T138,T138-'DPI art.191'!$I$7)</f>
        <v/>
      </c>
      <c r="BM138" s="111">
        <f>IF(AA138&lt;80,"0",IF((AB138-AA138)&lt;=2,('DPI art.191'!$G$5-(('DPI art.191'!$F$5-'DPI art.191'!$G$5)/4)*(AB138-AA138-2)),('DPI art.191'!$G$5-(('DPI art.191'!$G$5-'DPI art.191'!$H$5)/8)*(AB138-AA138-2))))</f>
        <v/>
      </c>
      <c r="BN138" s="24">
        <f>AD138-BM138</f>
        <v/>
      </c>
      <c r="BO138" s="24">
        <f>IF(Z138&lt;135,Z138,Z138-'DPI art.191'!$I$5)</f>
        <v/>
      </c>
      <c r="BP138" s="108">
        <f>10^(0.1*R138)</f>
        <v/>
      </c>
      <c r="BQ138" s="108">
        <f>10^(0.1*X138)</f>
        <v/>
      </c>
      <c r="BR138" s="108">
        <f>10^(0.1*AB138)</f>
        <v/>
      </c>
      <c r="BS138" s="108">
        <f>10^(0.1*AF138)</f>
        <v/>
      </c>
      <c r="BT138" s="108">
        <f>10^(0.1*AJ138)</f>
        <v/>
      </c>
      <c r="BU138" s="108">
        <f>10^(0.1*AN138)</f>
        <v/>
      </c>
      <c r="BV138" s="106">
        <f>IF(R138&gt;0,(O138-R138),"")</f>
        <v/>
      </c>
      <c r="BW138" s="106">
        <f>IF(X138&gt;0,(O138-X138),"")</f>
        <v/>
      </c>
      <c r="BX138" s="106">
        <f>IF(AB138&gt;0,(O138-AB138),"")</f>
        <v/>
      </c>
      <c r="BY138" s="106">
        <f>IF(AF138&gt;0,(O138-AF138),"")</f>
        <v/>
      </c>
      <c r="BZ138" s="106">
        <f>IF(AJ138&gt;0,(O138-AJ138),"")</f>
        <v/>
      </c>
      <c r="CA138" s="106">
        <f>IF(AN138&gt;0,(O138-AN138),"")</f>
        <v/>
      </c>
      <c r="CB138" s="106">
        <f>COUNT(BV138:CA138)</f>
        <v/>
      </c>
      <c r="CC138" s="464">
        <f>IF(CB138=0,0,IF(CB138=1,0,1/(CB138*(CB138-1))))</f>
        <v/>
      </c>
      <c r="CD138" s="136">
        <f>IF(R138&gt;0,(BV138^2),"")</f>
        <v/>
      </c>
      <c r="CE138" s="136">
        <f>IF(X138&gt;0,(BW138^2),"")</f>
        <v/>
      </c>
      <c r="CF138" s="136">
        <f>IF(AB138&gt;0,(BX138^2),"")</f>
        <v/>
      </c>
      <c r="CG138" s="136">
        <f>IF(AF138&gt;0,(BY138^2),"")</f>
        <v/>
      </c>
      <c r="CH138" s="136">
        <f>IF(AJ138&gt;0,(BZ138^2),"")</f>
        <v/>
      </c>
      <c r="CI138" s="136">
        <f>IF(AN138&gt;0,(CA138^2),"")</f>
        <v/>
      </c>
    </row>
    <row r="139" ht="18.75" customHeight="1" s="444">
      <c r="A139" s="340" t="inlineStr">
        <is>
          <t>/</t>
        </is>
      </c>
      <c r="B139" s="65">
        <f>B138+1</f>
        <v/>
      </c>
      <c r="C139" s="78" t="n"/>
      <c r="D139" s="83" t="n"/>
      <c r="E139" s="83" t="n"/>
      <c r="F139" s="329" t="n"/>
      <c r="G139" s="71" t="n">
        <v>40725</v>
      </c>
      <c r="H139" s="77" t="inlineStr">
        <is>
          <t>Compito</t>
        </is>
      </c>
      <c r="I139" s="77">
        <f>IF((V139-R139)&gt;3,"SI","")</f>
        <v/>
      </c>
      <c r="J139" s="77">
        <f>IF((U139-R139)&gt;3,"SI","")</f>
        <v/>
      </c>
      <c r="K139" s="77" t="n"/>
      <c r="L139" s="77" t="n"/>
      <c r="M139" s="137">
        <f>IF(R139&gt;0,(SQRT(CC139*(SUM(CD139:CI139)))),"")</f>
        <v/>
      </c>
      <c r="N139" s="4">
        <f>IF(T139&gt;0,(MAX(T139,Z139,AD139,AH139,AL139,AP139))+SQRT(1.2^2+1^2),"")</f>
        <v/>
      </c>
      <c r="O139" s="3">
        <f>IF(R139="",0,10*LOG10(SUM(BP139:BU139)/(COUNT(R139,X139,AB139,AF139,AJ139,AN139))))</f>
        <v/>
      </c>
      <c r="P139" s="5">
        <f>IF(AND(Y139="",AC139="",AG139="",AK139="",AO139=""),S139,AVERAGE(S139,Y139,AC139,AG139,AK139,AO139)+STDEV(S139,Y139,AC139,AG139,AK139,AO139))</f>
        <v/>
      </c>
      <c r="Q139" s="14" t="n"/>
      <c r="R139" s="11" t="n"/>
      <c r="S139" s="12" t="n"/>
      <c r="T139" s="13" t="n"/>
      <c r="U139" s="79" t="n"/>
      <c r="V139" s="79" t="n"/>
      <c r="W139" s="10" t="n"/>
      <c r="X139" s="11" t="n"/>
      <c r="Y139" s="12" t="n"/>
      <c r="Z139" s="13" t="n"/>
      <c r="AA139" s="10" t="n"/>
      <c r="AB139" s="11" t="n"/>
      <c r="AC139" s="12" t="n"/>
      <c r="AD139" s="13" t="n"/>
      <c r="AE139" s="14" t="n"/>
      <c r="AF139" s="11" t="n"/>
      <c r="AG139" s="12" t="n"/>
      <c r="AH139" s="13" t="n"/>
      <c r="AI139" s="10" t="n"/>
      <c r="AJ139" s="11" t="n"/>
      <c r="AK139" s="12" t="n"/>
      <c r="AL139" s="13" t="n"/>
      <c r="AM139" s="10" t="n"/>
      <c r="AN139" s="11" t="n"/>
      <c r="AO139" s="12" t="n"/>
      <c r="AP139" s="13" t="n"/>
      <c r="AQ139" s="6">
        <f>IF(AND((O139)&lt;85,N139&lt;137),"NO","SI")</f>
        <v/>
      </c>
      <c r="AR139" s="7">
        <f>IF((480*(10^(7.95-(O139/10))))&lt;480,480*(10^(7.95-(O139/10))),480)</f>
        <v/>
      </c>
      <c r="AS139" s="8">
        <f>IF((480*(10^(8.45-(O139/10))))&lt;480,480*(10^(8.45-(O139/10))),480)</f>
        <v/>
      </c>
      <c r="AT139" s="9">
        <f>IF((480*(10^(8.65-(O139/10))))&lt;480,480*(10^(8.65-(O139/10))),480)</f>
        <v/>
      </c>
      <c r="AU139" s="111">
        <f>IF(O139&lt;80,"0",IF((P139-O139)&lt;=2,('DPI art.191'!$G$3-(('DPI art.191'!$F$3-'DPI art.191'!$G$3)/4)*(P139-O139-2)),('DPI art.191'!$G$3-(('DPI art.191'!$G$3-'DPI art.191'!$H$3)/8)*(P139-O139-2))))</f>
        <v/>
      </c>
      <c r="AV139" s="24">
        <f>O139-AU139</f>
        <v/>
      </c>
      <c r="AW139" s="24">
        <f>IF(N139&lt;135,N139,N139-'DPI art.191'!$I$3)</f>
        <v/>
      </c>
      <c r="AX139" s="111">
        <f>IF(I139&lt;80,"0",IF((J139-I139)&lt;=2,('DPI art.191'!$G$7-(('DPI art.191'!$F$7-'DPI art.191'!$G$7)/4)*(I139-J139-2)),('DPI art.191'!$G$7-(('DPI art.191'!$G$7-'DPI art.191'!$H$7)/8)*(J139-I139-2))))</f>
        <v/>
      </c>
      <c r="AY139" s="24">
        <f>I139-AX139</f>
        <v/>
      </c>
      <c r="AZ139" s="24">
        <f>IF(H139&lt;135,H139,H139-'DPI art.191'!$I$7)</f>
        <v/>
      </c>
      <c r="BA139" s="111">
        <f>IF(O139&lt;80,"0",IF((P139-O139)&lt;=2,('DPI art.191'!$G$5-(('DPI art.191'!$F$5-'DPI art.191'!$G$5)/4)*(P139-O139-2)),('DPI art.191'!$G$5-(('DPI art.191'!$G$5-'DPI art.191'!$H$5)/8)*(P139-O139-2))))</f>
        <v/>
      </c>
      <c r="BB139" s="24">
        <f>R139-BA139</f>
        <v/>
      </c>
      <c r="BC139" s="24">
        <f>IF(N139&lt;135,N139,N139-'DPI art.191'!$I$5)</f>
        <v/>
      </c>
      <c r="BD139" s="111">
        <f>IF(O139&lt;80,"0",IF((P139-O139)&lt;=2,('DPI art.191'!$G$7-(('DPI art.191'!$F$7-'DPI art.191'!$G$7)/4)*(O139-P139-2)),('DPI art.191'!$G$7-(('DPI art.191'!$G$7-'DPI art.191'!$H$7)/8)*(P139-O139-2))))</f>
        <v/>
      </c>
      <c r="BE139" s="24">
        <f>O139-BD139</f>
        <v/>
      </c>
      <c r="BF139" s="24">
        <f>IF(N139&lt;135,N139,N139-'DPI art.191'!$I$7)</f>
        <v/>
      </c>
      <c r="BG139" s="111">
        <f>IF(AA139&lt;80,"0",IF((AB139-AA139)&lt;=2,('DPI art.191'!$G$3-(('DPI art.191'!$F$3-'DPI art.191'!$G$3)/4)*(AB139-AA139-2)),('DPI art.191'!$G$3-(('DPI art.191'!$G$3-'DPI art.191'!$H$3)/8)*(AB139-AA139-2))))</f>
        <v/>
      </c>
      <c r="BH139" s="24">
        <f>AA139-BG139</f>
        <v/>
      </c>
      <c r="BI139" s="24">
        <f>IF(Z139&lt;135,Z139,Z139-'DPI art.191'!$I$3)</f>
        <v/>
      </c>
      <c r="BJ139" s="111">
        <f>IF(U139&lt;80,"0",IF((V139-U139)&lt;=2,('DPI art.191'!$G$7-(('DPI art.191'!$F$7-'DPI art.191'!$G$7)/4)*(U139-V139-2)),('DPI art.191'!$G$7-(('DPI art.191'!$G$7-'DPI art.191'!$H$7)/8)*(V139-U139-2))))</f>
        <v/>
      </c>
      <c r="BK139" s="24">
        <f>U139-BJ139</f>
        <v/>
      </c>
      <c r="BL139" s="24">
        <f>IF(T139&lt;135,T139,T139-'DPI art.191'!$I$7)</f>
        <v/>
      </c>
      <c r="BM139" s="111">
        <f>IF(AA139&lt;80,"0",IF((AB139-AA139)&lt;=2,('DPI art.191'!$G$5-(('DPI art.191'!$F$5-'DPI art.191'!$G$5)/4)*(AB139-AA139-2)),('DPI art.191'!$G$5-(('DPI art.191'!$G$5-'DPI art.191'!$H$5)/8)*(AB139-AA139-2))))</f>
        <v/>
      </c>
      <c r="BN139" s="24">
        <f>AD139-BM139</f>
        <v/>
      </c>
      <c r="BO139" s="24">
        <f>IF(Z139&lt;135,Z139,Z139-'DPI art.191'!$I$5)</f>
        <v/>
      </c>
      <c r="BP139" s="108">
        <f>10^(0.1*R139)</f>
        <v/>
      </c>
      <c r="BQ139" s="108">
        <f>10^(0.1*X139)</f>
        <v/>
      </c>
      <c r="BR139" s="108">
        <f>10^(0.1*AB139)</f>
        <v/>
      </c>
      <c r="BS139" s="108">
        <f>10^(0.1*AF139)</f>
        <v/>
      </c>
      <c r="BT139" s="108">
        <f>10^(0.1*AJ139)</f>
        <v/>
      </c>
      <c r="BU139" s="108">
        <f>10^(0.1*AN139)</f>
        <v/>
      </c>
      <c r="BV139" s="106">
        <f>IF(R139&gt;0,(O139-R139),"")</f>
        <v/>
      </c>
      <c r="BW139" s="106">
        <f>IF(X139&gt;0,(O139-X139),"")</f>
        <v/>
      </c>
      <c r="BX139" s="106">
        <f>IF(AB139&gt;0,(O139-AB139),"")</f>
        <v/>
      </c>
      <c r="BY139" s="106">
        <f>IF(AF139&gt;0,(O139-AF139),"")</f>
        <v/>
      </c>
      <c r="BZ139" s="106">
        <f>IF(AJ139&gt;0,(O139-AJ139),"")</f>
        <v/>
      </c>
      <c r="CA139" s="106">
        <f>IF(AN139&gt;0,(O139-AN139),"")</f>
        <v/>
      </c>
      <c r="CB139" s="106">
        <f>COUNT(BV139:CA139)</f>
        <v/>
      </c>
      <c r="CC139" s="464">
        <f>IF(CB139=0,0,IF(CB139=1,0,1/(CB139*(CB139-1))))</f>
        <v/>
      </c>
      <c r="CD139" s="136">
        <f>IF(R139&gt;0,(BV139^2),"")</f>
        <v/>
      </c>
      <c r="CE139" s="136">
        <f>IF(X139&gt;0,(BW139^2),"")</f>
        <v/>
      </c>
      <c r="CF139" s="136">
        <f>IF(AB139&gt;0,(BX139^2),"")</f>
        <v/>
      </c>
      <c r="CG139" s="136">
        <f>IF(AF139&gt;0,(BY139^2),"")</f>
        <v/>
      </c>
      <c r="CH139" s="136">
        <f>IF(AJ139&gt;0,(BZ139^2),"")</f>
        <v/>
      </c>
      <c r="CI139" s="136">
        <f>IF(AN139&gt;0,(CA139^2),"")</f>
        <v/>
      </c>
    </row>
    <row r="140" ht="18.75" customHeight="1" s="444">
      <c r="A140" s="340" t="inlineStr">
        <is>
          <t>/</t>
        </is>
      </c>
      <c r="B140" s="65">
        <f>B139+1</f>
        <v/>
      </c>
      <c r="C140" s="78" t="n"/>
      <c r="D140" s="83" t="n"/>
      <c r="E140" s="83" t="n"/>
      <c r="F140" s="329" t="n"/>
      <c r="G140" s="71" t="n">
        <v>40725</v>
      </c>
      <c r="H140" s="77" t="inlineStr">
        <is>
          <t>Compito</t>
        </is>
      </c>
      <c r="I140" s="77">
        <f>IF((V140-R140)&gt;3,"SI","")</f>
        <v/>
      </c>
      <c r="J140" s="77">
        <f>IF((U140-R140)&gt;3,"SI","")</f>
        <v/>
      </c>
      <c r="K140" s="77" t="n"/>
      <c r="L140" s="77" t="n"/>
      <c r="M140" s="137">
        <f>IF(R140&gt;0,(SQRT(CC140*(SUM(CD140:CI140)))),"")</f>
        <v/>
      </c>
      <c r="N140" s="4">
        <f>IF(T140&gt;0,(MAX(T140,Z140,AD140,AH140,AL140,AP140))+SQRT(1.2^2+1^2),"")</f>
        <v/>
      </c>
      <c r="O140" s="3">
        <f>IF(R140="",0,10*LOG10(SUM(BP140:BU140)/(COUNT(R140,X140,AB140,AF140,AJ140,AN140))))</f>
        <v/>
      </c>
      <c r="P140" s="5">
        <f>IF(AND(Y140="",AC140="",AG140="",AK140="",AO140=""),S140,AVERAGE(S140,Y140,AC140,AG140,AK140,AO140)+STDEV(S140,Y140,AC140,AG140,AK140,AO140))</f>
        <v/>
      </c>
      <c r="Q140" s="14" t="n"/>
      <c r="R140" s="11" t="n"/>
      <c r="S140" s="12" t="n"/>
      <c r="T140" s="13" t="n"/>
      <c r="U140" s="79" t="n"/>
      <c r="V140" s="79" t="n"/>
      <c r="W140" s="10" t="n"/>
      <c r="X140" s="11" t="n"/>
      <c r="Y140" s="12" t="n"/>
      <c r="Z140" s="13" t="n"/>
      <c r="AA140" s="10" t="n"/>
      <c r="AB140" s="11" t="n"/>
      <c r="AC140" s="12" t="n"/>
      <c r="AD140" s="13" t="n"/>
      <c r="AE140" s="14" t="n"/>
      <c r="AF140" s="11" t="n"/>
      <c r="AG140" s="12" t="n"/>
      <c r="AH140" s="13" t="n"/>
      <c r="AI140" s="10" t="n"/>
      <c r="AJ140" s="11" t="n"/>
      <c r="AK140" s="12" t="n"/>
      <c r="AL140" s="13" t="n"/>
      <c r="AM140" s="10" t="n"/>
      <c r="AN140" s="11" t="n"/>
      <c r="AO140" s="12" t="n"/>
      <c r="AP140" s="13" t="n"/>
      <c r="AQ140" s="6">
        <f>IF(AND((O140)&lt;85,N140&lt;137),"NO","SI")</f>
        <v/>
      </c>
      <c r="AR140" s="7">
        <f>IF((480*(10^(7.95-(O140/10))))&lt;480,480*(10^(7.95-(O140/10))),480)</f>
        <v/>
      </c>
      <c r="AS140" s="8">
        <f>IF((480*(10^(8.45-(O140/10))))&lt;480,480*(10^(8.45-(O140/10))),480)</f>
        <v/>
      </c>
      <c r="AT140" s="9">
        <f>IF((480*(10^(8.65-(O140/10))))&lt;480,480*(10^(8.65-(O140/10))),480)</f>
        <v/>
      </c>
      <c r="AU140" s="111">
        <f>IF(O140&lt;80,"0",IF((P140-O140)&lt;=2,('DPI art.191'!$G$3-(('DPI art.191'!$F$3-'DPI art.191'!$G$3)/4)*(P140-O140-2)),('DPI art.191'!$G$3-(('DPI art.191'!$G$3-'DPI art.191'!$H$3)/8)*(P140-O140-2))))</f>
        <v/>
      </c>
      <c r="AV140" s="24">
        <f>O140-AU140</f>
        <v/>
      </c>
      <c r="AW140" s="24">
        <f>IF(N140&lt;135,N140,N140-'DPI art.191'!$I$3)</f>
        <v/>
      </c>
      <c r="AX140" s="111">
        <f>IF(I140&lt;80,"0",IF((J140-I140)&lt;=2,('DPI art.191'!$G$7-(('DPI art.191'!$F$7-'DPI art.191'!$G$7)/4)*(I140-J140-2)),('DPI art.191'!$G$7-(('DPI art.191'!$G$7-'DPI art.191'!$H$7)/8)*(J140-I140-2))))</f>
        <v/>
      </c>
      <c r="AY140" s="24">
        <f>I140-AX140</f>
        <v/>
      </c>
      <c r="AZ140" s="24">
        <f>IF(H140&lt;135,H140,H140-'DPI art.191'!$I$7)</f>
        <v/>
      </c>
      <c r="BA140" s="111">
        <f>IF(O140&lt;80,"0",IF((P140-O140)&lt;=2,('DPI art.191'!$G$5-(('DPI art.191'!$F$5-'DPI art.191'!$G$5)/4)*(P140-O140-2)),('DPI art.191'!$G$5-(('DPI art.191'!$G$5-'DPI art.191'!$H$5)/8)*(P140-O140-2))))</f>
        <v/>
      </c>
      <c r="BB140" s="24">
        <f>R140-BA140</f>
        <v/>
      </c>
      <c r="BC140" s="24">
        <f>IF(N140&lt;135,N140,N140-'DPI art.191'!$I$5)</f>
        <v/>
      </c>
      <c r="BD140" s="111">
        <f>IF(O140&lt;80,"0",IF((P140-O140)&lt;=2,('DPI art.191'!$G$7-(('DPI art.191'!$F$7-'DPI art.191'!$G$7)/4)*(O140-P140-2)),('DPI art.191'!$G$7-(('DPI art.191'!$G$7-'DPI art.191'!$H$7)/8)*(P140-O140-2))))</f>
        <v/>
      </c>
      <c r="BE140" s="24">
        <f>O140-BD140</f>
        <v/>
      </c>
      <c r="BF140" s="24">
        <f>IF(N140&lt;135,N140,N140-'DPI art.191'!$I$7)</f>
        <v/>
      </c>
      <c r="BG140" s="111">
        <f>IF(AA140&lt;80,"0",IF((AB140-AA140)&lt;=2,('DPI art.191'!$G$3-(('DPI art.191'!$F$3-'DPI art.191'!$G$3)/4)*(AB140-AA140-2)),('DPI art.191'!$G$3-(('DPI art.191'!$G$3-'DPI art.191'!$H$3)/8)*(AB140-AA140-2))))</f>
        <v/>
      </c>
      <c r="BH140" s="24">
        <f>AA140-BG140</f>
        <v/>
      </c>
      <c r="BI140" s="24">
        <f>IF(Z140&lt;135,Z140,Z140-'DPI art.191'!$I$3)</f>
        <v/>
      </c>
      <c r="BJ140" s="111">
        <f>IF(U140&lt;80,"0",IF((V140-U140)&lt;=2,('DPI art.191'!$G$7-(('DPI art.191'!$F$7-'DPI art.191'!$G$7)/4)*(U140-V140-2)),('DPI art.191'!$G$7-(('DPI art.191'!$G$7-'DPI art.191'!$H$7)/8)*(V140-U140-2))))</f>
        <v/>
      </c>
      <c r="BK140" s="24">
        <f>U140-BJ140</f>
        <v/>
      </c>
      <c r="BL140" s="24">
        <f>IF(T140&lt;135,T140,T140-'DPI art.191'!$I$7)</f>
        <v/>
      </c>
      <c r="BM140" s="111">
        <f>IF(AA140&lt;80,"0",IF((AB140-AA140)&lt;=2,('DPI art.191'!$G$5-(('DPI art.191'!$F$5-'DPI art.191'!$G$5)/4)*(AB140-AA140-2)),('DPI art.191'!$G$5-(('DPI art.191'!$G$5-'DPI art.191'!$H$5)/8)*(AB140-AA140-2))))</f>
        <v/>
      </c>
      <c r="BN140" s="24">
        <f>AD140-BM140</f>
        <v/>
      </c>
      <c r="BO140" s="24">
        <f>IF(Z140&lt;135,Z140,Z140-'DPI art.191'!$I$5)</f>
        <v/>
      </c>
      <c r="BP140" s="108">
        <f>10^(0.1*R140)</f>
        <v/>
      </c>
      <c r="BQ140" s="108">
        <f>10^(0.1*X140)</f>
        <v/>
      </c>
      <c r="BR140" s="108">
        <f>10^(0.1*AB140)</f>
        <v/>
      </c>
      <c r="BS140" s="108">
        <f>10^(0.1*AF140)</f>
        <v/>
      </c>
      <c r="BT140" s="108">
        <f>10^(0.1*AJ140)</f>
        <v/>
      </c>
      <c r="BU140" s="108">
        <f>10^(0.1*AN140)</f>
        <v/>
      </c>
      <c r="BV140" s="106">
        <f>IF(R140&gt;0,(O140-R140),"")</f>
        <v/>
      </c>
      <c r="BW140" s="106">
        <f>IF(X140&gt;0,(O140-X140),"")</f>
        <v/>
      </c>
      <c r="BX140" s="106">
        <f>IF(AB140&gt;0,(O140-AB140),"")</f>
        <v/>
      </c>
      <c r="BY140" s="106">
        <f>IF(AF140&gt;0,(O140-AF140),"")</f>
        <v/>
      </c>
      <c r="BZ140" s="106">
        <f>IF(AJ140&gt;0,(O140-AJ140),"")</f>
        <v/>
      </c>
      <c r="CA140" s="106">
        <f>IF(AN140&gt;0,(O140-AN140),"")</f>
        <v/>
      </c>
      <c r="CB140" s="106">
        <f>COUNT(BV140:CA140)</f>
        <v/>
      </c>
      <c r="CC140" s="464">
        <f>IF(CB140=0,0,IF(CB140=1,0,1/(CB140*(CB140-1))))</f>
        <v/>
      </c>
      <c r="CD140" s="136">
        <f>IF(R140&gt;0,(BV140^2),"")</f>
        <v/>
      </c>
      <c r="CE140" s="136">
        <f>IF(X140&gt;0,(BW140^2),"")</f>
        <v/>
      </c>
      <c r="CF140" s="136">
        <f>IF(AB140&gt;0,(BX140^2),"")</f>
        <v/>
      </c>
      <c r="CG140" s="136">
        <f>IF(AF140&gt;0,(BY140^2),"")</f>
        <v/>
      </c>
      <c r="CH140" s="136">
        <f>IF(AJ140&gt;0,(BZ140^2),"")</f>
        <v/>
      </c>
      <c r="CI140" s="136">
        <f>IF(AN140&gt;0,(CA140^2),"")</f>
        <v/>
      </c>
    </row>
    <row r="141" ht="18.75" customHeight="1" s="444">
      <c r="A141" s="340" t="inlineStr">
        <is>
          <t>/</t>
        </is>
      </c>
      <c r="B141" s="65">
        <f>B140+1</f>
        <v/>
      </c>
      <c r="C141" s="78" t="n"/>
      <c r="D141" s="83" t="n"/>
      <c r="E141" s="83" t="n"/>
      <c r="F141" s="329" t="n"/>
      <c r="G141" s="71" t="n">
        <v>40725</v>
      </c>
      <c r="H141" s="77" t="inlineStr">
        <is>
          <t>Compito</t>
        </is>
      </c>
      <c r="I141" s="77">
        <f>IF((V141-R141)&gt;3,"SI","")</f>
        <v/>
      </c>
      <c r="J141" s="77">
        <f>IF((U141-R141)&gt;3,"SI","")</f>
        <v/>
      </c>
      <c r="K141" s="77" t="n"/>
      <c r="L141" s="77" t="n"/>
      <c r="M141" s="137">
        <f>IF(R141&gt;0,(SQRT(CC141*(SUM(CD141:CI141)))),"")</f>
        <v/>
      </c>
      <c r="N141" s="4">
        <f>IF(T141&gt;0,(MAX(T141,Z141,AD141,AH141,AL141,AP141))+SQRT(1.2^2+1^2),"")</f>
        <v/>
      </c>
      <c r="O141" s="3">
        <f>IF(R141="",0,10*LOG10(SUM(BP141:BU141)/(COUNT(R141,X141,AB141,AF141,AJ141,AN141))))</f>
        <v/>
      </c>
      <c r="P141" s="5">
        <f>IF(AND(Y141="",AC141="",AG141="",AK141="",AO141=""),S141,AVERAGE(S141,Y141,AC141,AG141,AK141,AO141)+STDEV(S141,Y141,AC141,AG141,AK141,AO141))</f>
        <v/>
      </c>
      <c r="Q141" s="14" t="n"/>
      <c r="R141" s="11" t="n"/>
      <c r="S141" s="12" t="n"/>
      <c r="T141" s="13" t="n"/>
      <c r="U141" s="79" t="n"/>
      <c r="V141" s="79" t="n"/>
      <c r="W141" s="10" t="n"/>
      <c r="X141" s="11" t="n"/>
      <c r="Y141" s="12" t="n"/>
      <c r="Z141" s="13" t="n"/>
      <c r="AA141" s="10" t="n"/>
      <c r="AB141" s="11" t="n"/>
      <c r="AC141" s="12" t="n"/>
      <c r="AD141" s="13" t="n"/>
      <c r="AE141" s="14" t="n"/>
      <c r="AF141" s="11" t="n"/>
      <c r="AG141" s="12" t="n"/>
      <c r="AH141" s="13" t="n"/>
      <c r="AI141" s="10" t="n"/>
      <c r="AJ141" s="11" t="n"/>
      <c r="AK141" s="12" t="n"/>
      <c r="AL141" s="13" t="n"/>
      <c r="AM141" s="10" t="n"/>
      <c r="AN141" s="11" t="n"/>
      <c r="AO141" s="12" t="n"/>
      <c r="AP141" s="13" t="n"/>
      <c r="AQ141" s="6">
        <f>IF(AND((O141)&lt;85,N141&lt;137),"NO","SI")</f>
        <v/>
      </c>
      <c r="AR141" s="7">
        <f>IF((480*(10^(7.95-(O141/10))))&lt;480,480*(10^(7.95-(O141/10))),480)</f>
        <v/>
      </c>
      <c r="AS141" s="8">
        <f>IF((480*(10^(8.45-(O141/10))))&lt;480,480*(10^(8.45-(O141/10))),480)</f>
        <v/>
      </c>
      <c r="AT141" s="9">
        <f>IF((480*(10^(8.65-(O141/10))))&lt;480,480*(10^(8.65-(O141/10))),480)</f>
        <v/>
      </c>
      <c r="AU141" s="111">
        <f>IF(O141&lt;80,"0",IF((P141-O141)&lt;=2,('DPI art.191'!$G$3-(('DPI art.191'!$F$3-'DPI art.191'!$G$3)/4)*(P141-O141-2)),('DPI art.191'!$G$3-(('DPI art.191'!$G$3-'DPI art.191'!$H$3)/8)*(P141-O141-2))))</f>
        <v/>
      </c>
      <c r="AV141" s="24">
        <f>O141-AU141</f>
        <v/>
      </c>
      <c r="AW141" s="24">
        <f>IF(N141&lt;135,N141,N141-'DPI art.191'!$I$3)</f>
        <v/>
      </c>
      <c r="AX141" s="111">
        <f>IF(I141&lt;80,"0",IF((J141-I141)&lt;=2,('DPI art.191'!$G$7-(('DPI art.191'!$F$7-'DPI art.191'!$G$7)/4)*(I141-J141-2)),('DPI art.191'!$G$7-(('DPI art.191'!$G$7-'DPI art.191'!$H$7)/8)*(J141-I141-2))))</f>
        <v/>
      </c>
      <c r="AY141" s="24">
        <f>I141-AX141</f>
        <v/>
      </c>
      <c r="AZ141" s="24">
        <f>IF(H141&lt;135,H141,H141-'DPI art.191'!$I$7)</f>
        <v/>
      </c>
      <c r="BA141" s="111">
        <f>IF(O141&lt;80,"0",IF((P141-O141)&lt;=2,('DPI art.191'!$G$5-(('DPI art.191'!$F$5-'DPI art.191'!$G$5)/4)*(P141-O141-2)),('DPI art.191'!$G$5-(('DPI art.191'!$G$5-'DPI art.191'!$H$5)/8)*(P141-O141-2))))</f>
        <v/>
      </c>
      <c r="BB141" s="24">
        <f>R141-BA141</f>
        <v/>
      </c>
      <c r="BC141" s="24">
        <f>IF(N141&lt;135,N141,N141-'DPI art.191'!$I$5)</f>
        <v/>
      </c>
      <c r="BD141" s="111">
        <f>IF(O141&lt;80,"0",IF((P141-O141)&lt;=2,('DPI art.191'!$G$7-(('DPI art.191'!$F$7-'DPI art.191'!$G$7)/4)*(O141-P141-2)),('DPI art.191'!$G$7-(('DPI art.191'!$G$7-'DPI art.191'!$H$7)/8)*(P141-O141-2))))</f>
        <v/>
      </c>
      <c r="BE141" s="24">
        <f>O141-BD141</f>
        <v/>
      </c>
      <c r="BF141" s="24">
        <f>IF(N141&lt;135,N141,N141-'DPI art.191'!$I$7)</f>
        <v/>
      </c>
      <c r="BG141" s="111">
        <f>IF(AA141&lt;80,"0",IF((AB141-AA141)&lt;=2,('DPI art.191'!$G$3-(('DPI art.191'!$F$3-'DPI art.191'!$G$3)/4)*(AB141-AA141-2)),('DPI art.191'!$G$3-(('DPI art.191'!$G$3-'DPI art.191'!$H$3)/8)*(AB141-AA141-2))))</f>
        <v/>
      </c>
      <c r="BH141" s="24">
        <f>AA141-BG141</f>
        <v/>
      </c>
      <c r="BI141" s="24">
        <f>IF(Z141&lt;135,Z141,Z141-'DPI art.191'!$I$3)</f>
        <v/>
      </c>
      <c r="BJ141" s="111">
        <f>IF(U141&lt;80,"0",IF((V141-U141)&lt;=2,('DPI art.191'!$G$7-(('DPI art.191'!$F$7-'DPI art.191'!$G$7)/4)*(U141-V141-2)),('DPI art.191'!$G$7-(('DPI art.191'!$G$7-'DPI art.191'!$H$7)/8)*(V141-U141-2))))</f>
        <v/>
      </c>
      <c r="BK141" s="24">
        <f>U141-BJ141</f>
        <v/>
      </c>
      <c r="BL141" s="24">
        <f>IF(T141&lt;135,T141,T141-'DPI art.191'!$I$7)</f>
        <v/>
      </c>
      <c r="BM141" s="111">
        <f>IF(AA141&lt;80,"0",IF((AB141-AA141)&lt;=2,('DPI art.191'!$G$5-(('DPI art.191'!$F$5-'DPI art.191'!$G$5)/4)*(AB141-AA141-2)),('DPI art.191'!$G$5-(('DPI art.191'!$G$5-'DPI art.191'!$H$5)/8)*(AB141-AA141-2))))</f>
        <v/>
      </c>
      <c r="BN141" s="24">
        <f>AD141-BM141</f>
        <v/>
      </c>
      <c r="BO141" s="24">
        <f>IF(Z141&lt;135,Z141,Z141-'DPI art.191'!$I$5)</f>
        <v/>
      </c>
      <c r="BP141" s="108">
        <f>10^(0.1*R141)</f>
        <v/>
      </c>
      <c r="BQ141" s="108">
        <f>10^(0.1*X141)</f>
        <v/>
      </c>
      <c r="BR141" s="108">
        <f>10^(0.1*AB141)</f>
        <v/>
      </c>
      <c r="BS141" s="108">
        <f>10^(0.1*AF141)</f>
        <v/>
      </c>
      <c r="BT141" s="108">
        <f>10^(0.1*AJ141)</f>
        <v/>
      </c>
      <c r="BU141" s="108">
        <f>10^(0.1*AN141)</f>
        <v/>
      </c>
      <c r="BV141" s="106">
        <f>IF(R141&gt;0,(O141-R141),"")</f>
        <v/>
      </c>
      <c r="BW141" s="106">
        <f>IF(X141&gt;0,(O141-X141),"")</f>
        <v/>
      </c>
      <c r="BX141" s="106">
        <f>IF(AB141&gt;0,(O141-AB141),"")</f>
        <v/>
      </c>
      <c r="BY141" s="106">
        <f>IF(AF141&gt;0,(O141-AF141),"")</f>
        <v/>
      </c>
      <c r="BZ141" s="106">
        <f>IF(AJ141&gt;0,(O141-AJ141),"")</f>
        <v/>
      </c>
      <c r="CA141" s="106">
        <f>IF(AN141&gt;0,(O141-AN141),"")</f>
        <v/>
      </c>
      <c r="CB141" s="106">
        <f>COUNT(BV141:CA141)</f>
        <v/>
      </c>
      <c r="CC141" s="464">
        <f>IF(CB141=0,0,IF(CB141=1,0,1/(CB141*(CB141-1))))</f>
        <v/>
      </c>
      <c r="CD141" s="136">
        <f>IF(R141&gt;0,(BV141^2),"")</f>
        <v/>
      </c>
      <c r="CE141" s="136">
        <f>IF(X141&gt;0,(BW141^2),"")</f>
        <v/>
      </c>
      <c r="CF141" s="136">
        <f>IF(AB141&gt;0,(BX141^2),"")</f>
        <v/>
      </c>
      <c r="CG141" s="136">
        <f>IF(AF141&gt;0,(BY141^2),"")</f>
        <v/>
      </c>
      <c r="CH141" s="136">
        <f>IF(AJ141&gt;0,(BZ141^2),"")</f>
        <v/>
      </c>
      <c r="CI141" s="136">
        <f>IF(AN141&gt;0,(CA141^2),"")</f>
        <v/>
      </c>
    </row>
    <row r="142" ht="18.75" customHeight="1" s="444">
      <c r="A142" s="340" t="inlineStr">
        <is>
          <t>/</t>
        </is>
      </c>
      <c r="B142" s="65">
        <f>B141+1</f>
        <v/>
      </c>
      <c r="C142" s="78" t="n"/>
      <c r="D142" s="83" t="n"/>
      <c r="E142" s="83" t="n"/>
      <c r="F142" s="329" t="n"/>
      <c r="G142" s="71" t="n">
        <v>40725</v>
      </c>
      <c r="H142" s="77" t="inlineStr">
        <is>
          <t>Compito</t>
        </is>
      </c>
      <c r="I142" s="77">
        <f>IF((V142-R142)&gt;3,"SI","")</f>
        <v/>
      </c>
      <c r="J142" s="77">
        <f>IF((U142-R142)&gt;3,"SI","")</f>
        <v/>
      </c>
      <c r="K142" s="77" t="n"/>
      <c r="L142" s="77" t="n"/>
      <c r="M142" s="137">
        <f>IF(R142&gt;0,(SQRT(CC142*(SUM(CD142:CI142)))),"")</f>
        <v/>
      </c>
      <c r="N142" s="4">
        <f>IF(T142&gt;0,(MAX(T142,Z142,AD142,AH142,AL142,AP142))+SQRT(1.2^2+1^2),"")</f>
        <v/>
      </c>
      <c r="O142" s="3">
        <f>IF(R142="",0,10*LOG10(SUM(BP142:BU142)/(COUNT(R142,X142,AB142,AF142,AJ142,AN142))))</f>
        <v/>
      </c>
      <c r="P142" s="5">
        <f>IF(AND(Y142="",AC142="",AG142="",AK142="",AO142=""),S142,AVERAGE(S142,Y142,AC142,AG142,AK142,AO142)+STDEV(S142,Y142,AC142,AG142,AK142,AO142))</f>
        <v/>
      </c>
      <c r="Q142" s="14" t="n"/>
      <c r="R142" s="11" t="n"/>
      <c r="S142" s="12" t="n"/>
      <c r="T142" s="13" t="n"/>
      <c r="U142" s="79" t="n"/>
      <c r="V142" s="79" t="n"/>
      <c r="W142" s="10" t="n"/>
      <c r="X142" s="11" t="n"/>
      <c r="Y142" s="12" t="n"/>
      <c r="Z142" s="13" t="n"/>
      <c r="AA142" s="10" t="n"/>
      <c r="AB142" s="11" t="n"/>
      <c r="AC142" s="12" t="n"/>
      <c r="AD142" s="13" t="n"/>
      <c r="AE142" s="14" t="n"/>
      <c r="AF142" s="11" t="n"/>
      <c r="AG142" s="12" t="n"/>
      <c r="AH142" s="13" t="n"/>
      <c r="AI142" s="10" t="n"/>
      <c r="AJ142" s="11" t="n"/>
      <c r="AK142" s="12" t="n"/>
      <c r="AL142" s="13" t="n"/>
      <c r="AM142" s="10" t="n"/>
      <c r="AN142" s="11" t="n"/>
      <c r="AO142" s="12" t="n"/>
      <c r="AP142" s="13" t="n"/>
      <c r="AQ142" s="6">
        <f>IF(AND((O142)&lt;85,N142&lt;137),"NO","SI")</f>
        <v/>
      </c>
      <c r="AR142" s="7">
        <f>IF((480*(10^(7.95-(O142/10))))&lt;480,480*(10^(7.95-(O142/10))),480)</f>
        <v/>
      </c>
      <c r="AS142" s="8">
        <f>IF((480*(10^(8.45-(O142/10))))&lt;480,480*(10^(8.45-(O142/10))),480)</f>
        <v/>
      </c>
      <c r="AT142" s="9">
        <f>IF((480*(10^(8.65-(O142/10))))&lt;480,480*(10^(8.65-(O142/10))),480)</f>
        <v/>
      </c>
      <c r="AU142" s="111">
        <f>IF(O142&lt;80,"0",IF((P142-O142)&lt;=2,('DPI art.191'!$G$3-(('DPI art.191'!$F$3-'DPI art.191'!$G$3)/4)*(P142-O142-2)),('DPI art.191'!$G$3-(('DPI art.191'!$G$3-'DPI art.191'!$H$3)/8)*(P142-O142-2))))</f>
        <v/>
      </c>
      <c r="AV142" s="24">
        <f>O142-AU142</f>
        <v/>
      </c>
      <c r="AW142" s="24">
        <f>IF(N142&lt;135,N142,N142-'DPI art.191'!$I$3)</f>
        <v/>
      </c>
      <c r="AX142" s="111">
        <f>IF(I142&lt;80,"0",IF((J142-I142)&lt;=2,('DPI art.191'!$G$7-(('DPI art.191'!$F$7-'DPI art.191'!$G$7)/4)*(I142-J142-2)),('DPI art.191'!$G$7-(('DPI art.191'!$G$7-'DPI art.191'!$H$7)/8)*(J142-I142-2))))</f>
        <v/>
      </c>
      <c r="AY142" s="24">
        <f>I142-AX142</f>
        <v/>
      </c>
      <c r="AZ142" s="24">
        <f>IF(H142&lt;135,H142,H142-'DPI art.191'!$I$7)</f>
        <v/>
      </c>
      <c r="BA142" s="111">
        <f>IF(O142&lt;80,"0",IF((P142-O142)&lt;=2,('DPI art.191'!$G$5-(('DPI art.191'!$F$5-'DPI art.191'!$G$5)/4)*(P142-O142-2)),('DPI art.191'!$G$5-(('DPI art.191'!$G$5-'DPI art.191'!$H$5)/8)*(P142-O142-2))))</f>
        <v/>
      </c>
      <c r="BB142" s="24">
        <f>R142-BA142</f>
        <v/>
      </c>
      <c r="BC142" s="24">
        <f>IF(N142&lt;135,N142,N142-'DPI art.191'!$I$5)</f>
        <v/>
      </c>
      <c r="BD142" s="111">
        <f>IF(O142&lt;80,"0",IF((P142-O142)&lt;=2,('DPI art.191'!$G$7-(('DPI art.191'!$F$7-'DPI art.191'!$G$7)/4)*(O142-P142-2)),('DPI art.191'!$G$7-(('DPI art.191'!$G$7-'DPI art.191'!$H$7)/8)*(P142-O142-2))))</f>
        <v/>
      </c>
      <c r="BE142" s="24">
        <f>O142-BD142</f>
        <v/>
      </c>
      <c r="BF142" s="24">
        <f>IF(N142&lt;135,N142,N142-'DPI art.191'!$I$7)</f>
        <v/>
      </c>
      <c r="BG142" s="111">
        <f>IF(AA142&lt;80,"0",IF((AB142-AA142)&lt;=2,('DPI art.191'!$G$3-(('DPI art.191'!$F$3-'DPI art.191'!$G$3)/4)*(AB142-AA142-2)),('DPI art.191'!$G$3-(('DPI art.191'!$G$3-'DPI art.191'!$H$3)/8)*(AB142-AA142-2))))</f>
        <v/>
      </c>
      <c r="BH142" s="24">
        <f>AA142-BG142</f>
        <v/>
      </c>
      <c r="BI142" s="24">
        <f>IF(Z142&lt;135,Z142,Z142-'DPI art.191'!$I$3)</f>
        <v/>
      </c>
      <c r="BJ142" s="111">
        <f>IF(U142&lt;80,"0",IF((V142-U142)&lt;=2,('DPI art.191'!$G$7-(('DPI art.191'!$F$7-'DPI art.191'!$G$7)/4)*(U142-V142-2)),('DPI art.191'!$G$7-(('DPI art.191'!$G$7-'DPI art.191'!$H$7)/8)*(V142-U142-2))))</f>
        <v/>
      </c>
      <c r="BK142" s="24">
        <f>U142-BJ142</f>
        <v/>
      </c>
      <c r="BL142" s="24">
        <f>IF(T142&lt;135,T142,T142-'DPI art.191'!$I$7)</f>
        <v/>
      </c>
      <c r="BM142" s="111">
        <f>IF(AA142&lt;80,"0",IF((AB142-AA142)&lt;=2,('DPI art.191'!$G$5-(('DPI art.191'!$F$5-'DPI art.191'!$G$5)/4)*(AB142-AA142-2)),('DPI art.191'!$G$5-(('DPI art.191'!$G$5-'DPI art.191'!$H$5)/8)*(AB142-AA142-2))))</f>
        <v/>
      </c>
      <c r="BN142" s="24">
        <f>AD142-BM142</f>
        <v/>
      </c>
      <c r="BO142" s="24">
        <f>IF(Z142&lt;135,Z142,Z142-'DPI art.191'!$I$5)</f>
        <v/>
      </c>
      <c r="BP142" s="108">
        <f>10^(0.1*R142)</f>
        <v/>
      </c>
      <c r="BQ142" s="108">
        <f>10^(0.1*X142)</f>
        <v/>
      </c>
      <c r="BR142" s="108">
        <f>10^(0.1*AB142)</f>
        <v/>
      </c>
      <c r="BS142" s="108">
        <f>10^(0.1*AF142)</f>
        <v/>
      </c>
      <c r="BT142" s="108">
        <f>10^(0.1*AJ142)</f>
        <v/>
      </c>
      <c r="BU142" s="108">
        <f>10^(0.1*AN142)</f>
        <v/>
      </c>
      <c r="BV142" s="106">
        <f>IF(R142&gt;0,(O142-R142),"")</f>
        <v/>
      </c>
      <c r="BW142" s="106">
        <f>IF(X142&gt;0,(O142-X142),"")</f>
        <v/>
      </c>
      <c r="BX142" s="106">
        <f>IF(AB142&gt;0,(O142-AB142),"")</f>
        <v/>
      </c>
      <c r="BY142" s="106">
        <f>IF(AF142&gt;0,(O142-AF142),"")</f>
        <v/>
      </c>
      <c r="BZ142" s="106">
        <f>IF(AJ142&gt;0,(O142-AJ142),"")</f>
        <v/>
      </c>
      <c r="CA142" s="106">
        <f>IF(AN142&gt;0,(O142-AN142),"")</f>
        <v/>
      </c>
      <c r="CB142" s="106">
        <f>COUNT(BV142:CA142)</f>
        <v/>
      </c>
      <c r="CC142" s="464">
        <f>IF(CB142=0,0,IF(CB142=1,0,1/(CB142*(CB142-1))))</f>
        <v/>
      </c>
      <c r="CD142" s="136">
        <f>IF(R142&gt;0,(BV142^2),"")</f>
        <v/>
      </c>
      <c r="CE142" s="136">
        <f>IF(X142&gt;0,(BW142^2),"")</f>
        <v/>
      </c>
      <c r="CF142" s="136">
        <f>IF(AB142&gt;0,(BX142^2),"")</f>
        <v/>
      </c>
      <c r="CG142" s="136">
        <f>IF(AF142&gt;0,(BY142^2),"")</f>
        <v/>
      </c>
      <c r="CH142" s="136">
        <f>IF(AJ142&gt;0,(BZ142^2),"")</f>
        <v/>
      </c>
      <c r="CI142" s="136">
        <f>IF(AN142&gt;0,(CA142^2),"")</f>
        <v/>
      </c>
    </row>
    <row r="143" ht="18.75" customHeight="1" s="444">
      <c r="A143" s="340" t="inlineStr">
        <is>
          <t>/</t>
        </is>
      </c>
      <c r="B143" s="65">
        <f>B142+1</f>
        <v/>
      </c>
      <c r="C143" s="78" t="n"/>
      <c r="D143" s="83" t="n"/>
      <c r="E143" s="83" t="n"/>
      <c r="F143" s="329" t="n"/>
      <c r="G143" s="71" t="n">
        <v>40725</v>
      </c>
      <c r="H143" s="77" t="inlineStr">
        <is>
          <t>Compito</t>
        </is>
      </c>
      <c r="I143" s="77">
        <f>IF((V143-R143)&gt;3,"SI","")</f>
        <v/>
      </c>
      <c r="J143" s="77">
        <f>IF((U143-R143)&gt;3,"SI","")</f>
        <v/>
      </c>
      <c r="K143" s="77" t="n"/>
      <c r="L143" s="77" t="n"/>
      <c r="M143" s="137">
        <f>IF(R143&gt;0,(SQRT(CC143*(SUM(CD143:CI143)))),"")</f>
        <v/>
      </c>
      <c r="N143" s="4">
        <f>IF(T143&gt;0,(MAX(T143,Z143,AD143,AH143,AL143,AP143))+SQRT(1.2^2+1^2),"")</f>
        <v/>
      </c>
      <c r="O143" s="3">
        <f>IF(R143="",0,10*LOG10(SUM(BP143:BU143)/(COUNT(R143,X143,AB143,AF143,AJ143,AN143))))</f>
        <v/>
      </c>
      <c r="P143" s="5">
        <f>IF(AND(Y143="",AC143="",AG143="",AK143="",AO143=""),S143,AVERAGE(S143,Y143,AC143,AG143,AK143,AO143)+STDEV(S143,Y143,AC143,AG143,AK143,AO143))</f>
        <v/>
      </c>
      <c r="Q143" s="14" t="n"/>
      <c r="R143" s="11" t="n"/>
      <c r="S143" s="12" t="n"/>
      <c r="T143" s="13" t="n"/>
      <c r="U143" s="79" t="n"/>
      <c r="V143" s="79" t="n"/>
      <c r="W143" s="10" t="n"/>
      <c r="X143" s="11" t="n"/>
      <c r="Y143" s="12" t="n"/>
      <c r="Z143" s="13" t="n"/>
      <c r="AA143" s="10" t="n"/>
      <c r="AB143" s="11" t="n"/>
      <c r="AC143" s="12" t="n"/>
      <c r="AD143" s="13" t="n"/>
      <c r="AE143" s="14" t="n"/>
      <c r="AF143" s="11" t="n"/>
      <c r="AG143" s="12" t="n"/>
      <c r="AH143" s="13" t="n"/>
      <c r="AI143" s="10" t="n"/>
      <c r="AJ143" s="11" t="n"/>
      <c r="AK143" s="12" t="n"/>
      <c r="AL143" s="13" t="n"/>
      <c r="AM143" s="10" t="n"/>
      <c r="AN143" s="11" t="n"/>
      <c r="AO143" s="12" t="n"/>
      <c r="AP143" s="13" t="n"/>
      <c r="AQ143" s="6">
        <f>IF(AND((O143)&lt;85,N143&lt;137),"NO","SI")</f>
        <v/>
      </c>
      <c r="AR143" s="7">
        <f>IF((480*(10^(7.95-(O143/10))))&lt;480,480*(10^(7.95-(O143/10))),480)</f>
        <v/>
      </c>
      <c r="AS143" s="8">
        <f>IF((480*(10^(8.45-(O143/10))))&lt;480,480*(10^(8.45-(O143/10))),480)</f>
        <v/>
      </c>
      <c r="AT143" s="9">
        <f>IF((480*(10^(8.65-(O143/10))))&lt;480,480*(10^(8.65-(O143/10))),480)</f>
        <v/>
      </c>
      <c r="AU143" s="111">
        <f>IF(O143&lt;80,"0",IF((P143-O143)&lt;=2,('DPI art.191'!$G$3-(('DPI art.191'!$F$3-'DPI art.191'!$G$3)/4)*(P143-O143-2)),('DPI art.191'!$G$3-(('DPI art.191'!$G$3-'DPI art.191'!$H$3)/8)*(P143-O143-2))))</f>
        <v/>
      </c>
      <c r="AV143" s="24">
        <f>O143-AU143</f>
        <v/>
      </c>
      <c r="AW143" s="24">
        <f>IF(N143&lt;135,N143,N143-'DPI art.191'!$I$3)</f>
        <v/>
      </c>
      <c r="AX143" s="111">
        <f>IF(I143&lt;80,"0",IF((J143-I143)&lt;=2,('DPI art.191'!$G$7-(('DPI art.191'!$F$7-'DPI art.191'!$G$7)/4)*(I143-J143-2)),('DPI art.191'!$G$7-(('DPI art.191'!$G$7-'DPI art.191'!$H$7)/8)*(J143-I143-2))))</f>
        <v/>
      </c>
      <c r="AY143" s="24">
        <f>I143-AX143</f>
        <v/>
      </c>
      <c r="AZ143" s="24">
        <f>IF(H143&lt;135,H143,H143-'DPI art.191'!$I$7)</f>
        <v/>
      </c>
      <c r="BA143" s="111">
        <f>IF(O143&lt;80,"0",IF((P143-O143)&lt;=2,('DPI art.191'!$G$5-(('DPI art.191'!$F$5-'DPI art.191'!$G$5)/4)*(P143-O143-2)),('DPI art.191'!$G$5-(('DPI art.191'!$G$5-'DPI art.191'!$H$5)/8)*(P143-O143-2))))</f>
        <v/>
      </c>
      <c r="BB143" s="24">
        <f>R143-BA143</f>
        <v/>
      </c>
      <c r="BC143" s="24">
        <f>IF(N143&lt;135,N143,N143-'DPI art.191'!$I$5)</f>
        <v/>
      </c>
      <c r="BD143" s="111">
        <f>IF(O143&lt;80,"0",IF((P143-O143)&lt;=2,('DPI art.191'!$G$7-(('DPI art.191'!$F$7-'DPI art.191'!$G$7)/4)*(O143-P143-2)),('DPI art.191'!$G$7-(('DPI art.191'!$G$7-'DPI art.191'!$H$7)/8)*(P143-O143-2))))</f>
        <v/>
      </c>
      <c r="BE143" s="24">
        <f>O143-BD143</f>
        <v/>
      </c>
      <c r="BF143" s="24">
        <f>IF(N143&lt;135,N143,N143-'DPI art.191'!$I$7)</f>
        <v/>
      </c>
      <c r="BG143" s="111">
        <f>IF(AA143&lt;80,"0",IF((AB143-AA143)&lt;=2,('DPI art.191'!$G$3-(('DPI art.191'!$F$3-'DPI art.191'!$G$3)/4)*(AB143-AA143-2)),('DPI art.191'!$G$3-(('DPI art.191'!$G$3-'DPI art.191'!$H$3)/8)*(AB143-AA143-2))))</f>
        <v/>
      </c>
      <c r="BH143" s="24">
        <f>AA143-BG143</f>
        <v/>
      </c>
      <c r="BI143" s="24">
        <f>IF(Z143&lt;135,Z143,Z143-'DPI art.191'!$I$3)</f>
        <v/>
      </c>
      <c r="BJ143" s="111">
        <f>IF(U143&lt;80,"0",IF((V143-U143)&lt;=2,('DPI art.191'!$G$7-(('DPI art.191'!$F$7-'DPI art.191'!$G$7)/4)*(U143-V143-2)),('DPI art.191'!$G$7-(('DPI art.191'!$G$7-'DPI art.191'!$H$7)/8)*(V143-U143-2))))</f>
        <v/>
      </c>
      <c r="BK143" s="24">
        <f>U143-BJ143</f>
        <v/>
      </c>
      <c r="BL143" s="24">
        <f>IF(T143&lt;135,T143,T143-'DPI art.191'!$I$7)</f>
        <v/>
      </c>
      <c r="BM143" s="111">
        <f>IF(AA143&lt;80,"0",IF((AB143-AA143)&lt;=2,('DPI art.191'!$G$5-(('DPI art.191'!$F$5-'DPI art.191'!$G$5)/4)*(AB143-AA143-2)),('DPI art.191'!$G$5-(('DPI art.191'!$G$5-'DPI art.191'!$H$5)/8)*(AB143-AA143-2))))</f>
        <v/>
      </c>
      <c r="BN143" s="24">
        <f>AD143-BM143</f>
        <v/>
      </c>
      <c r="BO143" s="24">
        <f>IF(Z143&lt;135,Z143,Z143-'DPI art.191'!$I$5)</f>
        <v/>
      </c>
      <c r="BP143" s="108">
        <f>10^(0.1*R143)</f>
        <v/>
      </c>
      <c r="BQ143" s="108">
        <f>10^(0.1*X143)</f>
        <v/>
      </c>
      <c r="BR143" s="108">
        <f>10^(0.1*AB143)</f>
        <v/>
      </c>
      <c r="BS143" s="108">
        <f>10^(0.1*AF143)</f>
        <v/>
      </c>
      <c r="BT143" s="108">
        <f>10^(0.1*AJ143)</f>
        <v/>
      </c>
      <c r="BU143" s="108">
        <f>10^(0.1*AN143)</f>
        <v/>
      </c>
      <c r="BV143" s="106">
        <f>IF(R143&gt;0,(O143-R143),"")</f>
        <v/>
      </c>
      <c r="BW143" s="106">
        <f>IF(X143&gt;0,(O143-X143),"")</f>
        <v/>
      </c>
      <c r="BX143" s="106">
        <f>IF(AB143&gt;0,(O143-AB143),"")</f>
        <v/>
      </c>
      <c r="BY143" s="106">
        <f>IF(AF143&gt;0,(O143-AF143),"")</f>
        <v/>
      </c>
      <c r="BZ143" s="106">
        <f>IF(AJ143&gt;0,(O143-AJ143),"")</f>
        <v/>
      </c>
      <c r="CA143" s="106">
        <f>IF(AN143&gt;0,(O143-AN143),"")</f>
        <v/>
      </c>
      <c r="CB143" s="106">
        <f>COUNT(BV143:CA143)</f>
        <v/>
      </c>
      <c r="CC143" s="464">
        <f>IF(CB143=0,0,IF(CB143=1,0,1/(CB143*(CB143-1))))</f>
        <v/>
      </c>
      <c r="CD143" s="136">
        <f>IF(R143&gt;0,(BV143^2),"")</f>
        <v/>
      </c>
      <c r="CE143" s="136">
        <f>IF(X143&gt;0,(BW143^2),"")</f>
        <v/>
      </c>
      <c r="CF143" s="136">
        <f>IF(AB143&gt;0,(BX143^2),"")</f>
        <v/>
      </c>
      <c r="CG143" s="136">
        <f>IF(AF143&gt;0,(BY143^2),"")</f>
        <v/>
      </c>
      <c r="CH143" s="136">
        <f>IF(AJ143&gt;0,(BZ143^2),"")</f>
        <v/>
      </c>
      <c r="CI143" s="136">
        <f>IF(AN143&gt;0,(CA143^2),"")</f>
        <v/>
      </c>
    </row>
    <row r="144" ht="18.75" customHeight="1" s="444">
      <c r="A144" s="340" t="inlineStr">
        <is>
          <t>/</t>
        </is>
      </c>
      <c r="B144" s="65">
        <f>B143+1</f>
        <v/>
      </c>
      <c r="C144" s="78" t="n"/>
      <c r="D144" s="83" t="n"/>
      <c r="E144" s="83" t="n"/>
      <c r="F144" s="329" t="n"/>
      <c r="G144" s="71" t="n">
        <v>40725</v>
      </c>
      <c r="H144" s="77" t="inlineStr">
        <is>
          <t>Compito</t>
        </is>
      </c>
      <c r="I144" s="77">
        <f>IF((V144-R144)&gt;3,"SI","")</f>
        <v/>
      </c>
      <c r="J144" s="77">
        <f>IF((U144-R144)&gt;3,"SI","")</f>
        <v/>
      </c>
      <c r="K144" s="77" t="n"/>
      <c r="L144" s="77" t="n"/>
      <c r="M144" s="137">
        <f>IF(R144&gt;0,(SQRT(CC144*(SUM(CD144:CI144)))),"")</f>
        <v/>
      </c>
      <c r="N144" s="4">
        <f>IF(T144&gt;0,(MAX(T144,Z144,AD144,AH144,AL144,AP144))+SQRT(1.2^2+1^2),"")</f>
        <v/>
      </c>
      <c r="O144" s="3">
        <f>IF(R144="",0,10*LOG10(SUM(BP144:BU144)/(COUNT(R144,X144,AB144,AF144,AJ144,AN144))))</f>
        <v/>
      </c>
      <c r="P144" s="5">
        <f>IF(AND(Y144="",AC144="",AG144="",AK144="",AO144=""),S144,AVERAGE(S144,Y144,AC144,AG144,AK144,AO144)+STDEV(S144,Y144,AC144,AG144,AK144,AO144))</f>
        <v/>
      </c>
      <c r="Q144" s="14" t="n"/>
      <c r="R144" s="11" t="n"/>
      <c r="S144" s="12" t="n"/>
      <c r="T144" s="13" t="n"/>
      <c r="U144" s="79" t="n"/>
      <c r="V144" s="79" t="n"/>
      <c r="W144" s="10" t="n"/>
      <c r="X144" s="11" t="n"/>
      <c r="Y144" s="12" t="n"/>
      <c r="Z144" s="13" t="n"/>
      <c r="AA144" s="10" t="n"/>
      <c r="AB144" s="11" t="n"/>
      <c r="AC144" s="12" t="n"/>
      <c r="AD144" s="13" t="n"/>
      <c r="AE144" s="14" t="n"/>
      <c r="AF144" s="11" t="n"/>
      <c r="AG144" s="12" t="n"/>
      <c r="AH144" s="13" t="n"/>
      <c r="AI144" s="10" t="n"/>
      <c r="AJ144" s="11" t="n"/>
      <c r="AK144" s="12" t="n"/>
      <c r="AL144" s="13" t="n"/>
      <c r="AM144" s="10" t="n"/>
      <c r="AN144" s="11" t="n"/>
      <c r="AO144" s="12" t="n"/>
      <c r="AP144" s="13" t="n"/>
      <c r="AQ144" s="6">
        <f>IF(AND((O144)&lt;85,N144&lt;137),"NO","SI")</f>
        <v/>
      </c>
      <c r="AR144" s="7">
        <f>IF((480*(10^(7.95-(O144/10))))&lt;480,480*(10^(7.95-(O144/10))),480)</f>
        <v/>
      </c>
      <c r="AS144" s="8">
        <f>IF((480*(10^(8.45-(O144/10))))&lt;480,480*(10^(8.45-(O144/10))),480)</f>
        <v/>
      </c>
      <c r="AT144" s="9">
        <f>IF((480*(10^(8.65-(O144/10))))&lt;480,480*(10^(8.65-(O144/10))),480)</f>
        <v/>
      </c>
      <c r="AU144" s="111">
        <f>IF(O144&lt;80,"0",IF((P144-O144)&lt;=2,('DPI art.191'!$G$3-(('DPI art.191'!$F$3-'DPI art.191'!$G$3)/4)*(P144-O144-2)),('DPI art.191'!$G$3-(('DPI art.191'!$G$3-'DPI art.191'!$H$3)/8)*(P144-O144-2))))</f>
        <v/>
      </c>
      <c r="AV144" s="24">
        <f>O144-AU144</f>
        <v/>
      </c>
      <c r="AW144" s="24">
        <f>IF(N144&lt;135,N144,N144-'DPI art.191'!$I$3)</f>
        <v/>
      </c>
      <c r="AX144" s="111">
        <f>IF(I144&lt;80,"0",IF((J144-I144)&lt;=2,('DPI art.191'!$G$7-(('DPI art.191'!$F$7-'DPI art.191'!$G$7)/4)*(I144-J144-2)),('DPI art.191'!$G$7-(('DPI art.191'!$G$7-'DPI art.191'!$H$7)/8)*(J144-I144-2))))</f>
        <v/>
      </c>
      <c r="AY144" s="24">
        <f>I144-AX144</f>
        <v/>
      </c>
      <c r="AZ144" s="24">
        <f>IF(H144&lt;135,H144,H144-'DPI art.191'!$I$7)</f>
        <v/>
      </c>
      <c r="BA144" s="111">
        <f>IF(O144&lt;80,"0",IF((P144-O144)&lt;=2,('DPI art.191'!$G$5-(('DPI art.191'!$F$5-'DPI art.191'!$G$5)/4)*(P144-O144-2)),('DPI art.191'!$G$5-(('DPI art.191'!$G$5-'DPI art.191'!$H$5)/8)*(P144-O144-2))))</f>
        <v/>
      </c>
      <c r="BB144" s="24">
        <f>R144-BA144</f>
        <v/>
      </c>
      <c r="BC144" s="24">
        <f>IF(N144&lt;135,N144,N144-'DPI art.191'!$I$5)</f>
        <v/>
      </c>
      <c r="BD144" s="111">
        <f>IF(O144&lt;80,"0",IF((P144-O144)&lt;=2,('DPI art.191'!$G$7-(('DPI art.191'!$F$7-'DPI art.191'!$G$7)/4)*(O144-P144-2)),('DPI art.191'!$G$7-(('DPI art.191'!$G$7-'DPI art.191'!$H$7)/8)*(P144-O144-2))))</f>
        <v/>
      </c>
      <c r="BE144" s="24">
        <f>O144-BD144</f>
        <v/>
      </c>
      <c r="BF144" s="24">
        <f>IF(N144&lt;135,N144,N144-'DPI art.191'!$I$7)</f>
        <v/>
      </c>
      <c r="BG144" s="111">
        <f>IF(AA144&lt;80,"0",IF((AB144-AA144)&lt;=2,('DPI art.191'!$G$3-(('DPI art.191'!$F$3-'DPI art.191'!$G$3)/4)*(AB144-AA144-2)),('DPI art.191'!$G$3-(('DPI art.191'!$G$3-'DPI art.191'!$H$3)/8)*(AB144-AA144-2))))</f>
        <v/>
      </c>
      <c r="BH144" s="24">
        <f>AA144-BG144</f>
        <v/>
      </c>
      <c r="BI144" s="24">
        <f>IF(Z144&lt;135,Z144,Z144-'DPI art.191'!$I$3)</f>
        <v/>
      </c>
      <c r="BJ144" s="111">
        <f>IF(U144&lt;80,"0",IF((V144-U144)&lt;=2,('DPI art.191'!$G$7-(('DPI art.191'!$F$7-'DPI art.191'!$G$7)/4)*(U144-V144-2)),('DPI art.191'!$G$7-(('DPI art.191'!$G$7-'DPI art.191'!$H$7)/8)*(V144-U144-2))))</f>
        <v/>
      </c>
      <c r="BK144" s="24">
        <f>U144-BJ144</f>
        <v/>
      </c>
      <c r="BL144" s="24">
        <f>IF(T144&lt;135,T144,T144-'DPI art.191'!$I$7)</f>
        <v/>
      </c>
      <c r="BM144" s="111">
        <f>IF(AA144&lt;80,"0",IF((AB144-AA144)&lt;=2,('DPI art.191'!$G$5-(('DPI art.191'!$F$5-'DPI art.191'!$G$5)/4)*(AB144-AA144-2)),('DPI art.191'!$G$5-(('DPI art.191'!$G$5-'DPI art.191'!$H$5)/8)*(AB144-AA144-2))))</f>
        <v/>
      </c>
      <c r="BN144" s="24">
        <f>AD144-BM144</f>
        <v/>
      </c>
      <c r="BO144" s="24">
        <f>IF(Z144&lt;135,Z144,Z144-'DPI art.191'!$I$5)</f>
        <v/>
      </c>
      <c r="BP144" s="108">
        <f>10^(0.1*R144)</f>
        <v/>
      </c>
      <c r="BQ144" s="108">
        <f>10^(0.1*X144)</f>
        <v/>
      </c>
      <c r="BR144" s="108">
        <f>10^(0.1*AB144)</f>
        <v/>
      </c>
      <c r="BS144" s="108">
        <f>10^(0.1*AF144)</f>
        <v/>
      </c>
      <c r="BT144" s="108">
        <f>10^(0.1*AJ144)</f>
        <v/>
      </c>
      <c r="BU144" s="108">
        <f>10^(0.1*AN144)</f>
        <v/>
      </c>
      <c r="BV144" s="106">
        <f>IF(R144&gt;0,(O144-R144),"")</f>
        <v/>
      </c>
      <c r="BW144" s="106">
        <f>IF(X144&gt;0,(O144-X144),"")</f>
        <v/>
      </c>
      <c r="BX144" s="106">
        <f>IF(AB144&gt;0,(O144-AB144),"")</f>
        <v/>
      </c>
      <c r="BY144" s="106">
        <f>IF(AF144&gt;0,(O144-AF144),"")</f>
        <v/>
      </c>
      <c r="BZ144" s="106">
        <f>IF(AJ144&gt;0,(O144-AJ144),"")</f>
        <v/>
      </c>
      <c r="CA144" s="106">
        <f>IF(AN144&gt;0,(O144-AN144),"")</f>
        <v/>
      </c>
      <c r="CB144" s="106">
        <f>COUNT(BV144:CA144)</f>
        <v/>
      </c>
      <c r="CC144" s="464">
        <f>IF(CB144=0,0,IF(CB144=1,0,1/(CB144*(CB144-1))))</f>
        <v/>
      </c>
      <c r="CD144" s="136">
        <f>IF(R144&gt;0,(BV144^2),"")</f>
        <v/>
      </c>
      <c r="CE144" s="136">
        <f>IF(X144&gt;0,(BW144^2),"")</f>
        <v/>
      </c>
      <c r="CF144" s="136">
        <f>IF(AB144&gt;0,(BX144^2),"")</f>
        <v/>
      </c>
      <c r="CG144" s="136">
        <f>IF(AF144&gt;0,(BY144^2),"")</f>
        <v/>
      </c>
      <c r="CH144" s="136">
        <f>IF(AJ144&gt;0,(BZ144^2),"")</f>
        <v/>
      </c>
      <c r="CI144" s="136">
        <f>IF(AN144&gt;0,(CA144^2),"")</f>
        <v/>
      </c>
    </row>
    <row r="145" ht="18.75" customHeight="1" s="444">
      <c r="A145" s="340" t="inlineStr">
        <is>
          <t>/</t>
        </is>
      </c>
      <c r="B145" s="65">
        <f>B144+1</f>
        <v/>
      </c>
      <c r="C145" s="78" t="n"/>
      <c r="D145" s="83" t="n"/>
      <c r="E145" s="83" t="n"/>
      <c r="F145" s="329" t="n"/>
      <c r="G145" s="71" t="n">
        <v>40725</v>
      </c>
      <c r="H145" s="77" t="inlineStr">
        <is>
          <t>Compito</t>
        </is>
      </c>
      <c r="I145" s="77">
        <f>IF((V145-R145)&gt;3,"SI","")</f>
        <v/>
      </c>
      <c r="J145" s="77">
        <f>IF((U145-R145)&gt;3,"SI","")</f>
        <v/>
      </c>
      <c r="K145" s="77" t="n"/>
      <c r="L145" s="77" t="n"/>
      <c r="M145" s="137">
        <f>IF(R145&gt;0,(SQRT(CC145*(SUM(CD145:CI145)))),"")</f>
        <v/>
      </c>
      <c r="N145" s="4">
        <f>IF(T145&gt;0,(MAX(T145,Z145,AD145,AH145,AL145,AP145))+SQRT(1.2^2+1^2),"")</f>
        <v/>
      </c>
      <c r="O145" s="3">
        <f>IF(R145="",0,10*LOG10(SUM(BP145:BU145)/(COUNT(R145,X145,AB145,AF145,AJ145,AN145))))</f>
        <v/>
      </c>
      <c r="P145" s="5">
        <f>IF(AND(Y145="",AC145="",AG145="",AK145="",AO145=""),S145,AVERAGE(S145,Y145,AC145,AG145,AK145,AO145)+STDEV(S145,Y145,AC145,AG145,AK145,AO145))</f>
        <v/>
      </c>
      <c r="Q145" s="14" t="n"/>
      <c r="R145" s="11" t="n"/>
      <c r="S145" s="12" t="n"/>
      <c r="T145" s="13" t="n"/>
      <c r="U145" s="79" t="n"/>
      <c r="V145" s="79" t="n"/>
      <c r="W145" s="10" t="n"/>
      <c r="X145" s="11" t="n"/>
      <c r="Y145" s="12" t="n"/>
      <c r="Z145" s="13" t="n"/>
      <c r="AA145" s="10" t="n"/>
      <c r="AB145" s="11" t="n"/>
      <c r="AC145" s="12" t="n"/>
      <c r="AD145" s="13" t="n"/>
      <c r="AE145" s="14" t="n"/>
      <c r="AF145" s="11" t="n"/>
      <c r="AG145" s="12" t="n"/>
      <c r="AH145" s="13" t="n"/>
      <c r="AI145" s="10" t="n"/>
      <c r="AJ145" s="11" t="n"/>
      <c r="AK145" s="12" t="n"/>
      <c r="AL145" s="13" t="n"/>
      <c r="AM145" s="10" t="n"/>
      <c r="AN145" s="11" t="n"/>
      <c r="AO145" s="12" t="n"/>
      <c r="AP145" s="13" t="n"/>
      <c r="AQ145" s="6">
        <f>IF(AND((O145)&lt;85,N145&lt;137),"NO","SI")</f>
        <v/>
      </c>
      <c r="AR145" s="7">
        <f>IF((480*(10^(7.95-(O145/10))))&lt;480,480*(10^(7.95-(O145/10))),480)</f>
        <v/>
      </c>
      <c r="AS145" s="8">
        <f>IF((480*(10^(8.45-(O145/10))))&lt;480,480*(10^(8.45-(O145/10))),480)</f>
        <v/>
      </c>
      <c r="AT145" s="9">
        <f>IF((480*(10^(8.65-(O145/10))))&lt;480,480*(10^(8.65-(O145/10))),480)</f>
        <v/>
      </c>
      <c r="AU145" s="111">
        <f>IF(O145&lt;80,"0",IF((P145-O145)&lt;=2,('DPI art.191'!$G$3-(('DPI art.191'!$F$3-'DPI art.191'!$G$3)/4)*(P145-O145-2)),('DPI art.191'!$G$3-(('DPI art.191'!$G$3-'DPI art.191'!$H$3)/8)*(P145-O145-2))))</f>
        <v/>
      </c>
      <c r="AV145" s="24">
        <f>O145-AU145</f>
        <v/>
      </c>
      <c r="AW145" s="24">
        <f>IF(N145&lt;135,N145,N145-'DPI art.191'!$I$3)</f>
        <v/>
      </c>
      <c r="AX145" s="111">
        <f>IF(I145&lt;80,"0",IF((J145-I145)&lt;=2,('DPI art.191'!$G$7-(('DPI art.191'!$F$7-'DPI art.191'!$G$7)/4)*(I145-J145-2)),('DPI art.191'!$G$7-(('DPI art.191'!$G$7-'DPI art.191'!$H$7)/8)*(J145-I145-2))))</f>
        <v/>
      </c>
      <c r="AY145" s="24">
        <f>I145-AX145</f>
        <v/>
      </c>
      <c r="AZ145" s="24">
        <f>IF(H145&lt;135,H145,H145-'DPI art.191'!$I$7)</f>
        <v/>
      </c>
      <c r="BA145" s="111">
        <f>IF(O145&lt;80,"0",IF((P145-O145)&lt;=2,('DPI art.191'!$G$5-(('DPI art.191'!$F$5-'DPI art.191'!$G$5)/4)*(P145-O145-2)),('DPI art.191'!$G$5-(('DPI art.191'!$G$5-'DPI art.191'!$H$5)/8)*(P145-O145-2))))</f>
        <v/>
      </c>
      <c r="BB145" s="24">
        <f>R145-BA145</f>
        <v/>
      </c>
      <c r="BC145" s="24">
        <f>IF(N145&lt;135,N145,N145-'DPI art.191'!$I$5)</f>
        <v/>
      </c>
      <c r="BD145" s="111">
        <f>IF(O145&lt;80,"0",IF((P145-O145)&lt;=2,('DPI art.191'!$G$7-(('DPI art.191'!$F$7-'DPI art.191'!$G$7)/4)*(O145-P145-2)),('DPI art.191'!$G$7-(('DPI art.191'!$G$7-'DPI art.191'!$H$7)/8)*(P145-O145-2))))</f>
        <v/>
      </c>
      <c r="BE145" s="24">
        <f>O145-BD145</f>
        <v/>
      </c>
      <c r="BF145" s="24">
        <f>IF(N145&lt;135,N145,N145-'DPI art.191'!$I$7)</f>
        <v/>
      </c>
      <c r="BG145" s="111">
        <f>IF(AA145&lt;80,"0",IF((AB145-AA145)&lt;=2,('DPI art.191'!$G$3-(('DPI art.191'!$F$3-'DPI art.191'!$G$3)/4)*(AB145-AA145-2)),('DPI art.191'!$G$3-(('DPI art.191'!$G$3-'DPI art.191'!$H$3)/8)*(AB145-AA145-2))))</f>
        <v/>
      </c>
      <c r="BH145" s="24">
        <f>AA145-BG145</f>
        <v/>
      </c>
      <c r="BI145" s="24">
        <f>IF(Z145&lt;135,Z145,Z145-'DPI art.191'!$I$3)</f>
        <v/>
      </c>
      <c r="BJ145" s="111">
        <f>IF(U145&lt;80,"0",IF((V145-U145)&lt;=2,('DPI art.191'!$G$7-(('DPI art.191'!$F$7-'DPI art.191'!$G$7)/4)*(U145-V145-2)),('DPI art.191'!$G$7-(('DPI art.191'!$G$7-'DPI art.191'!$H$7)/8)*(V145-U145-2))))</f>
        <v/>
      </c>
      <c r="BK145" s="24">
        <f>U145-BJ145</f>
        <v/>
      </c>
      <c r="BL145" s="24">
        <f>IF(T145&lt;135,T145,T145-'DPI art.191'!$I$7)</f>
        <v/>
      </c>
      <c r="BM145" s="111">
        <f>IF(AA145&lt;80,"0",IF((AB145-AA145)&lt;=2,('DPI art.191'!$G$5-(('DPI art.191'!$F$5-'DPI art.191'!$G$5)/4)*(AB145-AA145-2)),('DPI art.191'!$G$5-(('DPI art.191'!$G$5-'DPI art.191'!$H$5)/8)*(AB145-AA145-2))))</f>
        <v/>
      </c>
      <c r="BN145" s="24">
        <f>AD145-BM145</f>
        <v/>
      </c>
      <c r="BO145" s="24">
        <f>IF(Z145&lt;135,Z145,Z145-'DPI art.191'!$I$5)</f>
        <v/>
      </c>
      <c r="BP145" s="108">
        <f>10^(0.1*R145)</f>
        <v/>
      </c>
      <c r="BQ145" s="108">
        <f>10^(0.1*X145)</f>
        <v/>
      </c>
      <c r="BR145" s="108">
        <f>10^(0.1*AB145)</f>
        <v/>
      </c>
      <c r="BS145" s="108">
        <f>10^(0.1*AF145)</f>
        <v/>
      </c>
      <c r="BT145" s="108">
        <f>10^(0.1*AJ145)</f>
        <v/>
      </c>
      <c r="BU145" s="108">
        <f>10^(0.1*AN145)</f>
        <v/>
      </c>
      <c r="BV145" s="106">
        <f>IF(R145&gt;0,(O145-R145),"")</f>
        <v/>
      </c>
      <c r="BW145" s="106">
        <f>IF(X145&gt;0,(O145-X145),"")</f>
        <v/>
      </c>
      <c r="BX145" s="106">
        <f>IF(AB145&gt;0,(O145-AB145),"")</f>
        <v/>
      </c>
      <c r="BY145" s="106">
        <f>IF(AF145&gt;0,(O145-AF145),"")</f>
        <v/>
      </c>
      <c r="BZ145" s="106">
        <f>IF(AJ145&gt;0,(O145-AJ145),"")</f>
        <v/>
      </c>
      <c r="CA145" s="106">
        <f>IF(AN145&gt;0,(O145-AN145),"")</f>
        <v/>
      </c>
      <c r="CB145" s="106">
        <f>COUNT(BV145:CA145)</f>
        <v/>
      </c>
      <c r="CC145" s="464">
        <f>IF(CB145=0,0,IF(CB145=1,0,1/(CB145*(CB145-1))))</f>
        <v/>
      </c>
      <c r="CD145" s="136">
        <f>IF(R145&gt;0,(BV145^2),"")</f>
        <v/>
      </c>
      <c r="CE145" s="136">
        <f>IF(X145&gt;0,(BW145^2),"")</f>
        <v/>
      </c>
      <c r="CF145" s="136">
        <f>IF(AB145&gt;0,(BX145^2),"")</f>
        <v/>
      </c>
      <c r="CG145" s="136">
        <f>IF(AF145&gt;0,(BY145^2),"")</f>
        <v/>
      </c>
      <c r="CH145" s="136">
        <f>IF(AJ145&gt;0,(BZ145^2),"")</f>
        <v/>
      </c>
      <c r="CI145" s="136">
        <f>IF(AN145&gt;0,(CA145^2),"")</f>
        <v/>
      </c>
    </row>
    <row r="146" ht="18.75" customHeight="1" s="444">
      <c r="A146" s="340" t="inlineStr">
        <is>
          <t>/</t>
        </is>
      </c>
      <c r="B146" s="65">
        <f>B145+1</f>
        <v/>
      </c>
      <c r="C146" s="78" t="n"/>
      <c r="D146" s="83" t="n"/>
      <c r="E146" s="83" t="n"/>
      <c r="F146" s="329" t="n"/>
      <c r="G146" s="71" t="n">
        <v>40725</v>
      </c>
      <c r="H146" s="77" t="inlineStr">
        <is>
          <t>Compito</t>
        </is>
      </c>
      <c r="I146" s="77">
        <f>IF((V146-R146)&gt;3,"SI","")</f>
        <v/>
      </c>
      <c r="J146" s="77">
        <f>IF((U146-R146)&gt;3,"SI","")</f>
        <v/>
      </c>
      <c r="K146" s="77" t="n"/>
      <c r="L146" s="77" t="n"/>
      <c r="M146" s="137">
        <f>IF(R146&gt;0,(SQRT(CC146*(SUM(CD146:CI146)))),"")</f>
        <v/>
      </c>
      <c r="N146" s="4">
        <f>IF(T146&gt;0,(MAX(T146,Z146,AD146,AH146,AL146,AP146))+SQRT(1.2^2+1^2),"")</f>
        <v/>
      </c>
      <c r="O146" s="3">
        <f>IF(R146="",0,10*LOG10(SUM(BP146:BU146)/(COUNT(R146,X146,AB146,AF146,AJ146,AN146))))</f>
        <v/>
      </c>
      <c r="P146" s="5">
        <f>IF(AND(Y146="",AC146="",AG146="",AK146="",AO146=""),S146,AVERAGE(S146,Y146,AC146,AG146,AK146,AO146)+STDEV(S146,Y146,AC146,AG146,AK146,AO146))</f>
        <v/>
      </c>
      <c r="Q146" s="14" t="n"/>
      <c r="R146" s="11" t="n"/>
      <c r="S146" s="12" t="n"/>
      <c r="T146" s="13" t="n"/>
      <c r="U146" s="79" t="n"/>
      <c r="V146" s="79" t="n"/>
      <c r="W146" s="10" t="n"/>
      <c r="X146" s="11" t="n"/>
      <c r="Y146" s="12" t="n"/>
      <c r="Z146" s="13" t="n"/>
      <c r="AA146" s="10" t="n"/>
      <c r="AB146" s="11" t="n"/>
      <c r="AC146" s="12" t="n"/>
      <c r="AD146" s="13" t="n"/>
      <c r="AE146" s="14" t="n"/>
      <c r="AF146" s="11" t="n"/>
      <c r="AG146" s="12" t="n"/>
      <c r="AH146" s="13" t="n"/>
      <c r="AI146" s="10" t="n"/>
      <c r="AJ146" s="11" t="n"/>
      <c r="AK146" s="12" t="n"/>
      <c r="AL146" s="13" t="n"/>
      <c r="AM146" s="10" t="n"/>
      <c r="AN146" s="11" t="n"/>
      <c r="AO146" s="12" t="n"/>
      <c r="AP146" s="13" t="n"/>
      <c r="AQ146" s="6">
        <f>IF(AND((O146)&lt;85,N146&lt;137),"NO","SI")</f>
        <v/>
      </c>
      <c r="AR146" s="7">
        <f>IF((480*(10^(7.95-(O146/10))))&lt;480,480*(10^(7.95-(O146/10))),480)</f>
        <v/>
      </c>
      <c r="AS146" s="8">
        <f>IF((480*(10^(8.45-(O146/10))))&lt;480,480*(10^(8.45-(O146/10))),480)</f>
        <v/>
      </c>
      <c r="AT146" s="9">
        <f>IF((480*(10^(8.65-(O146/10))))&lt;480,480*(10^(8.65-(O146/10))),480)</f>
        <v/>
      </c>
      <c r="AU146" s="111">
        <f>IF(O146&lt;80,"0",IF((P146-O146)&lt;=2,('DPI art.191'!$G$3-(('DPI art.191'!$F$3-'DPI art.191'!$G$3)/4)*(P146-O146-2)),('DPI art.191'!$G$3-(('DPI art.191'!$G$3-'DPI art.191'!$H$3)/8)*(P146-O146-2))))</f>
        <v/>
      </c>
      <c r="AV146" s="24">
        <f>O146-AU146</f>
        <v/>
      </c>
      <c r="AW146" s="24">
        <f>IF(N146&lt;135,N146,N146-'DPI art.191'!$I$3)</f>
        <v/>
      </c>
      <c r="AX146" s="111">
        <f>IF(I146&lt;80,"0",IF((J146-I146)&lt;=2,('DPI art.191'!$G$7-(('DPI art.191'!$F$7-'DPI art.191'!$G$7)/4)*(I146-J146-2)),('DPI art.191'!$G$7-(('DPI art.191'!$G$7-'DPI art.191'!$H$7)/8)*(J146-I146-2))))</f>
        <v/>
      </c>
      <c r="AY146" s="24">
        <f>I146-AX146</f>
        <v/>
      </c>
      <c r="AZ146" s="24">
        <f>IF(H146&lt;135,H146,H146-'DPI art.191'!$I$7)</f>
        <v/>
      </c>
      <c r="BA146" s="111">
        <f>IF(O146&lt;80,"0",IF((P146-O146)&lt;=2,('DPI art.191'!$G$5-(('DPI art.191'!$F$5-'DPI art.191'!$G$5)/4)*(P146-O146-2)),('DPI art.191'!$G$5-(('DPI art.191'!$G$5-'DPI art.191'!$H$5)/8)*(P146-O146-2))))</f>
        <v/>
      </c>
      <c r="BB146" s="24">
        <f>R146-BA146</f>
        <v/>
      </c>
      <c r="BC146" s="24">
        <f>IF(N146&lt;135,N146,N146-'DPI art.191'!$I$5)</f>
        <v/>
      </c>
      <c r="BD146" s="111">
        <f>IF(O146&lt;80,"0",IF((P146-O146)&lt;=2,('DPI art.191'!$G$7-(('DPI art.191'!$F$7-'DPI art.191'!$G$7)/4)*(O146-P146-2)),('DPI art.191'!$G$7-(('DPI art.191'!$G$7-'DPI art.191'!$H$7)/8)*(P146-O146-2))))</f>
        <v/>
      </c>
      <c r="BE146" s="24">
        <f>O146-BD146</f>
        <v/>
      </c>
      <c r="BF146" s="24">
        <f>IF(N146&lt;135,N146,N146-'DPI art.191'!$I$7)</f>
        <v/>
      </c>
      <c r="BG146" s="111">
        <f>IF(AA146&lt;80,"0",IF((AB146-AA146)&lt;=2,('DPI art.191'!$G$3-(('DPI art.191'!$F$3-'DPI art.191'!$G$3)/4)*(AB146-AA146-2)),('DPI art.191'!$G$3-(('DPI art.191'!$G$3-'DPI art.191'!$H$3)/8)*(AB146-AA146-2))))</f>
        <v/>
      </c>
      <c r="BH146" s="24">
        <f>AA146-BG146</f>
        <v/>
      </c>
      <c r="BI146" s="24">
        <f>IF(Z146&lt;135,Z146,Z146-'DPI art.191'!$I$3)</f>
        <v/>
      </c>
      <c r="BJ146" s="111">
        <f>IF(U146&lt;80,"0",IF((V146-U146)&lt;=2,('DPI art.191'!$G$7-(('DPI art.191'!$F$7-'DPI art.191'!$G$7)/4)*(U146-V146-2)),('DPI art.191'!$G$7-(('DPI art.191'!$G$7-'DPI art.191'!$H$7)/8)*(V146-U146-2))))</f>
        <v/>
      </c>
      <c r="BK146" s="24">
        <f>U146-BJ146</f>
        <v/>
      </c>
      <c r="BL146" s="24">
        <f>IF(T146&lt;135,T146,T146-'DPI art.191'!$I$7)</f>
        <v/>
      </c>
      <c r="BM146" s="111">
        <f>IF(AA146&lt;80,"0",IF((AB146-AA146)&lt;=2,('DPI art.191'!$G$5-(('DPI art.191'!$F$5-'DPI art.191'!$G$5)/4)*(AB146-AA146-2)),('DPI art.191'!$G$5-(('DPI art.191'!$G$5-'DPI art.191'!$H$5)/8)*(AB146-AA146-2))))</f>
        <v/>
      </c>
      <c r="BN146" s="24">
        <f>AD146-BM146</f>
        <v/>
      </c>
      <c r="BO146" s="24">
        <f>IF(Z146&lt;135,Z146,Z146-'DPI art.191'!$I$5)</f>
        <v/>
      </c>
      <c r="BP146" s="108">
        <f>10^(0.1*R146)</f>
        <v/>
      </c>
      <c r="BQ146" s="108">
        <f>10^(0.1*X146)</f>
        <v/>
      </c>
      <c r="BR146" s="108">
        <f>10^(0.1*AB146)</f>
        <v/>
      </c>
      <c r="BS146" s="108">
        <f>10^(0.1*AF146)</f>
        <v/>
      </c>
      <c r="BT146" s="108">
        <f>10^(0.1*AJ146)</f>
        <v/>
      </c>
      <c r="BU146" s="108">
        <f>10^(0.1*AN146)</f>
        <v/>
      </c>
      <c r="BV146" s="106">
        <f>IF(R146&gt;0,(O146-R146),"")</f>
        <v/>
      </c>
      <c r="BW146" s="106">
        <f>IF(X146&gt;0,(O146-X146),"")</f>
        <v/>
      </c>
      <c r="BX146" s="106">
        <f>IF(AB146&gt;0,(O146-AB146),"")</f>
        <v/>
      </c>
      <c r="BY146" s="106">
        <f>IF(AF146&gt;0,(O146-AF146),"")</f>
        <v/>
      </c>
      <c r="BZ146" s="106">
        <f>IF(AJ146&gt;0,(O146-AJ146),"")</f>
        <v/>
      </c>
      <c r="CA146" s="106">
        <f>IF(AN146&gt;0,(O146-AN146),"")</f>
        <v/>
      </c>
      <c r="CB146" s="106">
        <f>COUNT(BV146:CA146)</f>
        <v/>
      </c>
      <c r="CC146" s="464">
        <f>IF(CB146=0,0,IF(CB146=1,0,1/(CB146*(CB146-1))))</f>
        <v/>
      </c>
      <c r="CD146" s="136">
        <f>IF(R146&gt;0,(BV146^2),"")</f>
        <v/>
      </c>
      <c r="CE146" s="136">
        <f>IF(X146&gt;0,(BW146^2),"")</f>
        <v/>
      </c>
      <c r="CF146" s="136">
        <f>IF(AB146&gt;0,(BX146^2),"")</f>
        <v/>
      </c>
      <c r="CG146" s="136">
        <f>IF(AF146&gt;0,(BY146^2),"")</f>
        <v/>
      </c>
      <c r="CH146" s="136">
        <f>IF(AJ146&gt;0,(BZ146^2),"")</f>
        <v/>
      </c>
      <c r="CI146" s="136">
        <f>IF(AN146&gt;0,(CA146^2),"")</f>
        <v/>
      </c>
    </row>
    <row r="147" ht="18.75" customHeight="1" s="444">
      <c r="A147" s="340" t="inlineStr">
        <is>
          <t>/</t>
        </is>
      </c>
      <c r="B147" s="65">
        <f>B146+1</f>
        <v/>
      </c>
      <c r="C147" s="78" t="n"/>
      <c r="D147" s="83" t="n"/>
      <c r="E147" s="83" t="n"/>
      <c r="F147" s="329" t="n"/>
      <c r="G147" s="71" t="n">
        <v>40725</v>
      </c>
      <c r="H147" s="77" t="inlineStr">
        <is>
          <t>Compito</t>
        </is>
      </c>
      <c r="I147" s="77">
        <f>IF((V147-R147)&gt;3,"SI","")</f>
        <v/>
      </c>
      <c r="J147" s="77">
        <f>IF((U147-R147)&gt;3,"SI","")</f>
        <v/>
      </c>
      <c r="K147" s="77" t="n"/>
      <c r="L147" s="77" t="n"/>
      <c r="M147" s="137">
        <f>IF(R147&gt;0,(SQRT(CC147*(SUM(CD147:CI147)))),"")</f>
        <v/>
      </c>
      <c r="N147" s="4">
        <f>IF(T147&gt;0,(MAX(T147,Z147,AD147,AH147,AL147,AP147))+SQRT(1.2^2+1^2),"")</f>
        <v/>
      </c>
      <c r="O147" s="3">
        <f>IF(R147="",0,10*LOG10(SUM(BP147:BU147)/(COUNT(R147,X147,AB147,AF147,AJ147,AN147))))</f>
        <v/>
      </c>
      <c r="P147" s="5">
        <f>IF(AND(Y147="",AC147="",AG147="",AK147="",AO147=""),S147,AVERAGE(S147,Y147,AC147,AG147,AK147,AO147)+STDEV(S147,Y147,AC147,AG147,AK147,AO147))</f>
        <v/>
      </c>
      <c r="Q147" s="14" t="n"/>
      <c r="R147" s="11" t="n"/>
      <c r="S147" s="12" t="n"/>
      <c r="T147" s="13" t="n"/>
      <c r="U147" s="79" t="n"/>
      <c r="V147" s="79" t="n"/>
      <c r="W147" s="10" t="n"/>
      <c r="X147" s="11" t="n"/>
      <c r="Y147" s="12" t="n"/>
      <c r="Z147" s="13" t="n"/>
      <c r="AA147" s="10" t="n"/>
      <c r="AB147" s="11" t="n"/>
      <c r="AC147" s="12" t="n"/>
      <c r="AD147" s="13" t="n"/>
      <c r="AE147" s="14" t="n"/>
      <c r="AF147" s="11" t="n"/>
      <c r="AG147" s="12" t="n"/>
      <c r="AH147" s="13" t="n"/>
      <c r="AI147" s="10" t="n"/>
      <c r="AJ147" s="11" t="n"/>
      <c r="AK147" s="12" t="n"/>
      <c r="AL147" s="13" t="n"/>
      <c r="AM147" s="10" t="n"/>
      <c r="AN147" s="11" t="n"/>
      <c r="AO147" s="12" t="n"/>
      <c r="AP147" s="13" t="n"/>
      <c r="AQ147" s="6">
        <f>IF(AND((O147)&lt;85,N147&lt;137),"NO","SI")</f>
        <v/>
      </c>
      <c r="AR147" s="7">
        <f>IF((480*(10^(7.95-(O147/10))))&lt;480,480*(10^(7.95-(O147/10))),480)</f>
        <v/>
      </c>
      <c r="AS147" s="8">
        <f>IF((480*(10^(8.45-(O147/10))))&lt;480,480*(10^(8.45-(O147/10))),480)</f>
        <v/>
      </c>
      <c r="AT147" s="9">
        <f>IF((480*(10^(8.65-(O147/10))))&lt;480,480*(10^(8.65-(O147/10))),480)</f>
        <v/>
      </c>
      <c r="AU147" s="111">
        <f>IF(O147&lt;80,"0",IF((P147-O147)&lt;=2,('DPI art.191'!$G$3-(('DPI art.191'!$F$3-'DPI art.191'!$G$3)/4)*(P147-O147-2)),('DPI art.191'!$G$3-(('DPI art.191'!$G$3-'DPI art.191'!$H$3)/8)*(P147-O147-2))))</f>
        <v/>
      </c>
      <c r="AV147" s="24">
        <f>O147-AU147</f>
        <v/>
      </c>
      <c r="AW147" s="24">
        <f>IF(N147&lt;135,N147,N147-'DPI art.191'!$I$3)</f>
        <v/>
      </c>
      <c r="AX147" s="111">
        <f>IF(I147&lt;80,"0",IF((J147-I147)&lt;=2,('DPI art.191'!$G$7-(('DPI art.191'!$F$7-'DPI art.191'!$G$7)/4)*(I147-J147-2)),('DPI art.191'!$G$7-(('DPI art.191'!$G$7-'DPI art.191'!$H$7)/8)*(J147-I147-2))))</f>
        <v/>
      </c>
      <c r="AY147" s="24">
        <f>I147-AX147</f>
        <v/>
      </c>
      <c r="AZ147" s="24">
        <f>IF(H147&lt;135,H147,H147-'DPI art.191'!$I$7)</f>
        <v/>
      </c>
      <c r="BA147" s="111">
        <f>IF(O147&lt;80,"0",IF((P147-O147)&lt;=2,('DPI art.191'!$G$5-(('DPI art.191'!$F$5-'DPI art.191'!$G$5)/4)*(P147-O147-2)),('DPI art.191'!$G$5-(('DPI art.191'!$G$5-'DPI art.191'!$H$5)/8)*(P147-O147-2))))</f>
        <v/>
      </c>
      <c r="BB147" s="24">
        <f>R147-BA147</f>
        <v/>
      </c>
      <c r="BC147" s="24">
        <f>IF(N147&lt;135,N147,N147-'DPI art.191'!$I$5)</f>
        <v/>
      </c>
      <c r="BD147" s="111">
        <f>IF(O147&lt;80,"0",IF((P147-O147)&lt;=2,('DPI art.191'!$G$7-(('DPI art.191'!$F$7-'DPI art.191'!$G$7)/4)*(O147-P147-2)),('DPI art.191'!$G$7-(('DPI art.191'!$G$7-'DPI art.191'!$H$7)/8)*(P147-O147-2))))</f>
        <v/>
      </c>
      <c r="BE147" s="24">
        <f>O147-BD147</f>
        <v/>
      </c>
      <c r="BF147" s="24">
        <f>IF(N147&lt;135,N147,N147-'DPI art.191'!$I$7)</f>
        <v/>
      </c>
      <c r="BG147" s="111">
        <f>IF(AA147&lt;80,"0",IF((AB147-AA147)&lt;=2,('DPI art.191'!$G$3-(('DPI art.191'!$F$3-'DPI art.191'!$G$3)/4)*(AB147-AA147-2)),('DPI art.191'!$G$3-(('DPI art.191'!$G$3-'DPI art.191'!$H$3)/8)*(AB147-AA147-2))))</f>
        <v/>
      </c>
      <c r="BH147" s="24">
        <f>AA147-BG147</f>
        <v/>
      </c>
      <c r="BI147" s="24">
        <f>IF(Z147&lt;135,Z147,Z147-'DPI art.191'!$I$3)</f>
        <v/>
      </c>
      <c r="BJ147" s="111">
        <f>IF(U147&lt;80,"0",IF((V147-U147)&lt;=2,('DPI art.191'!$G$7-(('DPI art.191'!$F$7-'DPI art.191'!$G$7)/4)*(U147-V147-2)),('DPI art.191'!$G$7-(('DPI art.191'!$G$7-'DPI art.191'!$H$7)/8)*(V147-U147-2))))</f>
        <v/>
      </c>
      <c r="BK147" s="24">
        <f>U147-BJ147</f>
        <v/>
      </c>
      <c r="BL147" s="24">
        <f>IF(T147&lt;135,T147,T147-'DPI art.191'!$I$7)</f>
        <v/>
      </c>
      <c r="BM147" s="111">
        <f>IF(AA147&lt;80,"0",IF((AB147-AA147)&lt;=2,('DPI art.191'!$G$5-(('DPI art.191'!$F$5-'DPI art.191'!$G$5)/4)*(AB147-AA147-2)),('DPI art.191'!$G$5-(('DPI art.191'!$G$5-'DPI art.191'!$H$5)/8)*(AB147-AA147-2))))</f>
        <v/>
      </c>
      <c r="BN147" s="24">
        <f>AD147-BM147</f>
        <v/>
      </c>
      <c r="BO147" s="24">
        <f>IF(Z147&lt;135,Z147,Z147-'DPI art.191'!$I$5)</f>
        <v/>
      </c>
      <c r="BP147" s="108">
        <f>10^(0.1*R147)</f>
        <v/>
      </c>
      <c r="BQ147" s="108">
        <f>10^(0.1*X147)</f>
        <v/>
      </c>
      <c r="BR147" s="108">
        <f>10^(0.1*AB147)</f>
        <v/>
      </c>
      <c r="BS147" s="108">
        <f>10^(0.1*AF147)</f>
        <v/>
      </c>
      <c r="BT147" s="108">
        <f>10^(0.1*AJ147)</f>
        <v/>
      </c>
      <c r="BU147" s="108">
        <f>10^(0.1*AN147)</f>
        <v/>
      </c>
      <c r="BV147" s="106">
        <f>IF(R147&gt;0,(O147-R147),"")</f>
        <v/>
      </c>
      <c r="BW147" s="106">
        <f>IF(X147&gt;0,(O147-X147),"")</f>
        <v/>
      </c>
      <c r="BX147" s="106">
        <f>IF(AB147&gt;0,(O147-AB147),"")</f>
        <v/>
      </c>
      <c r="BY147" s="106">
        <f>IF(AF147&gt;0,(O147-AF147),"")</f>
        <v/>
      </c>
      <c r="BZ147" s="106">
        <f>IF(AJ147&gt;0,(O147-AJ147),"")</f>
        <v/>
      </c>
      <c r="CA147" s="106">
        <f>IF(AN147&gt;0,(O147-AN147),"")</f>
        <v/>
      </c>
      <c r="CB147" s="106">
        <f>COUNT(BV147:CA147)</f>
        <v/>
      </c>
      <c r="CC147" s="464">
        <f>IF(CB147=0,0,IF(CB147=1,0,1/(CB147*(CB147-1))))</f>
        <v/>
      </c>
      <c r="CD147" s="136">
        <f>IF(R147&gt;0,(BV147^2),"")</f>
        <v/>
      </c>
      <c r="CE147" s="136">
        <f>IF(X147&gt;0,(BW147^2),"")</f>
        <v/>
      </c>
      <c r="CF147" s="136">
        <f>IF(AB147&gt;0,(BX147^2),"")</f>
        <v/>
      </c>
      <c r="CG147" s="136">
        <f>IF(AF147&gt;0,(BY147^2),"")</f>
        <v/>
      </c>
      <c r="CH147" s="136">
        <f>IF(AJ147&gt;0,(BZ147^2),"")</f>
        <v/>
      </c>
      <c r="CI147" s="136">
        <f>IF(AN147&gt;0,(CA147^2),"")</f>
        <v/>
      </c>
    </row>
    <row r="148" ht="18.75" customHeight="1" s="444">
      <c r="A148" s="340" t="inlineStr">
        <is>
          <t>/</t>
        </is>
      </c>
      <c r="B148" s="65">
        <f>B147+1</f>
        <v/>
      </c>
      <c r="C148" s="78" t="n"/>
      <c r="D148" s="83" t="n"/>
      <c r="E148" s="83" t="n"/>
      <c r="F148" s="329" t="n"/>
      <c r="G148" s="71" t="n">
        <v>40725</v>
      </c>
      <c r="H148" s="77" t="inlineStr">
        <is>
          <t>Compito</t>
        </is>
      </c>
      <c r="I148" s="77">
        <f>IF((V148-R148)&gt;3,"SI","")</f>
        <v/>
      </c>
      <c r="J148" s="77">
        <f>IF((U148-R148)&gt;3,"SI","")</f>
        <v/>
      </c>
      <c r="K148" s="77" t="n"/>
      <c r="L148" s="77" t="n"/>
      <c r="M148" s="137">
        <f>IF(R148&gt;0,(SQRT(CC148*(SUM(CD148:CI148)))),"")</f>
        <v/>
      </c>
      <c r="N148" s="4">
        <f>IF(T148&gt;0,(MAX(T148,Z148,AD148,AH148,AL148,AP148))+SQRT(1.2^2+1^2),"")</f>
        <v/>
      </c>
      <c r="O148" s="3">
        <f>IF(R148="",0,10*LOG10(SUM(BP148:BU148)/(COUNT(R148,X148,AB148,AF148,AJ148,AN148))))</f>
        <v/>
      </c>
      <c r="P148" s="5">
        <f>IF(AND(Y148="",AC148="",AG148="",AK148="",AO148=""),S148,AVERAGE(S148,Y148,AC148,AG148,AK148,AO148)+STDEV(S148,Y148,AC148,AG148,AK148,AO148))</f>
        <v/>
      </c>
      <c r="Q148" s="14" t="n"/>
      <c r="R148" s="11" t="n"/>
      <c r="S148" s="12" t="n"/>
      <c r="T148" s="13" t="n"/>
      <c r="U148" s="79" t="n"/>
      <c r="V148" s="79" t="n"/>
      <c r="W148" s="10" t="n"/>
      <c r="X148" s="11" t="n"/>
      <c r="Y148" s="12" t="n"/>
      <c r="Z148" s="13" t="n"/>
      <c r="AA148" s="10" t="n"/>
      <c r="AB148" s="11" t="n"/>
      <c r="AC148" s="12" t="n"/>
      <c r="AD148" s="13" t="n"/>
      <c r="AE148" s="14" t="n"/>
      <c r="AF148" s="11" t="n"/>
      <c r="AG148" s="12" t="n"/>
      <c r="AH148" s="13" t="n"/>
      <c r="AI148" s="10" t="n"/>
      <c r="AJ148" s="11" t="n"/>
      <c r="AK148" s="12" t="n"/>
      <c r="AL148" s="13" t="n"/>
      <c r="AM148" s="10" t="n"/>
      <c r="AN148" s="11" t="n"/>
      <c r="AO148" s="12" t="n"/>
      <c r="AP148" s="13" t="n"/>
      <c r="AQ148" s="6">
        <f>IF(AND((O148)&lt;85,N148&lt;137),"NO","SI")</f>
        <v/>
      </c>
      <c r="AR148" s="7">
        <f>IF((480*(10^(7.95-(O148/10))))&lt;480,480*(10^(7.95-(O148/10))),480)</f>
        <v/>
      </c>
      <c r="AS148" s="8">
        <f>IF((480*(10^(8.45-(O148/10))))&lt;480,480*(10^(8.45-(O148/10))),480)</f>
        <v/>
      </c>
      <c r="AT148" s="9">
        <f>IF((480*(10^(8.65-(O148/10))))&lt;480,480*(10^(8.65-(O148/10))),480)</f>
        <v/>
      </c>
      <c r="AU148" s="111">
        <f>IF(O148&lt;80,"0",IF((P148-O148)&lt;=2,('DPI art.191'!$G$3-(('DPI art.191'!$F$3-'DPI art.191'!$G$3)/4)*(P148-O148-2)),('DPI art.191'!$G$3-(('DPI art.191'!$G$3-'DPI art.191'!$H$3)/8)*(P148-O148-2))))</f>
        <v/>
      </c>
      <c r="AV148" s="24">
        <f>O148-AU148</f>
        <v/>
      </c>
      <c r="AW148" s="24">
        <f>IF(N148&lt;135,N148,N148-'DPI art.191'!$I$3)</f>
        <v/>
      </c>
      <c r="AX148" s="111">
        <f>IF(I148&lt;80,"0",IF((J148-I148)&lt;=2,('DPI art.191'!$G$7-(('DPI art.191'!$F$7-'DPI art.191'!$G$7)/4)*(I148-J148-2)),('DPI art.191'!$G$7-(('DPI art.191'!$G$7-'DPI art.191'!$H$7)/8)*(J148-I148-2))))</f>
        <v/>
      </c>
      <c r="AY148" s="24">
        <f>I148-AX148</f>
        <v/>
      </c>
      <c r="AZ148" s="24">
        <f>IF(H148&lt;135,H148,H148-'DPI art.191'!$I$7)</f>
        <v/>
      </c>
      <c r="BA148" s="111">
        <f>IF(O148&lt;80,"0",IF((P148-O148)&lt;=2,('DPI art.191'!$G$5-(('DPI art.191'!$F$5-'DPI art.191'!$G$5)/4)*(P148-O148-2)),('DPI art.191'!$G$5-(('DPI art.191'!$G$5-'DPI art.191'!$H$5)/8)*(P148-O148-2))))</f>
        <v/>
      </c>
      <c r="BB148" s="24">
        <f>R148-BA148</f>
        <v/>
      </c>
      <c r="BC148" s="24">
        <f>IF(N148&lt;135,N148,N148-'DPI art.191'!$I$5)</f>
        <v/>
      </c>
      <c r="BD148" s="111">
        <f>IF(O148&lt;80,"0",IF((P148-O148)&lt;=2,('DPI art.191'!$G$7-(('DPI art.191'!$F$7-'DPI art.191'!$G$7)/4)*(O148-P148-2)),('DPI art.191'!$G$7-(('DPI art.191'!$G$7-'DPI art.191'!$H$7)/8)*(P148-O148-2))))</f>
        <v/>
      </c>
      <c r="BE148" s="24">
        <f>O148-BD148</f>
        <v/>
      </c>
      <c r="BF148" s="24">
        <f>IF(N148&lt;135,N148,N148-'DPI art.191'!$I$7)</f>
        <v/>
      </c>
      <c r="BG148" s="111">
        <f>IF(AA148&lt;80,"0",IF((AB148-AA148)&lt;=2,('DPI art.191'!$G$3-(('DPI art.191'!$F$3-'DPI art.191'!$G$3)/4)*(AB148-AA148-2)),('DPI art.191'!$G$3-(('DPI art.191'!$G$3-'DPI art.191'!$H$3)/8)*(AB148-AA148-2))))</f>
        <v/>
      </c>
      <c r="BH148" s="24">
        <f>AA148-BG148</f>
        <v/>
      </c>
      <c r="BI148" s="24">
        <f>IF(Z148&lt;135,Z148,Z148-'DPI art.191'!$I$3)</f>
        <v/>
      </c>
      <c r="BJ148" s="111">
        <f>IF(U148&lt;80,"0",IF((V148-U148)&lt;=2,('DPI art.191'!$G$7-(('DPI art.191'!$F$7-'DPI art.191'!$G$7)/4)*(U148-V148-2)),('DPI art.191'!$G$7-(('DPI art.191'!$G$7-'DPI art.191'!$H$7)/8)*(V148-U148-2))))</f>
        <v/>
      </c>
      <c r="BK148" s="24">
        <f>U148-BJ148</f>
        <v/>
      </c>
      <c r="BL148" s="24">
        <f>IF(T148&lt;135,T148,T148-'DPI art.191'!$I$7)</f>
        <v/>
      </c>
      <c r="BM148" s="111">
        <f>IF(AA148&lt;80,"0",IF((AB148-AA148)&lt;=2,('DPI art.191'!$G$5-(('DPI art.191'!$F$5-'DPI art.191'!$G$5)/4)*(AB148-AA148-2)),('DPI art.191'!$G$5-(('DPI art.191'!$G$5-'DPI art.191'!$H$5)/8)*(AB148-AA148-2))))</f>
        <v/>
      </c>
      <c r="BN148" s="24">
        <f>AD148-BM148</f>
        <v/>
      </c>
      <c r="BO148" s="24">
        <f>IF(Z148&lt;135,Z148,Z148-'DPI art.191'!$I$5)</f>
        <v/>
      </c>
      <c r="BP148" s="108">
        <f>10^(0.1*R148)</f>
        <v/>
      </c>
      <c r="BQ148" s="108">
        <f>10^(0.1*X148)</f>
        <v/>
      </c>
      <c r="BR148" s="108">
        <f>10^(0.1*AB148)</f>
        <v/>
      </c>
      <c r="BS148" s="108">
        <f>10^(0.1*AF148)</f>
        <v/>
      </c>
      <c r="BT148" s="108">
        <f>10^(0.1*AJ148)</f>
        <v/>
      </c>
      <c r="BU148" s="108">
        <f>10^(0.1*AN148)</f>
        <v/>
      </c>
      <c r="BV148" s="106">
        <f>IF(R148&gt;0,(O148-R148),"")</f>
        <v/>
      </c>
      <c r="BW148" s="106">
        <f>IF(X148&gt;0,(O148-X148),"")</f>
        <v/>
      </c>
      <c r="BX148" s="106">
        <f>IF(AB148&gt;0,(O148-AB148),"")</f>
        <v/>
      </c>
      <c r="BY148" s="106">
        <f>IF(AF148&gt;0,(O148-AF148),"")</f>
        <v/>
      </c>
      <c r="BZ148" s="106">
        <f>IF(AJ148&gt;0,(O148-AJ148),"")</f>
        <v/>
      </c>
      <c r="CA148" s="106">
        <f>IF(AN148&gt;0,(O148-AN148),"")</f>
        <v/>
      </c>
      <c r="CB148" s="106">
        <f>COUNT(BV148:CA148)</f>
        <v/>
      </c>
      <c r="CC148" s="464">
        <f>IF(CB148=0,0,IF(CB148=1,0,1/(CB148*(CB148-1))))</f>
        <v/>
      </c>
      <c r="CD148" s="136">
        <f>IF(R148&gt;0,(BV148^2),"")</f>
        <v/>
      </c>
      <c r="CE148" s="136">
        <f>IF(X148&gt;0,(BW148^2),"")</f>
        <v/>
      </c>
      <c r="CF148" s="136">
        <f>IF(AB148&gt;0,(BX148^2),"")</f>
        <v/>
      </c>
      <c r="CG148" s="136">
        <f>IF(AF148&gt;0,(BY148^2),"")</f>
        <v/>
      </c>
      <c r="CH148" s="136">
        <f>IF(AJ148&gt;0,(BZ148^2),"")</f>
        <v/>
      </c>
      <c r="CI148" s="136">
        <f>IF(AN148&gt;0,(CA148^2),"")</f>
        <v/>
      </c>
    </row>
    <row r="149" ht="18.75" customHeight="1" s="444">
      <c r="A149" s="340" t="inlineStr">
        <is>
          <t>/</t>
        </is>
      </c>
      <c r="B149" s="65">
        <f>B148+1</f>
        <v/>
      </c>
      <c r="C149" s="78" t="n"/>
      <c r="D149" s="83" t="n"/>
      <c r="E149" s="83" t="n"/>
      <c r="F149" s="329" t="n"/>
      <c r="G149" s="71" t="n">
        <v>40725</v>
      </c>
      <c r="H149" s="77" t="inlineStr">
        <is>
          <t>Compito</t>
        </is>
      </c>
      <c r="I149" s="77">
        <f>IF((V149-R149)&gt;3,"SI","")</f>
        <v/>
      </c>
      <c r="J149" s="77">
        <f>IF((U149-R149)&gt;3,"SI","")</f>
        <v/>
      </c>
      <c r="K149" s="77" t="n"/>
      <c r="L149" s="77" t="n"/>
      <c r="M149" s="137">
        <f>IF(R149&gt;0,(SQRT(CC149*(SUM(CD149:CI149)))),"")</f>
        <v/>
      </c>
      <c r="N149" s="4">
        <f>IF(T149&gt;0,(MAX(T149,Z149,AD149,AH149,AL149,AP149))+SQRT(1.2^2+1^2),"")</f>
        <v/>
      </c>
      <c r="O149" s="3">
        <f>IF(R149="",0,10*LOG10(SUM(BP149:BU149)/(COUNT(R149,X149,AB149,AF149,AJ149,AN149))))</f>
        <v/>
      </c>
      <c r="P149" s="5">
        <f>IF(AND(Y149="",AC149="",AG149="",AK149="",AO149=""),S149,AVERAGE(S149,Y149,AC149,AG149,AK149,AO149)+STDEV(S149,Y149,AC149,AG149,AK149,AO149))</f>
        <v/>
      </c>
      <c r="Q149" s="14" t="n"/>
      <c r="R149" s="11" t="n"/>
      <c r="S149" s="12" t="n"/>
      <c r="T149" s="13" t="n"/>
      <c r="U149" s="79" t="n"/>
      <c r="V149" s="79" t="n"/>
      <c r="W149" s="10" t="n"/>
      <c r="X149" s="11" t="n"/>
      <c r="Y149" s="12" t="n"/>
      <c r="Z149" s="13" t="n"/>
      <c r="AA149" s="10" t="n"/>
      <c r="AB149" s="11" t="n"/>
      <c r="AC149" s="12" t="n"/>
      <c r="AD149" s="13" t="n"/>
      <c r="AE149" s="14" t="n"/>
      <c r="AF149" s="11" t="n"/>
      <c r="AG149" s="12" t="n"/>
      <c r="AH149" s="13" t="n"/>
      <c r="AI149" s="10" t="n"/>
      <c r="AJ149" s="11" t="n"/>
      <c r="AK149" s="12" t="n"/>
      <c r="AL149" s="13" t="n"/>
      <c r="AM149" s="10" t="n"/>
      <c r="AN149" s="11" t="n"/>
      <c r="AO149" s="12" t="n"/>
      <c r="AP149" s="13" t="n"/>
      <c r="AQ149" s="6">
        <f>IF(AND((O149)&lt;85,N149&lt;137),"NO","SI")</f>
        <v/>
      </c>
      <c r="AR149" s="7">
        <f>IF((480*(10^(7.95-(O149/10))))&lt;480,480*(10^(7.95-(O149/10))),480)</f>
        <v/>
      </c>
      <c r="AS149" s="8">
        <f>IF((480*(10^(8.45-(O149/10))))&lt;480,480*(10^(8.45-(O149/10))),480)</f>
        <v/>
      </c>
      <c r="AT149" s="9">
        <f>IF((480*(10^(8.65-(O149/10))))&lt;480,480*(10^(8.65-(O149/10))),480)</f>
        <v/>
      </c>
      <c r="AU149" s="111">
        <f>IF(O149&lt;80,"0",IF((P149-O149)&lt;=2,('DPI art.191'!$G$3-(('DPI art.191'!$F$3-'DPI art.191'!$G$3)/4)*(P149-O149-2)),('DPI art.191'!$G$3-(('DPI art.191'!$G$3-'DPI art.191'!$H$3)/8)*(P149-O149-2))))</f>
        <v/>
      </c>
      <c r="AV149" s="24">
        <f>O149-AU149</f>
        <v/>
      </c>
      <c r="AW149" s="24">
        <f>IF(N149&lt;135,N149,N149-'DPI art.191'!$I$3)</f>
        <v/>
      </c>
      <c r="AX149" s="111">
        <f>IF(I149&lt;80,"0",IF((J149-I149)&lt;=2,('DPI art.191'!$G$7-(('DPI art.191'!$F$7-'DPI art.191'!$G$7)/4)*(I149-J149-2)),('DPI art.191'!$G$7-(('DPI art.191'!$G$7-'DPI art.191'!$H$7)/8)*(J149-I149-2))))</f>
        <v/>
      </c>
      <c r="AY149" s="24">
        <f>I149-AX149</f>
        <v/>
      </c>
      <c r="AZ149" s="24">
        <f>IF(H149&lt;135,H149,H149-'DPI art.191'!$I$7)</f>
        <v/>
      </c>
      <c r="BA149" s="111">
        <f>IF(O149&lt;80,"0",IF((P149-O149)&lt;=2,('DPI art.191'!$G$5-(('DPI art.191'!$F$5-'DPI art.191'!$G$5)/4)*(P149-O149-2)),('DPI art.191'!$G$5-(('DPI art.191'!$G$5-'DPI art.191'!$H$5)/8)*(P149-O149-2))))</f>
        <v/>
      </c>
      <c r="BB149" s="24">
        <f>R149-BA149</f>
        <v/>
      </c>
      <c r="BC149" s="24">
        <f>IF(N149&lt;135,N149,N149-'DPI art.191'!$I$5)</f>
        <v/>
      </c>
      <c r="BD149" s="111">
        <f>IF(O149&lt;80,"0",IF((P149-O149)&lt;=2,('DPI art.191'!$G$7-(('DPI art.191'!$F$7-'DPI art.191'!$G$7)/4)*(O149-P149-2)),('DPI art.191'!$G$7-(('DPI art.191'!$G$7-'DPI art.191'!$H$7)/8)*(P149-O149-2))))</f>
        <v/>
      </c>
      <c r="BE149" s="24">
        <f>O149-BD149</f>
        <v/>
      </c>
      <c r="BF149" s="24">
        <f>IF(N149&lt;135,N149,N149-'DPI art.191'!$I$7)</f>
        <v/>
      </c>
      <c r="BG149" s="111">
        <f>IF(AA149&lt;80,"0",IF((AB149-AA149)&lt;=2,('DPI art.191'!$G$3-(('DPI art.191'!$F$3-'DPI art.191'!$G$3)/4)*(AB149-AA149-2)),('DPI art.191'!$G$3-(('DPI art.191'!$G$3-'DPI art.191'!$H$3)/8)*(AB149-AA149-2))))</f>
        <v/>
      </c>
      <c r="BH149" s="24">
        <f>AA149-BG149</f>
        <v/>
      </c>
      <c r="BI149" s="24">
        <f>IF(Z149&lt;135,Z149,Z149-'DPI art.191'!$I$3)</f>
        <v/>
      </c>
      <c r="BJ149" s="111">
        <f>IF(U149&lt;80,"0",IF((V149-U149)&lt;=2,('DPI art.191'!$G$7-(('DPI art.191'!$F$7-'DPI art.191'!$G$7)/4)*(U149-V149-2)),('DPI art.191'!$G$7-(('DPI art.191'!$G$7-'DPI art.191'!$H$7)/8)*(V149-U149-2))))</f>
        <v/>
      </c>
      <c r="BK149" s="24">
        <f>U149-BJ149</f>
        <v/>
      </c>
      <c r="BL149" s="24">
        <f>IF(T149&lt;135,T149,T149-'DPI art.191'!$I$7)</f>
        <v/>
      </c>
      <c r="BM149" s="111">
        <f>IF(AA149&lt;80,"0",IF((AB149-AA149)&lt;=2,('DPI art.191'!$G$5-(('DPI art.191'!$F$5-'DPI art.191'!$G$5)/4)*(AB149-AA149-2)),('DPI art.191'!$G$5-(('DPI art.191'!$G$5-'DPI art.191'!$H$5)/8)*(AB149-AA149-2))))</f>
        <v/>
      </c>
      <c r="BN149" s="24">
        <f>AD149-BM149</f>
        <v/>
      </c>
      <c r="BO149" s="24">
        <f>IF(Z149&lt;135,Z149,Z149-'DPI art.191'!$I$5)</f>
        <v/>
      </c>
      <c r="BP149" s="108">
        <f>10^(0.1*R149)</f>
        <v/>
      </c>
      <c r="BQ149" s="108">
        <f>10^(0.1*X149)</f>
        <v/>
      </c>
      <c r="BR149" s="108">
        <f>10^(0.1*AB149)</f>
        <v/>
      </c>
      <c r="BS149" s="108">
        <f>10^(0.1*AF149)</f>
        <v/>
      </c>
      <c r="BT149" s="108">
        <f>10^(0.1*AJ149)</f>
        <v/>
      </c>
      <c r="BU149" s="108">
        <f>10^(0.1*AN149)</f>
        <v/>
      </c>
      <c r="BV149" s="106">
        <f>IF(R149&gt;0,(O149-R149),"")</f>
        <v/>
      </c>
      <c r="BW149" s="106">
        <f>IF(X149&gt;0,(O149-X149),"")</f>
        <v/>
      </c>
      <c r="BX149" s="106">
        <f>IF(AB149&gt;0,(O149-AB149),"")</f>
        <v/>
      </c>
      <c r="BY149" s="106">
        <f>IF(AF149&gt;0,(O149-AF149),"")</f>
        <v/>
      </c>
      <c r="BZ149" s="106">
        <f>IF(AJ149&gt;0,(O149-AJ149),"")</f>
        <v/>
      </c>
      <c r="CA149" s="106">
        <f>IF(AN149&gt;0,(O149-AN149),"")</f>
        <v/>
      </c>
      <c r="CB149" s="106">
        <f>COUNT(BV149:CA149)</f>
        <v/>
      </c>
      <c r="CC149" s="464">
        <f>IF(CB149=0,0,IF(CB149=1,0,1/(CB149*(CB149-1))))</f>
        <v/>
      </c>
      <c r="CD149" s="136">
        <f>IF(R149&gt;0,(BV149^2),"")</f>
        <v/>
      </c>
      <c r="CE149" s="136">
        <f>IF(X149&gt;0,(BW149^2),"")</f>
        <v/>
      </c>
      <c r="CF149" s="136">
        <f>IF(AB149&gt;0,(BX149^2),"")</f>
        <v/>
      </c>
      <c r="CG149" s="136">
        <f>IF(AF149&gt;0,(BY149^2),"")</f>
        <v/>
      </c>
      <c r="CH149" s="136">
        <f>IF(AJ149&gt;0,(BZ149^2),"")</f>
        <v/>
      </c>
      <c r="CI149" s="136">
        <f>IF(AN149&gt;0,(CA149^2),"")</f>
        <v/>
      </c>
    </row>
    <row r="150" ht="18.75" customHeight="1" s="444">
      <c r="A150" s="340" t="inlineStr">
        <is>
          <t>/</t>
        </is>
      </c>
      <c r="B150" s="65">
        <f>B149+1</f>
        <v/>
      </c>
      <c r="C150" s="78" t="n"/>
      <c r="D150" s="83" t="n"/>
      <c r="E150" s="83" t="n"/>
      <c r="F150" s="329" t="n"/>
      <c r="G150" s="71" t="n">
        <v>40725</v>
      </c>
      <c r="H150" s="77" t="inlineStr">
        <is>
          <t>Compito</t>
        </is>
      </c>
      <c r="I150" s="77">
        <f>IF((V150-R150)&gt;3,"SI","")</f>
        <v/>
      </c>
      <c r="J150" s="77">
        <f>IF((U150-R150)&gt;3,"SI","")</f>
        <v/>
      </c>
      <c r="K150" s="77" t="n"/>
      <c r="L150" s="77" t="n"/>
      <c r="M150" s="137">
        <f>IF(R150&gt;0,(SQRT(CC150*(SUM(CD150:CI150)))),"")</f>
        <v/>
      </c>
      <c r="N150" s="4">
        <f>IF(T150&gt;0,(MAX(T150,Z150,AD150,AH150,AL150,AP150))+SQRT(1.2^2+1^2),"")</f>
        <v/>
      </c>
      <c r="O150" s="3">
        <f>IF(R150="",0,10*LOG10(SUM(BP150:BU150)/(COUNT(R150,X150,AB150,AF150,AJ150,AN150))))</f>
        <v/>
      </c>
      <c r="P150" s="5">
        <f>IF(AND(Y150="",AC150="",AG150="",AK150="",AO150=""),S150,AVERAGE(S150,Y150,AC150,AG150,AK150,AO150)+STDEV(S150,Y150,AC150,AG150,AK150,AO150))</f>
        <v/>
      </c>
      <c r="Q150" s="14" t="n"/>
      <c r="R150" s="11" t="n"/>
      <c r="S150" s="12" t="n"/>
      <c r="T150" s="13" t="n"/>
      <c r="U150" s="79" t="n"/>
      <c r="V150" s="79" t="n"/>
      <c r="W150" s="10" t="n"/>
      <c r="X150" s="11" t="n"/>
      <c r="Y150" s="12" t="n"/>
      <c r="Z150" s="13" t="n"/>
      <c r="AA150" s="10" t="n"/>
      <c r="AB150" s="11" t="n"/>
      <c r="AC150" s="12" t="n"/>
      <c r="AD150" s="13" t="n"/>
      <c r="AE150" s="14" t="n"/>
      <c r="AF150" s="11" t="n"/>
      <c r="AG150" s="12" t="n"/>
      <c r="AH150" s="13" t="n"/>
      <c r="AI150" s="10" t="n"/>
      <c r="AJ150" s="11" t="n"/>
      <c r="AK150" s="12" t="n"/>
      <c r="AL150" s="13" t="n"/>
      <c r="AM150" s="10" t="n"/>
      <c r="AN150" s="11" t="n"/>
      <c r="AO150" s="12" t="n"/>
      <c r="AP150" s="13" t="n"/>
      <c r="AQ150" s="6">
        <f>IF(AND((O150)&lt;85,N150&lt;137),"NO","SI")</f>
        <v/>
      </c>
      <c r="AR150" s="7">
        <f>IF((480*(10^(7.95-(O150/10))))&lt;480,480*(10^(7.95-(O150/10))),480)</f>
        <v/>
      </c>
      <c r="AS150" s="8">
        <f>IF((480*(10^(8.45-(O150/10))))&lt;480,480*(10^(8.45-(O150/10))),480)</f>
        <v/>
      </c>
      <c r="AT150" s="9">
        <f>IF((480*(10^(8.65-(O150/10))))&lt;480,480*(10^(8.65-(O150/10))),480)</f>
        <v/>
      </c>
      <c r="AU150" s="111">
        <f>IF(O150&lt;80,"0",IF((P150-O150)&lt;=2,('DPI art.191'!$G$3-(('DPI art.191'!$F$3-'DPI art.191'!$G$3)/4)*(P150-O150-2)),('DPI art.191'!$G$3-(('DPI art.191'!$G$3-'DPI art.191'!$H$3)/8)*(P150-O150-2))))</f>
        <v/>
      </c>
      <c r="AV150" s="24">
        <f>O150-AU150</f>
        <v/>
      </c>
      <c r="AW150" s="24">
        <f>IF(N150&lt;135,N150,N150-'DPI art.191'!$I$3)</f>
        <v/>
      </c>
      <c r="AX150" s="111">
        <f>IF(I150&lt;80,"0",IF((J150-I150)&lt;=2,('DPI art.191'!$G$7-(('DPI art.191'!$F$7-'DPI art.191'!$G$7)/4)*(I150-J150-2)),('DPI art.191'!$G$7-(('DPI art.191'!$G$7-'DPI art.191'!$H$7)/8)*(J150-I150-2))))</f>
        <v/>
      </c>
      <c r="AY150" s="24">
        <f>I150-AX150</f>
        <v/>
      </c>
      <c r="AZ150" s="24">
        <f>IF(H150&lt;135,H150,H150-'DPI art.191'!$I$7)</f>
        <v/>
      </c>
      <c r="BA150" s="111">
        <f>IF(O150&lt;80,"0",IF((P150-O150)&lt;=2,('DPI art.191'!$G$5-(('DPI art.191'!$F$5-'DPI art.191'!$G$5)/4)*(P150-O150-2)),('DPI art.191'!$G$5-(('DPI art.191'!$G$5-'DPI art.191'!$H$5)/8)*(P150-O150-2))))</f>
        <v/>
      </c>
      <c r="BB150" s="24">
        <f>R150-BA150</f>
        <v/>
      </c>
      <c r="BC150" s="24">
        <f>IF(N150&lt;135,N150,N150-'DPI art.191'!$I$5)</f>
        <v/>
      </c>
      <c r="BD150" s="111">
        <f>IF(O150&lt;80,"0",IF((P150-O150)&lt;=2,('DPI art.191'!$G$7-(('DPI art.191'!$F$7-'DPI art.191'!$G$7)/4)*(O150-P150-2)),('DPI art.191'!$G$7-(('DPI art.191'!$G$7-'DPI art.191'!$H$7)/8)*(P150-O150-2))))</f>
        <v/>
      </c>
      <c r="BE150" s="24">
        <f>O150-BD150</f>
        <v/>
      </c>
      <c r="BF150" s="24">
        <f>IF(N150&lt;135,N150,N150-'DPI art.191'!$I$7)</f>
        <v/>
      </c>
      <c r="BG150" s="111">
        <f>IF(AA150&lt;80,"0",IF((AB150-AA150)&lt;=2,('DPI art.191'!$G$3-(('DPI art.191'!$F$3-'DPI art.191'!$G$3)/4)*(AB150-AA150-2)),('DPI art.191'!$G$3-(('DPI art.191'!$G$3-'DPI art.191'!$H$3)/8)*(AB150-AA150-2))))</f>
        <v/>
      </c>
      <c r="BH150" s="24">
        <f>AA150-BG150</f>
        <v/>
      </c>
      <c r="BI150" s="24">
        <f>IF(Z150&lt;135,Z150,Z150-'DPI art.191'!$I$3)</f>
        <v/>
      </c>
      <c r="BJ150" s="111">
        <f>IF(U150&lt;80,"0",IF((V150-U150)&lt;=2,('DPI art.191'!$G$7-(('DPI art.191'!$F$7-'DPI art.191'!$G$7)/4)*(U150-V150-2)),('DPI art.191'!$G$7-(('DPI art.191'!$G$7-'DPI art.191'!$H$7)/8)*(V150-U150-2))))</f>
        <v/>
      </c>
      <c r="BK150" s="24">
        <f>U150-BJ150</f>
        <v/>
      </c>
      <c r="BL150" s="24">
        <f>IF(T150&lt;135,T150,T150-'DPI art.191'!$I$7)</f>
        <v/>
      </c>
      <c r="BM150" s="111">
        <f>IF(AA150&lt;80,"0",IF((AB150-AA150)&lt;=2,('DPI art.191'!$G$5-(('DPI art.191'!$F$5-'DPI art.191'!$G$5)/4)*(AB150-AA150-2)),('DPI art.191'!$G$5-(('DPI art.191'!$G$5-'DPI art.191'!$H$5)/8)*(AB150-AA150-2))))</f>
        <v/>
      </c>
      <c r="BN150" s="24">
        <f>AD150-BM150</f>
        <v/>
      </c>
      <c r="BO150" s="24">
        <f>IF(Z150&lt;135,Z150,Z150-'DPI art.191'!$I$5)</f>
        <v/>
      </c>
      <c r="BP150" s="108">
        <f>10^(0.1*R150)</f>
        <v/>
      </c>
      <c r="BQ150" s="108">
        <f>10^(0.1*X150)</f>
        <v/>
      </c>
      <c r="BR150" s="108">
        <f>10^(0.1*AB150)</f>
        <v/>
      </c>
      <c r="BS150" s="108">
        <f>10^(0.1*AF150)</f>
        <v/>
      </c>
      <c r="BT150" s="108">
        <f>10^(0.1*AJ150)</f>
        <v/>
      </c>
      <c r="BU150" s="108">
        <f>10^(0.1*AN150)</f>
        <v/>
      </c>
      <c r="BV150" s="106">
        <f>IF(R150&gt;0,(O150-R150),"")</f>
        <v/>
      </c>
      <c r="BW150" s="106">
        <f>IF(X150&gt;0,(O150-X150),"")</f>
        <v/>
      </c>
      <c r="BX150" s="106">
        <f>IF(AB150&gt;0,(O150-AB150),"")</f>
        <v/>
      </c>
      <c r="BY150" s="106">
        <f>IF(AF150&gt;0,(O150-AF150),"")</f>
        <v/>
      </c>
      <c r="BZ150" s="106">
        <f>IF(AJ150&gt;0,(O150-AJ150),"")</f>
        <v/>
      </c>
      <c r="CA150" s="106">
        <f>IF(AN150&gt;0,(O150-AN150),"")</f>
        <v/>
      </c>
      <c r="CB150" s="106">
        <f>COUNT(BV150:CA150)</f>
        <v/>
      </c>
      <c r="CC150" s="464">
        <f>IF(CB150=0,0,IF(CB150=1,0,1/(CB150*(CB150-1))))</f>
        <v/>
      </c>
      <c r="CD150" s="136">
        <f>IF(R150&gt;0,(BV150^2),"")</f>
        <v/>
      </c>
      <c r="CE150" s="136">
        <f>IF(X150&gt;0,(BW150^2),"")</f>
        <v/>
      </c>
      <c r="CF150" s="136">
        <f>IF(AB150&gt;0,(BX150^2),"")</f>
        <v/>
      </c>
      <c r="CG150" s="136">
        <f>IF(AF150&gt;0,(BY150^2),"")</f>
        <v/>
      </c>
      <c r="CH150" s="136">
        <f>IF(AJ150&gt;0,(BZ150^2),"")</f>
        <v/>
      </c>
      <c r="CI150" s="136">
        <f>IF(AN150&gt;0,(CA150^2),"")</f>
        <v/>
      </c>
    </row>
    <row r="151" ht="18.75" customHeight="1" s="444">
      <c r="A151" s="340" t="inlineStr">
        <is>
          <t>/</t>
        </is>
      </c>
      <c r="B151" s="65">
        <f>B150+1</f>
        <v/>
      </c>
      <c r="C151" s="78" t="n"/>
      <c r="D151" s="83" t="n"/>
      <c r="E151" s="83" t="n"/>
      <c r="F151" s="329" t="n"/>
      <c r="G151" s="71" t="n">
        <v>40725</v>
      </c>
      <c r="H151" s="77" t="inlineStr">
        <is>
          <t>Compito</t>
        </is>
      </c>
      <c r="I151" s="77">
        <f>IF((V151-R151)&gt;3,"SI","")</f>
        <v/>
      </c>
      <c r="J151" s="77">
        <f>IF((U151-R151)&gt;3,"SI","")</f>
        <v/>
      </c>
      <c r="K151" s="77" t="n"/>
      <c r="L151" s="77" t="n"/>
      <c r="M151" s="137">
        <f>IF(R151&gt;0,(SQRT(CC151*(SUM(CD151:CI151)))),"")</f>
        <v/>
      </c>
      <c r="N151" s="4">
        <f>IF(T151&gt;0,(MAX(T151,Z151,AD151,AH151,AL151,AP151))+SQRT(1.2^2+1^2),"")</f>
        <v/>
      </c>
      <c r="O151" s="3">
        <f>IF(R151="",0,10*LOG10(SUM(BP151:BU151)/(COUNT(R151,X151,AB151,AF151,AJ151,AN151))))</f>
        <v/>
      </c>
      <c r="P151" s="5">
        <f>IF(AND(Y151="",AC151="",AG151="",AK151="",AO151=""),S151,AVERAGE(S151,Y151,AC151,AG151,AK151,AO151)+STDEV(S151,Y151,AC151,AG151,AK151,AO151))</f>
        <v/>
      </c>
      <c r="Q151" s="14" t="n"/>
      <c r="R151" s="11" t="n"/>
      <c r="S151" s="12" t="n"/>
      <c r="T151" s="13" t="n"/>
      <c r="U151" s="79" t="n"/>
      <c r="V151" s="79" t="n"/>
      <c r="W151" s="10" t="n"/>
      <c r="X151" s="11" t="n"/>
      <c r="Y151" s="12" t="n"/>
      <c r="Z151" s="13" t="n"/>
      <c r="AA151" s="10" t="n"/>
      <c r="AB151" s="11" t="n"/>
      <c r="AC151" s="12" t="n"/>
      <c r="AD151" s="13" t="n"/>
      <c r="AE151" s="14" t="n"/>
      <c r="AF151" s="11" t="n"/>
      <c r="AG151" s="12" t="n"/>
      <c r="AH151" s="13" t="n"/>
      <c r="AI151" s="10" t="n"/>
      <c r="AJ151" s="11" t="n"/>
      <c r="AK151" s="12" t="n"/>
      <c r="AL151" s="13" t="n"/>
      <c r="AM151" s="10" t="n"/>
      <c r="AN151" s="11" t="n"/>
      <c r="AO151" s="12" t="n"/>
      <c r="AP151" s="13" t="n"/>
      <c r="AQ151" s="6">
        <f>IF(AND((O151)&lt;85,N151&lt;137),"NO","SI")</f>
        <v/>
      </c>
      <c r="AR151" s="7">
        <f>IF((480*(10^(7.95-(O151/10))))&lt;480,480*(10^(7.95-(O151/10))),480)</f>
        <v/>
      </c>
      <c r="AS151" s="8">
        <f>IF((480*(10^(8.45-(O151/10))))&lt;480,480*(10^(8.45-(O151/10))),480)</f>
        <v/>
      </c>
      <c r="AT151" s="9">
        <f>IF((480*(10^(8.65-(O151/10))))&lt;480,480*(10^(8.65-(O151/10))),480)</f>
        <v/>
      </c>
      <c r="AU151" s="111">
        <f>IF(O151&lt;80,"0",IF((P151-O151)&lt;=2,('DPI art.191'!$G$3-(('DPI art.191'!$F$3-'DPI art.191'!$G$3)/4)*(P151-O151-2)),('DPI art.191'!$G$3-(('DPI art.191'!$G$3-'DPI art.191'!$H$3)/8)*(P151-O151-2))))</f>
        <v/>
      </c>
      <c r="AV151" s="24">
        <f>O151-AU151</f>
        <v/>
      </c>
      <c r="AW151" s="24">
        <f>IF(N151&lt;135,N151,N151-'DPI art.191'!$I$3)</f>
        <v/>
      </c>
      <c r="AX151" s="111">
        <f>IF(I151&lt;80,"0",IF((J151-I151)&lt;=2,('DPI art.191'!$G$7-(('DPI art.191'!$F$7-'DPI art.191'!$G$7)/4)*(I151-J151-2)),('DPI art.191'!$G$7-(('DPI art.191'!$G$7-'DPI art.191'!$H$7)/8)*(J151-I151-2))))</f>
        <v/>
      </c>
      <c r="AY151" s="24">
        <f>I151-AX151</f>
        <v/>
      </c>
      <c r="AZ151" s="24">
        <f>IF(H151&lt;135,H151,H151-'DPI art.191'!$I$7)</f>
        <v/>
      </c>
      <c r="BA151" s="111">
        <f>IF(O151&lt;80,"0",IF((P151-O151)&lt;=2,('DPI art.191'!$G$5-(('DPI art.191'!$F$5-'DPI art.191'!$G$5)/4)*(P151-O151-2)),('DPI art.191'!$G$5-(('DPI art.191'!$G$5-'DPI art.191'!$H$5)/8)*(P151-O151-2))))</f>
        <v/>
      </c>
      <c r="BB151" s="24">
        <f>R151-BA151</f>
        <v/>
      </c>
      <c r="BC151" s="24">
        <f>IF(N151&lt;135,N151,N151-'DPI art.191'!$I$5)</f>
        <v/>
      </c>
      <c r="BD151" s="111">
        <f>IF(O151&lt;80,"0",IF((P151-O151)&lt;=2,('DPI art.191'!$G$7-(('DPI art.191'!$F$7-'DPI art.191'!$G$7)/4)*(O151-P151-2)),('DPI art.191'!$G$7-(('DPI art.191'!$G$7-'DPI art.191'!$H$7)/8)*(P151-O151-2))))</f>
        <v/>
      </c>
      <c r="BE151" s="24">
        <f>O151-BD151</f>
        <v/>
      </c>
      <c r="BF151" s="24">
        <f>IF(N151&lt;135,N151,N151-'DPI art.191'!$I$7)</f>
        <v/>
      </c>
      <c r="BG151" s="111">
        <f>IF(AA151&lt;80,"0",IF((AB151-AA151)&lt;=2,('DPI art.191'!$G$3-(('DPI art.191'!$F$3-'DPI art.191'!$G$3)/4)*(AB151-AA151-2)),('DPI art.191'!$G$3-(('DPI art.191'!$G$3-'DPI art.191'!$H$3)/8)*(AB151-AA151-2))))</f>
        <v/>
      </c>
      <c r="BH151" s="24">
        <f>AA151-BG151</f>
        <v/>
      </c>
      <c r="BI151" s="24">
        <f>IF(Z151&lt;135,Z151,Z151-'DPI art.191'!$I$3)</f>
        <v/>
      </c>
      <c r="BJ151" s="111">
        <f>IF(U151&lt;80,"0",IF((V151-U151)&lt;=2,('DPI art.191'!$G$7-(('DPI art.191'!$F$7-'DPI art.191'!$G$7)/4)*(U151-V151-2)),('DPI art.191'!$G$7-(('DPI art.191'!$G$7-'DPI art.191'!$H$7)/8)*(V151-U151-2))))</f>
        <v/>
      </c>
      <c r="BK151" s="24">
        <f>U151-BJ151</f>
        <v/>
      </c>
      <c r="BL151" s="24">
        <f>IF(T151&lt;135,T151,T151-'DPI art.191'!$I$7)</f>
        <v/>
      </c>
      <c r="BM151" s="111">
        <f>IF(AA151&lt;80,"0",IF((AB151-AA151)&lt;=2,('DPI art.191'!$G$5-(('DPI art.191'!$F$5-'DPI art.191'!$G$5)/4)*(AB151-AA151-2)),('DPI art.191'!$G$5-(('DPI art.191'!$G$5-'DPI art.191'!$H$5)/8)*(AB151-AA151-2))))</f>
        <v/>
      </c>
      <c r="BN151" s="24">
        <f>AD151-BM151</f>
        <v/>
      </c>
      <c r="BO151" s="24">
        <f>IF(Z151&lt;135,Z151,Z151-'DPI art.191'!$I$5)</f>
        <v/>
      </c>
      <c r="BP151" s="108">
        <f>10^(0.1*R151)</f>
        <v/>
      </c>
      <c r="BQ151" s="108">
        <f>10^(0.1*X151)</f>
        <v/>
      </c>
      <c r="BR151" s="108">
        <f>10^(0.1*AB151)</f>
        <v/>
      </c>
      <c r="BS151" s="108">
        <f>10^(0.1*AF151)</f>
        <v/>
      </c>
      <c r="BT151" s="108">
        <f>10^(0.1*AJ151)</f>
        <v/>
      </c>
      <c r="BU151" s="108">
        <f>10^(0.1*AN151)</f>
        <v/>
      </c>
      <c r="BV151" s="106">
        <f>IF(R151&gt;0,(O151-R151),"")</f>
        <v/>
      </c>
      <c r="BW151" s="106">
        <f>IF(X151&gt;0,(O151-X151),"")</f>
        <v/>
      </c>
      <c r="BX151" s="106">
        <f>IF(AB151&gt;0,(O151-AB151),"")</f>
        <v/>
      </c>
      <c r="BY151" s="106">
        <f>IF(AF151&gt;0,(O151-AF151),"")</f>
        <v/>
      </c>
      <c r="BZ151" s="106">
        <f>IF(AJ151&gt;0,(O151-AJ151),"")</f>
        <v/>
      </c>
      <c r="CA151" s="106">
        <f>IF(AN151&gt;0,(O151-AN151),"")</f>
        <v/>
      </c>
      <c r="CB151" s="106">
        <f>COUNT(BV151:CA151)</f>
        <v/>
      </c>
      <c r="CC151" s="464">
        <f>IF(CB151=0,0,IF(CB151=1,0,1/(CB151*(CB151-1))))</f>
        <v/>
      </c>
      <c r="CD151" s="136">
        <f>IF(R151&gt;0,(BV151^2),"")</f>
        <v/>
      </c>
      <c r="CE151" s="136">
        <f>IF(X151&gt;0,(BW151^2),"")</f>
        <v/>
      </c>
      <c r="CF151" s="136">
        <f>IF(AB151&gt;0,(BX151^2),"")</f>
        <v/>
      </c>
      <c r="CG151" s="136">
        <f>IF(AF151&gt;0,(BY151^2),"")</f>
        <v/>
      </c>
      <c r="CH151" s="136">
        <f>IF(AJ151&gt;0,(BZ151^2),"")</f>
        <v/>
      </c>
      <c r="CI151" s="136">
        <f>IF(AN151&gt;0,(CA151^2),"")</f>
        <v/>
      </c>
    </row>
    <row r="152" ht="18.75" customHeight="1" s="444">
      <c r="A152" s="340" t="inlineStr">
        <is>
          <t>/</t>
        </is>
      </c>
      <c r="B152" s="65">
        <f>B151+1</f>
        <v/>
      </c>
      <c r="C152" s="78" t="n"/>
      <c r="D152" s="83" t="n"/>
      <c r="E152" s="83" t="n"/>
      <c r="F152" s="329" t="n"/>
      <c r="G152" s="71" t="n">
        <v>40725</v>
      </c>
      <c r="H152" s="77" t="inlineStr">
        <is>
          <t>Compito</t>
        </is>
      </c>
      <c r="I152" s="77">
        <f>IF((V152-R152)&gt;3,"SI","")</f>
        <v/>
      </c>
      <c r="J152" s="77">
        <f>IF((U152-R152)&gt;3,"SI","")</f>
        <v/>
      </c>
      <c r="K152" s="77" t="n"/>
      <c r="L152" s="77" t="n"/>
      <c r="M152" s="137">
        <f>IF(R152&gt;0,(SQRT(CC152*(SUM(CD152:CI152)))),"")</f>
        <v/>
      </c>
      <c r="N152" s="4">
        <f>IF(T152&gt;0,(MAX(T152,Z152,AD152,AH152,AL152,AP152))+SQRT(1.2^2+1^2),"")</f>
        <v/>
      </c>
      <c r="O152" s="3">
        <f>IF(R152="",0,10*LOG10(SUM(BP152:BU152)/(COUNT(R152,X152,AB152,AF152,AJ152,AN152))))</f>
        <v/>
      </c>
      <c r="P152" s="5">
        <f>IF(AND(Y152="",AC152="",AG152="",AK152="",AO152=""),S152,AVERAGE(S152,Y152,AC152,AG152,AK152,AO152)+STDEV(S152,Y152,AC152,AG152,AK152,AO152))</f>
        <v/>
      </c>
      <c r="Q152" s="14" t="n"/>
      <c r="R152" s="11" t="n"/>
      <c r="S152" s="12" t="n"/>
      <c r="T152" s="13" t="n"/>
      <c r="U152" s="79" t="n"/>
      <c r="V152" s="79" t="n"/>
      <c r="W152" s="10" t="n"/>
      <c r="X152" s="11" t="n"/>
      <c r="Y152" s="12" t="n"/>
      <c r="Z152" s="13" t="n"/>
      <c r="AA152" s="10" t="n"/>
      <c r="AB152" s="11" t="n"/>
      <c r="AC152" s="12" t="n"/>
      <c r="AD152" s="13" t="n"/>
      <c r="AE152" s="14" t="n"/>
      <c r="AF152" s="11" t="n"/>
      <c r="AG152" s="12" t="n"/>
      <c r="AH152" s="13" t="n"/>
      <c r="AI152" s="10" t="n"/>
      <c r="AJ152" s="11" t="n"/>
      <c r="AK152" s="12" t="n"/>
      <c r="AL152" s="13" t="n"/>
      <c r="AM152" s="10" t="n"/>
      <c r="AN152" s="11" t="n"/>
      <c r="AO152" s="12" t="n"/>
      <c r="AP152" s="13" t="n"/>
      <c r="AQ152" s="6">
        <f>IF(AND((O152)&lt;85,N152&lt;137),"NO","SI")</f>
        <v/>
      </c>
      <c r="AR152" s="7">
        <f>IF((480*(10^(7.95-(O152/10))))&lt;480,480*(10^(7.95-(O152/10))),480)</f>
        <v/>
      </c>
      <c r="AS152" s="8">
        <f>IF((480*(10^(8.45-(O152/10))))&lt;480,480*(10^(8.45-(O152/10))),480)</f>
        <v/>
      </c>
      <c r="AT152" s="9">
        <f>IF((480*(10^(8.65-(O152/10))))&lt;480,480*(10^(8.65-(O152/10))),480)</f>
        <v/>
      </c>
      <c r="AU152" s="111">
        <f>IF(O152&lt;80,"0",IF((P152-O152)&lt;=2,('DPI art.191'!$G$3-(('DPI art.191'!$F$3-'DPI art.191'!$G$3)/4)*(P152-O152-2)),('DPI art.191'!$G$3-(('DPI art.191'!$G$3-'DPI art.191'!$H$3)/8)*(P152-O152-2))))</f>
        <v/>
      </c>
      <c r="AV152" s="24">
        <f>O152-AU152</f>
        <v/>
      </c>
      <c r="AW152" s="24">
        <f>IF(N152&lt;135,N152,N152-'DPI art.191'!$I$3)</f>
        <v/>
      </c>
      <c r="AX152" s="111">
        <f>IF(I152&lt;80,"0",IF((J152-I152)&lt;=2,('DPI art.191'!$G$7-(('DPI art.191'!$F$7-'DPI art.191'!$G$7)/4)*(I152-J152-2)),('DPI art.191'!$G$7-(('DPI art.191'!$G$7-'DPI art.191'!$H$7)/8)*(J152-I152-2))))</f>
        <v/>
      </c>
      <c r="AY152" s="24">
        <f>I152-AX152</f>
        <v/>
      </c>
      <c r="AZ152" s="24">
        <f>IF(H152&lt;135,H152,H152-'DPI art.191'!$I$7)</f>
        <v/>
      </c>
      <c r="BA152" s="111">
        <f>IF(O152&lt;80,"0",IF((P152-O152)&lt;=2,('DPI art.191'!$G$5-(('DPI art.191'!$F$5-'DPI art.191'!$G$5)/4)*(P152-O152-2)),('DPI art.191'!$G$5-(('DPI art.191'!$G$5-'DPI art.191'!$H$5)/8)*(P152-O152-2))))</f>
        <v/>
      </c>
      <c r="BB152" s="24">
        <f>R152-BA152</f>
        <v/>
      </c>
      <c r="BC152" s="24">
        <f>IF(N152&lt;135,N152,N152-'DPI art.191'!$I$5)</f>
        <v/>
      </c>
      <c r="BD152" s="111">
        <f>IF(O152&lt;80,"0",IF((P152-O152)&lt;=2,('DPI art.191'!$G$7-(('DPI art.191'!$F$7-'DPI art.191'!$G$7)/4)*(O152-P152-2)),('DPI art.191'!$G$7-(('DPI art.191'!$G$7-'DPI art.191'!$H$7)/8)*(P152-O152-2))))</f>
        <v/>
      </c>
      <c r="BE152" s="24">
        <f>O152-BD152</f>
        <v/>
      </c>
      <c r="BF152" s="24">
        <f>IF(N152&lt;135,N152,N152-'DPI art.191'!$I$7)</f>
        <v/>
      </c>
      <c r="BG152" s="111">
        <f>IF(AA152&lt;80,"0",IF((AB152-AA152)&lt;=2,('DPI art.191'!$G$3-(('DPI art.191'!$F$3-'DPI art.191'!$G$3)/4)*(AB152-AA152-2)),('DPI art.191'!$G$3-(('DPI art.191'!$G$3-'DPI art.191'!$H$3)/8)*(AB152-AA152-2))))</f>
        <v/>
      </c>
      <c r="BH152" s="24">
        <f>AA152-BG152</f>
        <v/>
      </c>
      <c r="BI152" s="24">
        <f>IF(Z152&lt;135,Z152,Z152-'DPI art.191'!$I$3)</f>
        <v/>
      </c>
      <c r="BJ152" s="111">
        <f>IF(U152&lt;80,"0",IF((V152-U152)&lt;=2,('DPI art.191'!$G$7-(('DPI art.191'!$F$7-'DPI art.191'!$G$7)/4)*(U152-V152-2)),('DPI art.191'!$G$7-(('DPI art.191'!$G$7-'DPI art.191'!$H$7)/8)*(V152-U152-2))))</f>
        <v/>
      </c>
      <c r="BK152" s="24">
        <f>U152-BJ152</f>
        <v/>
      </c>
      <c r="BL152" s="24">
        <f>IF(T152&lt;135,T152,T152-'DPI art.191'!$I$7)</f>
        <v/>
      </c>
      <c r="BM152" s="111">
        <f>IF(AA152&lt;80,"0",IF((AB152-AA152)&lt;=2,('DPI art.191'!$G$5-(('DPI art.191'!$F$5-'DPI art.191'!$G$5)/4)*(AB152-AA152-2)),('DPI art.191'!$G$5-(('DPI art.191'!$G$5-'DPI art.191'!$H$5)/8)*(AB152-AA152-2))))</f>
        <v/>
      </c>
      <c r="BN152" s="24">
        <f>AD152-BM152</f>
        <v/>
      </c>
      <c r="BO152" s="24">
        <f>IF(Z152&lt;135,Z152,Z152-'DPI art.191'!$I$5)</f>
        <v/>
      </c>
      <c r="BP152" s="108">
        <f>10^(0.1*R152)</f>
        <v/>
      </c>
      <c r="BQ152" s="108">
        <f>10^(0.1*X152)</f>
        <v/>
      </c>
      <c r="BR152" s="108">
        <f>10^(0.1*AB152)</f>
        <v/>
      </c>
      <c r="BS152" s="108">
        <f>10^(0.1*AF152)</f>
        <v/>
      </c>
      <c r="BT152" s="108">
        <f>10^(0.1*AJ152)</f>
        <v/>
      </c>
      <c r="BU152" s="108">
        <f>10^(0.1*AN152)</f>
        <v/>
      </c>
      <c r="BV152" s="106">
        <f>IF(R152&gt;0,(O152-R152),"")</f>
        <v/>
      </c>
      <c r="BW152" s="106">
        <f>IF(X152&gt;0,(O152-X152),"")</f>
        <v/>
      </c>
      <c r="BX152" s="106">
        <f>IF(AB152&gt;0,(O152-AB152),"")</f>
        <v/>
      </c>
      <c r="BY152" s="106">
        <f>IF(AF152&gt;0,(O152-AF152),"")</f>
        <v/>
      </c>
      <c r="BZ152" s="106">
        <f>IF(AJ152&gt;0,(O152-AJ152),"")</f>
        <v/>
      </c>
      <c r="CA152" s="106">
        <f>IF(AN152&gt;0,(O152-AN152),"")</f>
        <v/>
      </c>
      <c r="CB152" s="106">
        <f>COUNT(BV152:CA152)</f>
        <v/>
      </c>
      <c r="CC152" s="464">
        <f>IF(CB152=0,0,IF(CB152=1,0,1/(CB152*(CB152-1))))</f>
        <v/>
      </c>
      <c r="CD152" s="136">
        <f>IF(R152&gt;0,(BV152^2),"")</f>
        <v/>
      </c>
      <c r="CE152" s="136">
        <f>IF(X152&gt;0,(BW152^2),"")</f>
        <v/>
      </c>
      <c r="CF152" s="136">
        <f>IF(AB152&gt;0,(BX152^2),"")</f>
        <v/>
      </c>
      <c r="CG152" s="136">
        <f>IF(AF152&gt;0,(BY152^2),"")</f>
        <v/>
      </c>
      <c r="CH152" s="136">
        <f>IF(AJ152&gt;0,(BZ152^2),"")</f>
        <v/>
      </c>
      <c r="CI152" s="136">
        <f>IF(AN152&gt;0,(CA152^2),"")</f>
        <v/>
      </c>
    </row>
    <row r="153" ht="18.75" customHeight="1" s="444">
      <c r="A153" s="340" t="inlineStr">
        <is>
          <t>/</t>
        </is>
      </c>
      <c r="B153" s="65">
        <f>B152+1</f>
        <v/>
      </c>
      <c r="C153" s="78" t="n"/>
      <c r="D153" s="83" t="n"/>
      <c r="E153" s="83" t="n"/>
      <c r="F153" s="329" t="n"/>
      <c r="G153" s="71" t="n">
        <v>40725</v>
      </c>
      <c r="H153" s="77" t="inlineStr">
        <is>
          <t>Compito</t>
        </is>
      </c>
      <c r="I153" s="77">
        <f>IF((V153-R153)&gt;3,"SI","")</f>
        <v/>
      </c>
      <c r="J153" s="77">
        <f>IF((U153-R153)&gt;3,"SI","")</f>
        <v/>
      </c>
      <c r="K153" s="77" t="n"/>
      <c r="L153" s="77" t="n"/>
      <c r="M153" s="137">
        <f>IF(R153&gt;0,(SQRT(CC153*(SUM(CD153:CI153)))),"")</f>
        <v/>
      </c>
      <c r="N153" s="4">
        <f>IF(T153&gt;0,(MAX(T153,Z153,AD153,AH153,AL153,AP153))+SQRT(1.2^2+1^2),"")</f>
        <v/>
      </c>
      <c r="O153" s="3">
        <f>IF(R153="",0,10*LOG10(SUM(BP153:BU153)/(COUNT(R153,X153,AB153,AF153,AJ153,AN153))))</f>
        <v/>
      </c>
      <c r="P153" s="5">
        <f>IF(AND(Y153="",AC153="",AG153="",AK153="",AO153=""),S153,AVERAGE(S153,Y153,AC153,AG153,AK153,AO153)+STDEV(S153,Y153,AC153,AG153,AK153,AO153))</f>
        <v/>
      </c>
      <c r="Q153" s="14" t="n"/>
      <c r="R153" s="11" t="n"/>
      <c r="S153" s="12" t="n"/>
      <c r="T153" s="13" t="n"/>
      <c r="U153" s="79" t="n"/>
      <c r="V153" s="79" t="n"/>
      <c r="W153" s="10" t="n"/>
      <c r="X153" s="11" t="n"/>
      <c r="Y153" s="12" t="n"/>
      <c r="Z153" s="13" t="n"/>
      <c r="AA153" s="10" t="n"/>
      <c r="AB153" s="11" t="n"/>
      <c r="AC153" s="12" t="n"/>
      <c r="AD153" s="13" t="n"/>
      <c r="AE153" s="14" t="n"/>
      <c r="AF153" s="11" t="n"/>
      <c r="AG153" s="12" t="n"/>
      <c r="AH153" s="13" t="n"/>
      <c r="AI153" s="10" t="n"/>
      <c r="AJ153" s="11" t="n"/>
      <c r="AK153" s="12" t="n"/>
      <c r="AL153" s="13" t="n"/>
      <c r="AM153" s="10" t="n"/>
      <c r="AN153" s="11" t="n"/>
      <c r="AO153" s="12" t="n"/>
      <c r="AP153" s="13" t="n"/>
      <c r="AQ153" s="6">
        <f>IF(AND((O153)&lt;85,N153&lt;137),"NO","SI")</f>
        <v/>
      </c>
      <c r="AR153" s="7">
        <f>IF((480*(10^(7.95-(O153/10))))&lt;480,480*(10^(7.95-(O153/10))),480)</f>
        <v/>
      </c>
      <c r="AS153" s="8">
        <f>IF((480*(10^(8.45-(O153/10))))&lt;480,480*(10^(8.45-(O153/10))),480)</f>
        <v/>
      </c>
      <c r="AT153" s="9">
        <f>IF((480*(10^(8.65-(O153/10))))&lt;480,480*(10^(8.65-(O153/10))),480)</f>
        <v/>
      </c>
      <c r="AU153" s="111">
        <f>IF(O153&lt;80,"0",IF((P153-O153)&lt;=2,('DPI art.191'!$G$3-(('DPI art.191'!$F$3-'DPI art.191'!$G$3)/4)*(P153-O153-2)),('DPI art.191'!$G$3-(('DPI art.191'!$G$3-'DPI art.191'!$H$3)/8)*(P153-O153-2))))</f>
        <v/>
      </c>
      <c r="AV153" s="24">
        <f>O153-AU153</f>
        <v/>
      </c>
      <c r="AW153" s="24">
        <f>IF(N153&lt;135,N153,N153-'DPI art.191'!$I$3)</f>
        <v/>
      </c>
      <c r="AX153" s="111">
        <f>IF(I153&lt;80,"0",IF((J153-I153)&lt;=2,('DPI art.191'!$G$7-(('DPI art.191'!$F$7-'DPI art.191'!$G$7)/4)*(I153-J153-2)),('DPI art.191'!$G$7-(('DPI art.191'!$G$7-'DPI art.191'!$H$7)/8)*(J153-I153-2))))</f>
        <v/>
      </c>
      <c r="AY153" s="24">
        <f>I153-AX153</f>
        <v/>
      </c>
      <c r="AZ153" s="24">
        <f>IF(H153&lt;135,H153,H153-'DPI art.191'!$I$7)</f>
        <v/>
      </c>
      <c r="BA153" s="111">
        <f>IF(O153&lt;80,"0",IF((P153-O153)&lt;=2,('DPI art.191'!$G$5-(('DPI art.191'!$F$5-'DPI art.191'!$G$5)/4)*(P153-O153-2)),('DPI art.191'!$G$5-(('DPI art.191'!$G$5-'DPI art.191'!$H$5)/8)*(P153-O153-2))))</f>
        <v/>
      </c>
      <c r="BB153" s="24">
        <f>R153-BA153</f>
        <v/>
      </c>
      <c r="BC153" s="24">
        <f>IF(N153&lt;135,N153,N153-'DPI art.191'!$I$5)</f>
        <v/>
      </c>
      <c r="BD153" s="111">
        <f>IF(O153&lt;80,"0",IF((P153-O153)&lt;=2,('DPI art.191'!$G$7-(('DPI art.191'!$F$7-'DPI art.191'!$G$7)/4)*(O153-P153-2)),('DPI art.191'!$G$7-(('DPI art.191'!$G$7-'DPI art.191'!$H$7)/8)*(P153-O153-2))))</f>
        <v/>
      </c>
      <c r="BE153" s="24">
        <f>O153-BD153</f>
        <v/>
      </c>
      <c r="BF153" s="24">
        <f>IF(N153&lt;135,N153,N153-'DPI art.191'!$I$7)</f>
        <v/>
      </c>
      <c r="BG153" s="111">
        <f>IF(AA153&lt;80,"0",IF((AB153-AA153)&lt;=2,('DPI art.191'!$G$3-(('DPI art.191'!$F$3-'DPI art.191'!$G$3)/4)*(AB153-AA153-2)),('DPI art.191'!$G$3-(('DPI art.191'!$G$3-'DPI art.191'!$H$3)/8)*(AB153-AA153-2))))</f>
        <v/>
      </c>
      <c r="BH153" s="24">
        <f>AA153-BG153</f>
        <v/>
      </c>
      <c r="BI153" s="24">
        <f>IF(Z153&lt;135,Z153,Z153-'DPI art.191'!$I$3)</f>
        <v/>
      </c>
      <c r="BJ153" s="111">
        <f>IF(U153&lt;80,"0",IF((V153-U153)&lt;=2,('DPI art.191'!$G$7-(('DPI art.191'!$F$7-'DPI art.191'!$G$7)/4)*(U153-V153-2)),('DPI art.191'!$G$7-(('DPI art.191'!$G$7-'DPI art.191'!$H$7)/8)*(V153-U153-2))))</f>
        <v/>
      </c>
      <c r="BK153" s="24">
        <f>U153-BJ153</f>
        <v/>
      </c>
      <c r="BL153" s="24">
        <f>IF(T153&lt;135,T153,T153-'DPI art.191'!$I$7)</f>
        <v/>
      </c>
      <c r="BM153" s="111">
        <f>IF(AA153&lt;80,"0",IF((AB153-AA153)&lt;=2,('DPI art.191'!$G$5-(('DPI art.191'!$F$5-'DPI art.191'!$G$5)/4)*(AB153-AA153-2)),('DPI art.191'!$G$5-(('DPI art.191'!$G$5-'DPI art.191'!$H$5)/8)*(AB153-AA153-2))))</f>
        <v/>
      </c>
      <c r="BN153" s="24">
        <f>AD153-BM153</f>
        <v/>
      </c>
      <c r="BO153" s="24">
        <f>IF(Z153&lt;135,Z153,Z153-'DPI art.191'!$I$5)</f>
        <v/>
      </c>
      <c r="BP153" s="108">
        <f>10^(0.1*R153)</f>
        <v/>
      </c>
      <c r="BQ153" s="108">
        <f>10^(0.1*X153)</f>
        <v/>
      </c>
      <c r="BR153" s="108">
        <f>10^(0.1*AB153)</f>
        <v/>
      </c>
      <c r="BS153" s="108">
        <f>10^(0.1*AF153)</f>
        <v/>
      </c>
      <c r="BT153" s="108">
        <f>10^(0.1*AJ153)</f>
        <v/>
      </c>
      <c r="BU153" s="108">
        <f>10^(0.1*AN153)</f>
        <v/>
      </c>
      <c r="BV153" s="106">
        <f>IF(R153&gt;0,(O153-R153),"")</f>
        <v/>
      </c>
      <c r="BW153" s="106">
        <f>IF(X153&gt;0,(O153-X153),"")</f>
        <v/>
      </c>
      <c r="BX153" s="106">
        <f>IF(AB153&gt;0,(O153-AB153),"")</f>
        <v/>
      </c>
      <c r="BY153" s="106">
        <f>IF(AF153&gt;0,(O153-AF153),"")</f>
        <v/>
      </c>
      <c r="BZ153" s="106">
        <f>IF(AJ153&gt;0,(O153-AJ153),"")</f>
        <v/>
      </c>
      <c r="CA153" s="106">
        <f>IF(AN153&gt;0,(O153-AN153),"")</f>
        <v/>
      </c>
      <c r="CB153" s="106">
        <f>COUNT(BV153:CA153)</f>
        <v/>
      </c>
      <c r="CC153" s="464">
        <f>IF(CB153=0,0,IF(CB153=1,0,1/(CB153*(CB153-1))))</f>
        <v/>
      </c>
      <c r="CD153" s="136">
        <f>IF(R153&gt;0,(BV153^2),"")</f>
        <v/>
      </c>
      <c r="CE153" s="136">
        <f>IF(X153&gt;0,(BW153^2),"")</f>
        <v/>
      </c>
      <c r="CF153" s="136">
        <f>IF(AB153&gt;0,(BX153^2),"")</f>
        <v/>
      </c>
      <c r="CG153" s="136">
        <f>IF(AF153&gt;0,(BY153^2),"")</f>
        <v/>
      </c>
      <c r="CH153" s="136">
        <f>IF(AJ153&gt;0,(BZ153^2),"")</f>
        <v/>
      </c>
      <c r="CI153" s="136">
        <f>IF(AN153&gt;0,(CA153^2),"")</f>
        <v/>
      </c>
    </row>
    <row r="154" ht="18.75" customHeight="1" s="444">
      <c r="A154" s="340" t="inlineStr">
        <is>
          <t>/</t>
        </is>
      </c>
      <c r="B154" s="65">
        <f>B153+1</f>
        <v/>
      </c>
      <c r="C154" s="78" t="n"/>
      <c r="D154" s="83" t="n"/>
      <c r="E154" s="83" t="n"/>
      <c r="F154" s="329" t="n"/>
      <c r="G154" s="71" t="n">
        <v>40725</v>
      </c>
      <c r="H154" s="77" t="inlineStr">
        <is>
          <t>Compito</t>
        </is>
      </c>
      <c r="I154" s="77">
        <f>IF((V154-R154)&gt;3,"SI","")</f>
        <v/>
      </c>
      <c r="J154" s="77">
        <f>IF((U154-R154)&gt;3,"SI","")</f>
        <v/>
      </c>
      <c r="K154" s="77" t="n"/>
      <c r="L154" s="77" t="n"/>
      <c r="M154" s="137">
        <f>IF(R154&gt;0,(SQRT(CC154*(SUM(CD154:CI154)))),"")</f>
        <v/>
      </c>
      <c r="N154" s="4">
        <f>IF(T154&gt;0,(MAX(T154,Z154,AD154,AH154,AL154,AP154))+SQRT(1.2^2+1^2),"")</f>
        <v/>
      </c>
      <c r="O154" s="3">
        <f>IF(R154="",0,10*LOG10(SUM(BP154:BU154)/(COUNT(R154,X154,AB154,AF154,AJ154,AN154))))</f>
        <v/>
      </c>
      <c r="P154" s="5">
        <f>IF(AND(Y154="",AC154="",AG154="",AK154="",AO154=""),S154,AVERAGE(S154,Y154,AC154,AG154,AK154,AO154)+STDEV(S154,Y154,AC154,AG154,AK154,AO154))</f>
        <v/>
      </c>
      <c r="Q154" s="14" t="n"/>
      <c r="R154" s="11" t="n"/>
      <c r="S154" s="12" t="n"/>
      <c r="T154" s="13" t="n"/>
      <c r="U154" s="79" t="n"/>
      <c r="V154" s="79" t="n"/>
      <c r="W154" s="10" t="n"/>
      <c r="X154" s="11" t="n"/>
      <c r="Y154" s="12" t="n"/>
      <c r="Z154" s="13" t="n"/>
      <c r="AA154" s="10" t="n"/>
      <c r="AB154" s="11" t="n"/>
      <c r="AC154" s="12" t="n"/>
      <c r="AD154" s="13" t="n"/>
      <c r="AE154" s="14" t="n"/>
      <c r="AF154" s="11" t="n"/>
      <c r="AG154" s="12" t="n"/>
      <c r="AH154" s="13" t="n"/>
      <c r="AI154" s="10" t="n"/>
      <c r="AJ154" s="11" t="n"/>
      <c r="AK154" s="12" t="n"/>
      <c r="AL154" s="13" t="n"/>
      <c r="AM154" s="10" t="n"/>
      <c r="AN154" s="11" t="n"/>
      <c r="AO154" s="12" t="n"/>
      <c r="AP154" s="13" t="n"/>
      <c r="AQ154" s="6">
        <f>IF(AND((O154)&lt;85,N154&lt;137),"NO","SI")</f>
        <v/>
      </c>
      <c r="AR154" s="7">
        <f>IF((480*(10^(7.95-(O154/10))))&lt;480,480*(10^(7.95-(O154/10))),480)</f>
        <v/>
      </c>
      <c r="AS154" s="8">
        <f>IF((480*(10^(8.45-(O154/10))))&lt;480,480*(10^(8.45-(O154/10))),480)</f>
        <v/>
      </c>
      <c r="AT154" s="9">
        <f>IF((480*(10^(8.65-(O154/10))))&lt;480,480*(10^(8.65-(O154/10))),480)</f>
        <v/>
      </c>
      <c r="AU154" s="111">
        <f>IF(O154&lt;80,"0",IF((P154-O154)&lt;=2,('DPI art.191'!$G$3-(('DPI art.191'!$F$3-'DPI art.191'!$G$3)/4)*(P154-O154-2)),('DPI art.191'!$G$3-(('DPI art.191'!$G$3-'DPI art.191'!$H$3)/8)*(P154-O154-2))))</f>
        <v/>
      </c>
      <c r="AV154" s="24">
        <f>O154-AU154</f>
        <v/>
      </c>
      <c r="AW154" s="24">
        <f>IF(N154&lt;135,N154,N154-'DPI art.191'!$I$3)</f>
        <v/>
      </c>
      <c r="AX154" s="111">
        <f>IF(I154&lt;80,"0",IF((J154-I154)&lt;=2,('DPI art.191'!$G$7-(('DPI art.191'!$F$7-'DPI art.191'!$G$7)/4)*(I154-J154-2)),('DPI art.191'!$G$7-(('DPI art.191'!$G$7-'DPI art.191'!$H$7)/8)*(J154-I154-2))))</f>
        <v/>
      </c>
      <c r="AY154" s="24">
        <f>I154-AX154</f>
        <v/>
      </c>
      <c r="AZ154" s="24">
        <f>IF(H154&lt;135,H154,H154-'DPI art.191'!$I$7)</f>
        <v/>
      </c>
      <c r="BA154" s="111">
        <f>IF(O154&lt;80,"0",IF((P154-O154)&lt;=2,('DPI art.191'!$G$5-(('DPI art.191'!$F$5-'DPI art.191'!$G$5)/4)*(P154-O154-2)),('DPI art.191'!$G$5-(('DPI art.191'!$G$5-'DPI art.191'!$H$5)/8)*(P154-O154-2))))</f>
        <v/>
      </c>
      <c r="BB154" s="24">
        <f>R154-BA154</f>
        <v/>
      </c>
      <c r="BC154" s="24">
        <f>IF(N154&lt;135,N154,N154-'DPI art.191'!$I$5)</f>
        <v/>
      </c>
      <c r="BD154" s="111">
        <f>IF(O154&lt;80,"0",IF((P154-O154)&lt;=2,('DPI art.191'!$G$7-(('DPI art.191'!$F$7-'DPI art.191'!$G$7)/4)*(O154-P154-2)),('DPI art.191'!$G$7-(('DPI art.191'!$G$7-'DPI art.191'!$H$7)/8)*(P154-O154-2))))</f>
        <v/>
      </c>
      <c r="BE154" s="24">
        <f>O154-BD154</f>
        <v/>
      </c>
      <c r="BF154" s="24">
        <f>IF(N154&lt;135,N154,N154-'DPI art.191'!$I$7)</f>
        <v/>
      </c>
      <c r="BG154" s="111">
        <f>IF(AA154&lt;80,"0",IF((AB154-AA154)&lt;=2,('DPI art.191'!$G$3-(('DPI art.191'!$F$3-'DPI art.191'!$G$3)/4)*(AB154-AA154-2)),('DPI art.191'!$G$3-(('DPI art.191'!$G$3-'DPI art.191'!$H$3)/8)*(AB154-AA154-2))))</f>
        <v/>
      </c>
      <c r="BH154" s="24">
        <f>AA154-BG154</f>
        <v/>
      </c>
      <c r="BI154" s="24">
        <f>IF(Z154&lt;135,Z154,Z154-'DPI art.191'!$I$3)</f>
        <v/>
      </c>
      <c r="BJ154" s="111">
        <f>IF(U154&lt;80,"0",IF((V154-U154)&lt;=2,('DPI art.191'!$G$7-(('DPI art.191'!$F$7-'DPI art.191'!$G$7)/4)*(U154-V154-2)),('DPI art.191'!$G$7-(('DPI art.191'!$G$7-'DPI art.191'!$H$7)/8)*(V154-U154-2))))</f>
        <v/>
      </c>
      <c r="BK154" s="24">
        <f>U154-BJ154</f>
        <v/>
      </c>
      <c r="BL154" s="24">
        <f>IF(T154&lt;135,T154,T154-'DPI art.191'!$I$7)</f>
        <v/>
      </c>
      <c r="BM154" s="111">
        <f>IF(AA154&lt;80,"0",IF((AB154-AA154)&lt;=2,('DPI art.191'!$G$5-(('DPI art.191'!$F$5-'DPI art.191'!$G$5)/4)*(AB154-AA154-2)),('DPI art.191'!$G$5-(('DPI art.191'!$G$5-'DPI art.191'!$H$5)/8)*(AB154-AA154-2))))</f>
        <v/>
      </c>
      <c r="BN154" s="24">
        <f>AD154-BM154</f>
        <v/>
      </c>
      <c r="BO154" s="24">
        <f>IF(Z154&lt;135,Z154,Z154-'DPI art.191'!$I$5)</f>
        <v/>
      </c>
      <c r="BP154" s="108">
        <f>10^(0.1*R154)</f>
        <v/>
      </c>
      <c r="BQ154" s="108">
        <f>10^(0.1*X154)</f>
        <v/>
      </c>
      <c r="BR154" s="108">
        <f>10^(0.1*AB154)</f>
        <v/>
      </c>
      <c r="BS154" s="108">
        <f>10^(0.1*AF154)</f>
        <v/>
      </c>
      <c r="BT154" s="108">
        <f>10^(0.1*AJ154)</f>
        <v/>
      </c>
      <c r="BU154" s="108">
        <f>10^(0.1*AN154)</f>
        <v/>
      </c>
      <c r="BV154" s="106">
        <f>IF(R154&gt;0,(O154-R154),"")</f>
        <v/>
      </c>
      <c r="BW154" s="106">
        <f>IF(X154&gt;0,(O154-X154),"")</f>
        <v/>
      </c>
      <c r="BX154" s="106">
        <f>IF(AB154&gt;0,(O154-AB154),"")</f>
        <v/>
      </c>
      <c r="BY154" s="106">
        <f>IF(AF154&gt;0,(O154-AF154),"")</f>
        <v/>
      </c>
      <c r="BZ154" s="106">
        <f>IF(AJ154&gt;0,(O154-AJ154),"")</f>
        <v/>
      </c>
      <c r="CA154" s="106">
        <f>IF(AN154&gt;0,(O154-AN154),"")</f>
        <v/>
      </c>
      <c r="CB154" s="106">
        <f>COUNT(BV154:CA154)</f>
        <v/>
      </c>
      <c r="CC154" s="464">
        <f>IF(CB154=0,0,IF(CB154=1,0,1/(CB154*(CB154-1))))</f>
        <v/>
      </c>
      <c r="CD154" s="136">
        <f>IF(R154&gt;0,(BV154^2),"")</f>
        <v/>
      </c>
      <c r="CE154" s="136">
        <f>IF(X154&gt;0,(BW154^2),"")</f>
        <v/>
      </c>
      <c r="CF154" s="136">
        <f>IF(AB154&gt;0,(BX154^2),"")</f>
        <v/>
      </c>
      <c r="CG154" s="136">
        <f>IF(AF154&gt;0,(BY154^2),"")</f>
        <v/>
      </c>
      <c r="CH154" s="136">
        <f>IF(AJ154&gt;0,(BZ154^2),"")</f>
        <v/>
      </c>
      <c r="CI154" s="136">
        <f>IF(AN154&gt;0,(CA154^2),"")</f>
        <v/>
      </c>
    </row>
    <row r="155" ht="18.75" customHeight="1" s="444">
      <c r="A155" s="340" t="inlineStr">
        <is>
          <t>/</t>
        </is>
      </c>
      <c r="B155" s="65">
        <f>B154+1</f>
        <v/>
      </c>
      <c r="C155" s="78" t="n"/>
      <c r="D155" s="83" t="n"/>
      <c r="E155" s="83" t="n"/>
      <c r="F155" s="329" t="n"/>
      <c r="G155" s="71" t="n">
        <v>40725</v>
      </c>
      <c r="H155" s="77" t="inlineStr">
        <is>
          <t>Compito</t>
        </is>
      </c>
      <c r="I155" s="77">
        <f>IF((V155-R155)&gt;3,"SI","")</f>
        <v/>
      </c>
      <c r="J155" s="77">
        <f>IF((U155-R155)&gt;3,"SI","")</f>
        <v/>
      </c>
      <c r="K155" s="77" t="n"/>
      <c r="L155" s="77" t="n"/>
      <c r="M155" s="137">
        <f>IF(R155&gt;0,(SQRT(CC155*(SUM(CD155:CI155)))),"")</f>
        <v/>
      </c>
      <c r="N155" s="4">
        <f>IF(T155&gt;0,(MAX(T155,Z155,AD155,AH155,AL155,AP155))+SQRT(1.2^2+1^2),"")</f>
        <v/>
      </c>
      <c r="O155" s="3">
        <f>IF(R155="",0,10*LOG10(SUM(BP155:BU155)/(COUNT(R155,X155,AB155,AF155,AJ155,AN155))))</f>
        <v/>
      </c>
      <c r="P155" s="5">
        <f>IF(AND(Y155="",AC155="",AG155="",AK155="",AO155=""),S155,AVERAGE(S155,Y155,AC155,AG155,AK155,AO155)+STDEV(S155,Y155,AC155,AG155,AK155,AO155))</f>
        <v/>
      </c>
      <c r="Q155" s="14" t="n"/>
      <c r="R155" s="11" t="n"/>
      <c r="S155" s="12" t="n"/>
      <c r="T155" s="13" t="n"/>
      <c r="U155" s="79" t="n"/>
      <c r="V155" s="79" t="n"/>
      <c r="W155" s="10" t="n"/>
      <c r="X155" s="11" t="n"/>
      <c r="Y155" s="12" t="n"/>
      <c r="Z155" s="13" t="n"/>
      <c r="AA155" s="10" t="n"/>
      <c r="AB155" s="11" t="n"/>
      <c r="AC155" s="12" t="n"/>
      <c r="AD155" s="13" t="n"/>
      <c r="AE155" s="14" t="n"/>
      <c r="AF155" s="11" t="n"/>
      <c r="AG155" s="12" t="n"/>
      <c r="AH155" s="13" t="n"/>
      <c r="AI155" s="10" t="n"/>
      <c r="AJ155" s="11" t="n"/>
      <c r="AK155" s="12" t="n"/>
      <c r="AL155" s="13" t="n"/>
      <c r="AM155" s="10" t="n"/>
      <c r="AN155" s="11" t="n"/>
      <c r="AO155" s="12" t="n"/>
      <c r="AP155" s="13" t="n"/>
      <c r="AQ155" s="6">
        <f>IF(AND((O155)&lt;85,N155&lt;137),"NO","SI")</f>
        <v/>
      </c>
      <c r="AR155" s="7">
        <f>IF((480*(10^(7.95-(O155/10))))&lt;480,480*(10^(7.95-(O155/10))),480)</f>
        <v/>
      </c>
      <c r="AS155" s="8">
        <f>IF((480*(10^(8.45-(O155/10))))&lt;480,480*(10^(8.45-(O155/10))),480)</f>
        <v/>
      </c>
      <c r="AT155" s="9">
        <f>IF((480*(10^(8.65-(O155/10))))&lt;480,480*(10^(8.65-(O155/10))),480)</f>
        <v/>
      </c>
      <c r="AU155" s="111">
        <f>IF(O155&lt;80,"0",IF((P155-O155)&lt;=2,('DPI art.191'!$G$3-(('DPI art.191'!$F$3-'DPI art.191'!$G$3)/4)*(P155-O155-2)),('DPI art.191'!$G$3-(('DPI art.191'!$G$3-'DPI art.191'!$H$3)/8)*(P155-O155-2))))</f>
        <v/>
      </c>
      <c r="AV155" s="24">
        <f>O155-AU155</f>
        <v/>
      </c>
      <c r="AW155" s="24">
        <f>IF(N155&lt;135,N155,N155-'DPI art.191'!$I$3)</f>
        <v/>
      </c>
      <c r="AX155" s="111">
        <f>IF(I155&lt;80,"0",IF((J155-I155)&lt;=2,('DPI art.191'!$G$7-(('DPI art.191'!$F$7-'DPI art.191'!$G$7)/4)*(I155-J155-2)),('DPI art.191'!$G$7-(('DPI art.191'!$G$7-'DPI art.191'!$H$7)/8)*(J155-I155-2))))</f>
        <v/>
      </c>
      <c r="AY155" s="24">
        <f>I155-AX155</f>
        <v/>
      </c>
      <c r="AZ155" s="24">
        <f>IF(H155&lt;135,H155,H155-'DPI art.191'!$I$7)</f>
        <v/>
      </c>
      <c r="BA155" s="111">
        <f>IF(O155&lt;80,"0",IF((P155-O155)&lt;=2,('DPI art.191'!$G$5-(('DPI art.191'!$F$5-'DPI art.191'!$G$5)/4)*(P155-O155-2)),('DPI art.191'!$G$5-(('DPI art.191'!$G$5-'DPI art.191'!$H$5)/8)*(P155-O155-2))))</f>
        <v/>
      </c>
      <c r="BB155" s="24">
        <f>R155-BA155</f>
        <v/>
      </c>
      <c r="BC155" s="24">
        <f>IF(N155&lt;135,N155,N155-'DPI art.191'!$I$5)</f>
        <v/>
      </c>
      <c r="BD155" s="111">
        <f>IF(O155&lt;80,"0",IF((P155-O155)&lt;=2,('DPI art.191'!$G$7-(('DPI art.191'!$F$7-'DPI art.191'!$G$7)/4)*(O155-P155-2)),('DPI art.191'!$G$7-(('DPI art.191'!$G$7-'DPI art.191'!$H$7)/8)*(P155-O155-2))))</f>
        <v/>
      </c>
      <c r="BE155" s="24">
        <f>O155-BD155</f>
        <v/>
      </c>
      <c r="BF155" s="24">
        <f>IF(N155&lt;135,N155,N155-'DPI art.191'!$I$7)</f>
        <v/>
      </c>
      <c r="BG155" s="111">
        <f>IF(AA155&lt;80,"0",IF((AB155-AA155)&lt;=2,('DPI art.191'!$G$3-(('DPI art.191'!$F$3-'DPI art.191'!$G$3)/4)*(AB155-AA155-2)),('DPI art.191'!$G$3-(('DPI art.191'!$G$3-'DPI art.191'!$H$3)/8)*(AB155-AA155-2))))</f>
        <v/>
      </c>
      <c r="BH155" s="24">
        <f>AA155-BG155</f>
        <v/>
      </c>
      <c r="BI155" s="24">
        <f>IF(Z155&lt;135,Z155,Z155-'DPI art.191'!$I$3)</f>
        <v/>
      </c>
      <c r="BJ155" s="111">
        <f>IF(U155&lt;80,"0",IF((V155-U155)&lt;=2,('DPI art.191'!$G$7-(('DPI art.191'!$F$7-'DPI art.191'!$G$7)/4)*(U155-V155-2)),('DPI art.191'!$G$7-(('DPI art.191'!$G$7-'DPI art.191'!$H$7)/8)*(V155-U155-2))))</f>
        <v/>
      </c>
      <c r="BK155" s="24">
        <f>U155-BJ155</f>
        <v/>
      </c>
      <c r="BL155" s="24">
        <f>IF(T155&lt;135,T155,T155-'DPI art.191'!$I$7)</f>
        <v/>
      </c>
      <c r="BM155" s="111">
        <f>IF(AA155&lt;80,"0",IF((AB155-AA155)&lt;=2,('DPI art.191'!$G$5-(('DPI art.191'!$F$5-'DPI art.191'!$G$5)/4)*(AB155-AA155-2)),('DPI art.191'!$G$5-(('DPI art.191'!$G$5-'DPI art.191'!$H$5)/8)*(AB155-AA155-2))))</f>
        <v/>
      </c>
      <c r="BN155" s="24">
        <f>AD155-BM155</f>
        <v/>
      </c>
      <c r="BO155" s="24">
        <f>IF(Z155&lt;135,Z155,Z155-'DPI art.191'!$I$5)</f>
        <v/>
      </c>
      <c r="BP155" s="108">
        <f>10^(0.1*R155)</f>
        <v/>
      </c>
      <c r="BQ155" s="108">
        <f>10^(0.1*X155)</f>
        <v/>
      </c>
      <c r="BR155" s="108">
        <f>10^(0.1*AB155)</f>
        <v/>
      </c>
      <c r="BS155" s="108">
        <f>10^(0.1*AF155)</f>
        <v/>
      </c>
      <c r="BT155" s="108">
        <f>10^(0.1*AJ155)</f>
        <v/>
      </c>
      <c r="BU155" s="108">
        <f>10^(0.1*AN155)</f>
        <v/>
      </c>
      <c r="BV155" s="106">
        <f>IF(R155&gt;0,(O155-R155),"")</f>
        <v/>
      </c>
      <c r="BW155" s="106">
        <f>IF(X155&gt;0,(O155-X155),"")</f>
        <v/>
      </c>
      <c r="BX155" s="106">
        <f>IF(AB155&gt;0,(O155-AB155),"")</f>
        <v/>
      </c>
      <c r="BY155" s="106">
        <f>IF(AF155&gt;0,(O155-AF155),"")</f>
        <v/>
      </c>
      <c r="BZ155" s="106">
        <f>IF(AJ155&gt;0,(O155-AJ155),"")</f>
        <v/>
      </c>
      <c r="CA155" s="106">
        <f>IF(AN155&gt;0,(O155-AN155),"")</f>
        <v/>
      </c>
      <c r="CB155" s="106">
        <f>COUNT(BV155:CA155)</f>
        <v/>
      </c>
      <c r="CC155" s="464">
        <f>IF(CB155=0,0,IF(CB155=1,0,1/(CB155*(CB155-1))))</f>
        <v/>
      </c>
      <c r="CD155" s="136">
        <f>IF(R155&gt;0,(BV155^2),"")</f>
        <v/>
      </c>
      <c r="CE155" s="136">
        <f>IF(X155&gt;0,(BW155^2),"")</f>
        <v/>
      </c>
      <c r="CF155" s="136">
        <f>IF(AB155&gt;0,(BX155^2),"")</f>
        <v/>
      </c>
      <c r="CG155" s="136">
        <f>IF(AF155&gt;0,(BY155^2),"")</f>
        <v/>
      </c>
      <c r="CH155" s="136">
        <f>IF(AJ155&gt;0,(BZ155^2),"")</f>
        <v/>
      </c>
      <c r="CI155" s="136">
        <f>IF(AN155&gt;0,(CA155^2),"")</f>
        <v/>
      </c>
    </row>
    <row r="156" ht="18.75" customHeight="1" s="444">
      <c r="A156" s="340" t="inlineStr">
        <is>
          <t>/</t>
        </is>
      </c>
      <c r="B156" s="65">
        <f>B155+1</f>
        <v/>
      </c>
      <c r="C156" s="78" t="n"/>
      <c r="D156" s="83" t="n"/>
      <c r="E156" s="83" t="n"/>
      <c r="F156" s="329" t="n"/>
      <c r="G156" s="71" t="n">
        <v>40725</v>
      </c>
      <c r="H156" s="77" t="inlineStr">
        <is>
          <t>Compito</t>
        </is>
      </c>
      <c r="I156" s="77">
        <f>IF((V156-R156)&gt;3,"SI","")</f>
        <v/>
      </c>
      <c r="J156" s="77">
        <f>IF((U156-R156)&gt;3,"SI","")</f>
        <v/>
      </c>
      <c r="K156" s="77" t="n"/>
      <c r="L156" s="77" t="n"/>
      <c r="M156" s="137">
        <f>IF(R156&gt;0,(SQRT(CC156*(SUM(CD156:CI156)))),"")</f>
        <v/>
      </c>
      <c r="N156" s="4">
        <f>IF(T156&gt;0,(MAX(T156,Z156,AD156,AH156,AL156,AP156))+SQRT(1.2^2+1^2),"")</f>
        <v/>
      </c>
      <c r="O156" s="3">
        <f>IF(R156="",0,10*LOG10(SUM(BP156:BU156)/(COUNT(R156,X156,AB156,AF156,AJ156,AN156))))</f>
        <v/>
      </c>
      <c r="P156" s="5">
        <f>IF(AND(Y156="",AC156="",AG156="",AK156="",AO156=""),S156,AVERAGE(S156,Y156,AC156,AG156,AK156,AO156)+STDEV(S156,Y156,AC156,AG156,AK156,AO156))</f>
        <v/>
      </c>
      <c r="Q156" s="14" t="n"/>
      <c r="R156" s="11" t="n"/>
      <c r="S156" s="12" t="n"/>
      <c r="T156" s="13" t="n"/>
      <c r="U156" s="79" t="n"/>
      <c r="V156" s="79" t="n"/>
      <c r="W156" s="10" t="n"/>
      <c r="X156" s="11" t="n"/>
      <c r="Y156" s="12" t="n"/>
      <c r="Z156" s="13" t="n"/>
      <c r="AA156" s="10" t="n"/>
      <c r="AB156" s="11" t="n"/>
      <c r="AC156" s="12" t="n"/>
      <c r="AD156" s="13" t="n"/>
      <c r="AE156" s="14" t="n"/>
      <c r="AF156" s="11" t="n"/>
      <c r="AG156" s="12" t="n"/>
      <c r="AH156" s="13" t="n"/>
      <c r="AI156" s="10" t="n"/>
      <c r="AJ156" s="11" t="n"/>
      <c r="AK156" s="12" t="n"/>
      <c r="AL156" s="13" t="n"/>
      <c r="AM156" s="10" t="n"/>
      <c r="AN156" s="11" t="n"/>
      <c r="AO156" s="12" t="n"/>
      <c r="AP156" s="13" t="n"/>
      <c r="AQ156" s="6">
        <f>IF(AND((O156)&lt;85,N156&lt;137),"NO","SI")</f>
        <v/>
      </c>
      <c r="AR156" s="7">
        <f>IF((480*(10^(7.95-(O156/10))))&lt;480,480*(10^(7.95-(O156/10))),480)</f>
        <v/>
      </c>
      <c r="AS156" s="8">
        <f>IF((480*(10^(8.45-(O156/10))))&lt;480,480*(10^(8.45-(O156/10))),480)</f>
        <v/>
      </c>
      <c r="AT156" s="9">
        <f>IF((480*(10^(8.65-(O156/10))))&lt;480,480*(10^(8.65-(O156/10))),480)</f>
        <v/>
      </c>
      <c r="AU156" s="111">
        <f>IF(O156&lt;80,"0",IF((P156-O156)&lt;=2,('DPI art.191'!$G$3-(('DPI art.191'!$F$3-'DPI art.191'!$G$3)/4)*(P156-O156-2)),('DPI art.191'!$G$3-(('DPI art.191'!$G$3-'DPI art.191'!$H$3)/8)*(P156-O156-2))))</f>
        <v/>
      </c>
      <c r="AV156" s="24">
        <f>O156-AU156</f>
        <v/>
      </c>
      <c r="AW156" s="24">
        <f>IF(N156&lt;135,N156,N156-'DPI art.191'!$I$3)</f>
        <v/>
      </c>
      <c r="AX156" s="111">
        <f>IF(I156&lt;80,"0",IF((J156-I156)&lt;=2,('DPI art.191'!$G$7-(('DPI art.191'!$F$7-'DPI art.191'!$G$7)/4)*(I156-J156-2)),('DPI art.191'!$G$7-(('DPI art.191'!$G$7-'DPI art.191'!$H$7)/8)*(J156-I156-2))))</f>
        <v/>
      </c>
      <c r="AY156" s="24">
        <f>I156-AX156</f>
        <v/>
      </c>
      <c r="AZ156" s="24">
        <f>IF(H156&lt;135,H156,H156-'DPI art.191'!$I$7)</f>
        <v/>
      </c>
      <c r="BA156" s="111">
        <f>IF(O156&lt;80,"0",IF((P156-O156)&lt;=2,('DPI art.191'!$G$5-(('DPI art.191'!$F$5-'DPI art.191'!$G$5)/4)*(P156-O156-2)),('DPI art.191'!$G$5-(('DPI art.191'!$G$5-'DPI art.191'!$H$5)/8)*(P156-O156-2))))</f>
        <v/>
      </c>
      <c r="BB156" s="24">
        <f>R156-BA156</f>
        <v/>
      </c>
      <c r="BC156" s="24">
        <f>IF(N156&lt;135,N156,N156-'DPI art.191'!$I$5)</f>
        <v/>
      </c>
      <c r="BD156" s="111">
        <f>IF(O156&lt;80,"0",IF((P156-O156)&lt;=2,('DPI art.191'!$G$7-(('DPI art.191'!$F$7-'DPI art.191'!$G$7)/4)*(O156-P156-2)),('DPI art.191'!$G$7-(('DPI art.191'!$G$7-'DPI art.191'!$H$7)/8)*(P156-O156-2))))</f>
        <v/>
      </c>
      <c r="BE156" s="24">
        <f>O156-BD156</f>
        <v/>
      </c>
      <c r="BF156" s="24">
        <f>IF(N156&lt;135,N156,N156-'DPI art.191'!$I$7)</f>
        <v/>
      </c>
      <c r="BG156" s="111">
        <f>IF(AA156&lt;80,"0",IF((AB156-AA156)&lt;=2,('DPI art.191'!$G$3-(('DPI art.191'!$F$3-'DPI art.191'!$G$3)/4)*(AB156-AA156-2)),('DPI art.191'!$G$3-(('DPI art.191'!$G$3-'DPI art.191'!$H$3)/8)*(AB156-AA156-2))))</f>
        <v/>
      </c>
      <c r="BH156" s="24">
        <f>AA156-BG156</f>
        <v/>
      </c>
      <c r="BI156" s="24">
        <f>IF(Z156&lt;135,Z156,Z156-'DPI art.191'!$I$3)</f>
        <v/>
      </c>
      <c r="BJ156" s="111">
        <f>IF(U156&lt;80,"0",IF((V156-U156)&lt;=2,('DPI art.191'!$G$7-(('DPI art.191'!$F$7-'DPI art.191'!$G$7)/4)*(U156-V156-2)),('DPI art.191'!$G$7-(('DPI art.191'!$G$7-'DPI art.191'!$H$7)/8)*(V156-U156-2))))</f>
        <v/>
      </c>
      <c r="BK156" s="24">
        <f>U156-BJ156</f>
        <v/>
      </c>
      <c r="BL156" s="24">
        <f>IF(T156&lt;135,T156,T156-'DPI art.191'!$I$7)</f>
        <v/>
      </c>
      <c r="BM156" s="111">
        <f>IF(AA156&lt;80,"0",IF((AB156-AA156)&lt;=2,('DPI art.191'!$G$5-(('DPI art.191'!$F$5-'DPI art.191'!$G$5)/4)*(AB156-AA156-2)),('DPI art.191'!$G$5-(('DPI art.191'!$G$5-'DPI art.191'!$H$5)/8)*(AB156-AA156-2))))</f>
        <v/>
      </c>
      <c r="BN156" s="24">
        <f>AD156-BM156</f>
        <v/>
      </c>
      <c r="BO156" s="24">
        <f>IF(Z156&lt;135,Z156,Z156-'DPI art.191'!$I$5)</f>
        <v/>
      </c>
      <c r="BP156" s="108">
        <f>10^(0.1*R156)</f>
        <v/>
      </c>
      <c r="BQ156" s="108">
        <f>10^(0.1*X156)</f>
        <v/>
      </c>
      <c r="BR156" s="108">
        <f>10^(0.1*AB156)</f>
        <v/>
      </c>
      <c r="BS156" s="108">
        <f>10^(0.1*AF156)</f>
        <v/>
      </c>
      <c r="BT156" s="108">
        <f>10^(0.1*AJ156)</f>
        <v/>
      </c>
      <c r="BU156" s="108">
        <f>10^(0.1*AN156)</f>
        <v/>
      </c>
      <c r="BV156" s="106">
        <f>IF(R156&gt;0,(O156-R156),"")</f>
        <v/>
      </c>
      <c r="BW156" s="106">
        <f>IF(X156&gt;0,(O156-X156),"")</f>
        <v/>
      </c>
      <c r="BX156" s="106">
        <f>IF(AB156&gt;0,(O156-AB156),"")</f>
        <v/>
      </c>
      <c r="BY156" s="106">
        <f>IF(AF156&gt;0,(O156-AF156),"")</f>
        <v/>
      </c>
      <c r="BZ156" s="106">
        <f>IF(AJ156&gt;0,(O156-AJ156),"")</f>
        <v/>
      </c>
      <c r="CA156" s="106">
        <f>IF(AN156&gt;0,(O156-AN156),"")</f>
        <v/>
      </c>
      <c r="CB156" s="106">
        <f>COUNT(BV156:CA156)</f>
        <v/>
      </c>
      <c r="CC156" s="464">
        <f>IF(CB156=0,0,IF(CB156=1,0,1/(CB156*(CB156-1))))</f>
        <v/>
      </c>
      <c r="CD156" s="136">
        <f>IF(R156&gt;0,(BV156^2),"")</f>
        <v/>
      </c>
      <c r="CE156" s="136">
        <f>IF(X156&gt;0,(BW156^2),"")</f>
        <v/>
      </c>
      <c r="CF156" s="136">
        <f>IF(AB156&gt;0,(BX156^2),"")</f>
        <v/>
      </c>
      <c r="CG156" s="136">
        <f>IF(AF156&gt;0,(BY156^2),"")</f>
        <v/>
      </c>
      <c r="CH156" s="136">
        <f>IF(AJ156&gt;0,(BZ156^2),"")</f>
        <v/>
      </c>
      <c r="CI156" s="136">
        <f>IF(AN156&gt;0,(CA156^2),"")</f>
        <v/>
      </c>
    </row>
    <row r="157" ht="18.75" customHeight="1" s="444">
      <c r="A157" s="340" t="inlineStr">
        <is>
          <t>/</t>
        </is>
      </c>
      <c r="B157" s="65">
        <f>B156+1</f>
        <v/>
      </c>
      <c r="C157" s="78" t="n"/>
      <c r="D157" s="83" t="n"/>
      <c r="E157" s="83" t="n"/>
      <c r="F157" s="329" t="n"/>
      <c r="G157" s="71" t="n">
        <v>40725</v>
      </c>
      <c r="H157" s="77" t="inlineStr">
        <is>
          <t>Compito</t>
        </is>
      </c>
      <c r="I157" s="77">
        <f>IF((V157-R157)&gt;3,"SI","")</f>
        <v/>
      </c>
      <c r="J157" s="77">
        <f>IF((U157-R157)&gt;3,"SI","")</f>
        <v/>
      </c>
      <c r="K157" s="77" t="n"/>
      <c r="L157" s="77" t="n"/>
      <c r="M157" s="137">
        <f>IF(R157&gt;0,(SQRT(CC157*(SUM(CD157:CI157)))),"")</f>
        <v/>
      </c>
      <c r="N157" s="4">
        <f>IF(T157&gt;0,(MAX(T157,Z157,AD157,AH157,AL157,AP157))+SQRT(1.2^2+1^2),"")</f>
        <v/>
      </c>
      <c r="O157" s="3">
        <f>IF(R157="",0,10*LOG10(SUM(BP157:BU157)/(COUNT(R157,X157,AB157,AF157,AJ157,AN157))))</f>
        <v/>
      </c>
      <c r="P157" s="5">
        <f>IF(AND(Y157="",AC157="",AG157="",AK157="",AO157=""),S157,AVERAGE(S157,Y157,AC157,AG157,AK157,AO157)+STDEV(S157,Y157,AC157,AG157,AK157,AO157))</f>
        <v/>
      </c>
      <c r="Q157" s="14" t="n"/>
      <c r="R157" s="11" t="n"/>
      <c r="S157" s="12" t="n"/>
      <c r="T157" s="13" t="n"/>
      <c r="U157" s="79" t="n"/>
      <c r="V157" s="79" t="n"/>
      <c r="W157" s="10" t="n"/>
      <c r="X157" s="11" t="n"/>
      <c r="Y157" s="12" t="n"/>
      <c r="Z157" s="13" t="n"/>
      <c r="AA157" s="10" t="n"/>
      <c r="AB157" s="11" t="n"/>
      <c r="AC157" s="12" t="n"/>
      <c r="AD157" s="13" t="n"/>
      <c r="AE157" s="14" t="n"/>
      <c r="AF157" s="11" t="n"/>
      <c r="AG157" s="12" t="n"/>
      <c r="AH157" s="13" t="n"/>
      <c r="AI157" s="10" t="n"/>
      <c r="AJ157" s="11" t="n"/>
      <c r="AK157" s="12" t="n"/>
      <c r="AL157" s="13" t="n"/>
      <c r="AM157" s="10" t="n"/>
      <c r="AN157" s="11" t="n"/>
      <c r="AO157" s="12" t="n"/>
      <c r="AP157" s="13" t="n"/>
      <c r="AQ157" s="6">
        <f>IF(AND((O157)&lt;85,N157&lt;137),"NO","SI")</f>
        <v/>
      </c>
      <c r="AR157" s="7">
        <f>IF((480*(10^(7.95-(O157/10))))&lt;480,480*(10^(7.95-(O157/10))),480)</f>
        <v/>
      </c>
      <c r="AS157" s="8">
        <f>IF((480*(10^(8.45-(O157/10))))&lt;480,480*(10^(8.45-(O157/10))),480)</f>
        <v/>
      </c>
      <c r="AT157" s="9">
        <f>IF((480*(10^(8.65-(O157/10))))&lt;480,480*(10^(8.65-(O157/10))),480)</f>
        <v/>
      </c>
      <c r="AU157" s="111">
        <f>IF(O157&lt;80,"0",IF((P157-O157)&lt;=2,('DPI art.191'!$G$3-(('DPI art.191'!$F$3-'DPI art.191'!$G$3)/4)*(P157-O157-2)),('DPI art.191'!$G$3-(('DPI art.191'!$G$3-'DPI art.191'!$H$3)/8)*(P157-O157-2))))</f>
        <v/>
      </c>
      <c r="AV157" s="24">
        <f>O157-AU157</f>
        <v/>
      </c>
      <c r="AW157" s="24">
        <f>IF(N157&lt;135,N157,N157-'DPI art.191'!$I$3)</f>
        <v/>
      </c>
      <c r="AX157" s="111">
        <f>IF(I157&lt;80,"0",IF((J157-I157)&lt;=2,('DPI art.191'!$G$7-(('DPI art.191'!$F$7-'DPI art.191'!$G$7)/4)*(I157-J157-2)),('DPI art.191'!$G$7-(('DPI art.191'!$G$7-'DPI art.191'!$H$7)/8)*(J157-I157-2))))</f>
        <v/>
      </c>
      <c r="AY157" s="24">
        <f>I157-AX157</f>
        <v/>
      </c>
      <c r="AZ157" s="24">
        <f>IF(H157&lt;135,H157,H157-'DPI art.191'!$I$7)</f>
        <v/>
      </c>
      <c r="BA157" s="111">
        <f>IF(O157&lt;80,"0",IF((P157-O157)&lt;=2,('DPI art.191'!$G$5-(('DPI art.191'!$F$5-'DPI art.191'!$G$5)/4)*(P157-O157-2)),('DPI art.191'!$G$5-(('DPI art.191'!$G$5-'DPI art.191'!$H$5)/8)*(P157-O157-2))))</f>
        <v/>
      </c>
      <c r="BB157" s="24">
        <f>R157-BA157</f>
        <v/>
      </c>
      <c r="BC157" s="24">
        <f>IF(N157&lt;135,N157,N157-'DPI art.191'!$I$5)</f>
        <v/>
      </c>
      <c r="BD157" s="111">
        <f>IF(O157&lt;80,"0",IF((P157-O157)&lt;=2,('DPI art.191'!$G$7-(('DPI art.191'!$F$7-'DPI art.191'!$G$7)/4)*(O157-P157-2)),('DPI art.191'!$G$7-(('DPI art.191'!$G$7-'DPI art.191'!$H$7)/8)*(P157-O157-2))))</f>
        <v/>
      </c>
      <c r="BE157" s="24">
        <f>O157-BD157</f>
        <v/>
      </c>
      <c r="BF157" s="24">
        <f>IF(N157&lt;135,N157,N157-'DPI art.191'!$I$7)</f>
        <v/>
      </c>
      <c r="BG157" s="111">
        <f>IF(AA157&lt;80,"0",IF((AB157-AA157)&lt;=2,('DPI art.191'!$G$3-(('DPI art.191'!$F$3-'DPI art.191'!$G$3)/4)*(AB157-AA157-2)),('DPI art.191'!$G$3-(('DPI art.191'!$G$3-'DPI art.191'!$H$3)/8)*(AB157-AA157-2))))</f>
        <v/>
      </c>
      <c r="BH157" s="24">
        <f>AA157-BG157</f>
        <v/>
      </c>
      <c r="BI157" s="24">
        <f>IF(Z157&lt;135,Z157,Z157-'DPI art.191'!$I$3)</f>
        <v/>
      </c>
      <c r="BJ157" s="111">
        <f>IF(U157&lt;80,"0",IF((V157-U157)&lt;=2,('DPI art.191'!$G$7-(('DPI art.191'!$F$7-'DPI art.191'!$G$7)/4)*(U157-V157-2)),('DPI art.191'!$G$7-(('DPI art.191'!$G$7-'DPI art.191'!$H$7)/8)*(V157-U157-2))))</f>
        <v/>
      </c>
      <c r="BK157" s="24">
        <f>U157-BJ157</f>
        <v/>
      </c>
      <c r="BL157" s="24">
        <f>IF(T157&lt;135,T157,T157-'DPI art.191'!$I$7)</f>
        <v/>
      </c>
      <c r="BM157" s="111">
        <f>IF(AA157&lt;80,"0",IF((AB157-AA157)&lt;=2,('DPI art.191'!$G$5-(('DPI art.191'!$F$5-'DPI art.191'!$G$5)/4)*(AB157-AA157-2)),('DPI art.191'!$G$5-(('DPI art.191'!$G$5-'DPI art.191'!$H$5)/8)*(AB157-AA157-2))))</f>
        <v/>
      </c>
      <c r="BN157" s="24">
        <f>AD157-BM157</f>
        <v/>
      </c>
      <c r="BO157" s="24">
        <f>IF(Z157&lt;135,Z157,Z157-'DPI art.191'!$I$5)</f>
        <v/>
      </c>
      <c r="BP157" s="108">
        <f>10^(0.1*R157)</f>
        <v/>
      </c>
      <c r="BQ157" s="108">
        <f>10^(0.1*X157)</f>
        <v/>
      </c>
      <c r="BR157" s="108">
        <f>10^(0.1*AB157)</f>
        <v/>
      </c>
      <c r="BS157" s="108">
        <f>10^(0.1*AF157)</f>
        <v/>
      </c>
      <c r="BT157" s="108">
        <f>10^(0.1*AJ157)</f>
        <v/>
      </c>
      <c r="BU157" s="108">
        <f>10^(0.1*AN157)</f>
        <v/>
      </c>
      <c r="BV157" s="106">
        <f>IF(R157&gt;0,(O157-R157),"")</f>
        <v/>
      </c>
      <c r="BW157" s="106">
        <f>IF(X157&gt;0,(O157-X157),"")</f>
        <v/>
      </c>
      <c r="BX157" s="106">
        <f>IF(AB157&gt;0,(O157-AB157),"")</f>
        <v/>
      </c>
      <c r="BY157" s="106">
        <f>IF(AF157&gt;0,(O157-AF157),"")</f>
        <v/>
      </c>
      <c r="BZ157" s="106">
        <f>IF(AJ157&gt;0,(O157-AJ157),"")</f>
        <v/>
      </c>
      <c r="CA157" s="106">
        <f>IF(AN157&gt;0,(O157-AN157),"")</f>
        <v/>
      </c>
      <c r="CB157" s="106">
        <f>COUNT(BV157:CA157)</f>
        <v/>
      </c>
      <c r="CC157" s="464">
        <f>IF(CB157=0,0,IF(CB157=1,0,1/(CB157*(CB157-1))))</f>
        <v/>
      </c>
      <c r="CD157" s="136">
        <f>IF(R157&gt;0,(BV157^2),"")</f>
        <v/>
      </c>
      <c r="CE157" s="136">
        <f>IF(X157&gt;0,(BW157^2),"")</f>
        <v/>
      </c>
      <c r="CF157" s="136">
        <f>IF(AB157&gt;0,(BX157^2),"")</f>
        <v/>
      </c>
      <c r="CG157" s="136">
        <f>IF(AF157&gt;0,(BY157^2),"")</f>
        <v/>
      </c>
      <c r="CH157" s="136">
        <f>IF(AJ157&gt;0,(BZ157^2),"")</f>
        <v/>
      </c>
      <c r="CI157" s="136">
        <f>IF(AN157&gt;0,(CA157^2),"")</f>
        <v/>
      </c>
    </row>
    <row r="158" ht="18.75" customHeight="1" s="444">
      <c r="A158" s="340" t="inlineStr">
        <is>
          <t>/</t>
        </is>
      </c>
      <c r="B158" s="65">
        <f>B157+1</f>
        <v/>
      </c>
      <c r="C158" s="78" t="n"/>
      <c r="D158" s="83" t="n"/>
      <c r="E158" s="83" t="n"/>
      <c r="F158" s="329" t="n"/>
      <c r="G158" s="71" t="n">
        <v>40725</v>
      </c>
      <c r="H158" s="77" t="inlineStr">
        <is>
          <t>Compito</t>
        </is>
      </c>
      <c r="I158" s="77">
        <f>IF((V158-R158)&gt;3,"SI","")</f>
        <v/>
      </c>
      <c r="J158" s="77">
        <f>IF((U158-R158)&gt;3,"SI","")</f>
        <v/>
      </c>
      <c r="K158" s="77" t="n"/>
      <c r="L158" s="77" t="n"/>
      <c r="M158" s="137">
        <f>IF(R158&gt;0,(SQRT(CC158*(SUM(CD158:CI158)))),"")</f>
        <v/>
      </c>
      <c r="N158" s="4">
        <f>IF(T158&gt;0,(MAX(T158,Z158,AD158,AH158,AL158,AP158))+SQRT(1.2^2+1^2),"")</f>
        <v/>
      </c>
      <c r="O158" s="3">
        <f>IF(R158="",0,10*LOG10(SUM(BP158:BU158)/(COUNT(R158,X158,AB158,AF158,AJ158,AN158))))</f>
        <v/>
      </c>
      <c r="P158" s="5">
        <f>IF(AND(Y158="",AC158="",AG158="",AK158="",AO158=""),S158,AVERAGE(S158,Y158,AC158,AG158,AK158,AO158)+STDEV(S158,Y158,AC158,AG158,AK158,AO158))</f>
        <v/>
      </c>
      <c r="Q158" s="14" t="n"/>
      <c r="R158" s="11" t="n"/>
      <c r="S158" s="12" t="n"/>
      <c r="T158" s="13" t="n"/>
      <c r="U158" s="79" t="n"/>
      <c r="V158" s="79" t="n"/>
      <c r="W158" s="10" t="n"/>
      <c r="X158" s="11" t="n"/>
      <c r="Y158" s="12" t="n"/>
      <c r="Z158" s="13" t="n"/>
      <c r="AA158" s="10" t="n"/>
      <c r="AB158" s="11" t="n"/>
      <c r="AC158" s="12" t="n"/>
      <c r="AD158" s="13" t="n"/>
      <c r="AE158" s="14" t="n"/>
      <c r="AF158" s="11" t="n"/>
      <c r="AG158" s="12" t="n"/>
      <c r="AH158" s="13" t="n"/>
      <c r="AI158" s="10" t="n"/>
      <c r="AJ158" s="11" t="n"/>
      <c r="AK158" s="12" t="n"/>
      <c r="AL158" s="13" t="n"/>
      <c r="AM158" s="10" t="n"/>
      <c r="AN158" s="11" t="n"/>
      <c r="AO158" s="12" t="n"/>
      <c r="AP158" s="13" t="n"/>
      <c r="AQ158" s="6">
        <f>IF(AND((O158)&lt;85,N158&lt;137),"NO","SI")</f>
        <v/>
      </c>
      <c r="AR158" s="7">
        <f>IF((480*(10^(7.95-(O158/10))))&lt;480,480*(10^(7.95-(O158/10))),480)</f>
        <v/>
      </c>
      <c r="AS158" s="8">
        <f>IF((480*(10^(8.45-(O158/10))))&lt;480,480*(10^(8.45-(O158/10))),480)</f>
        <v/>
      </c>
      <c r="AT158" s="9">
        <f>IF((480*(10^(8.65-(O158/10))))&lt;480,480*(10^(8.65-(O158/10))),480)</f>
        <v/>
      </c>
      <c r="AU158" s="111">
        <f>IF(O158&lt;80,"0",IF((P158-O158)&lt;=2,('DPI art.191'!$G$3-(('DPI art.191'!$F$3-'DPI art.191'!$G$3)/4)*(P158-O158-2)),('DPI art.191'!$G$3-(('DPI art.191'!$G$3-'DPI art.191'!$H$3)/8)*(P158-O158-2))))</f>
        <v/>
      </c>
      <c r="AV158" s="24">
        <f>O158-AU158</f>
        <v/>
      </c>
      <c r="AW158" s="24">
        <f>IF(N158&lt;135,N158,N158-'DPI art.191'!$I$3)</f>
        <v/>
      </c>
      <c r="AX158" s="111">
        <f>IF(I158&lt;80,"0",IF((J158-I158)&lt;=2,('DPI art.191'!$G$7-(('DPI art.191'!$F$7-'DPI art.191'!$G$7)/4)*(I158-J158-2)),('DPI art.191'!$G$7-(('DPI art.191'!$G$7-'DPI art.191'!$H$7)/8)*(J158-I158-2))))</f>
        <v/>
      </c>
      <c r="AY158" s="24">
        <f>I158-AX158</f>
        <v/>
      </c>
      <c r="AZ158" s="24">
        <f>IF(H158&lt;135,H158,H158-'DPI art.191'!$I$7)</f>
        <v/>
      </c>
      <c r="BA158" s="111">
        <f>IF(O158&lt;80,"0",IF((P158-O158)&lt;=2,('DPI art.191'!$G$5-(('DPI art.191'!$F$5-'DPI art.191'!$G$5)/4)*(P158-O158-2)),('DPI art.191'!$G$5-(('DPI art.191'!$G$5-'DPI art.191'!$H$5)/8)*(P158-O158-2))))</f>
        <v/>
      </c>
      <c r="BB158" s="24">
        <f>R158-BA158</f>
        <v/>
      </c>
      <c r="BC158" s="24">
        <f>IF(N158&lt;135,N158,N158-'DPI art.191'!$I$5)</f>
        <v/>
      </c>
      <c r="BD158" s="111">
        <f>IF(O158&lt;80,"0",IF((P158-O158)&lt;=2,('DPI art.191'!$G$7-(('DPI art.191'!$F$7-'DPI art.191'!$G$7)/4)*(O158-P158-2)),('DPI art.191'!$G$7-(('DPI art.191'!$G$7-'DPI art.191'!$H$7)/8)*(P158-O158-2))))</f>
        <v/>
      </c>
      <c r="BE158" s="24">
        <f>O158-BD158</f>
        <v/>
      </c>
      <c r="BF158" s="24">
        <f>IF(N158&lt;135,N158,N158-'DPI art.191'!$I$7)</f>
        <v/>
      </c>
      <c r="BG158" s="111">
        <f>IF(AA158&lt;80,"0",IF((AB158-AA158)&lt;=2,('DPI art.191'!$G$3-(('DPI art.191'!$F$3-'DPI art.191'!$G$3)/4)*(AB158-AA158-2)),('DPI art.191'!$G$3-(('DPI art.191'!$G$3-'DPI art.191'!$H$3)/8)*(AB158-AA158-2))))</f>
        <v/>
      </c>
      <c r="BH158" s="24">
        <f>AA158-BG158</f>
        <v/>
      </c>
      <c r="BI158" s="24">
        <f>IF(Z158&lt;135,Z158,Z158-'DPI art.191'!$I$3)</f>
        <v/>
      </c>
      <c r="BJ158" s="111">
        <f>IF(U158&lt;80,"0",IF((V158-U158)&lt;=2,('DPI art.191'!$G$7-(('DPI art.191'!$F$7-'DPI art.191'!$G$7)/4)*(U158-V158-2)),('DPI art.191'!$G$7-(('DPI art.191'!$G$7-'DPI art.191'!$H$7)/8)*(V158-U158-2))))</f>
        <v/>
      </c>
      <c r="BK158" s="24">
        <f>U158-BJ158</f>
        <v/>
      </c>
      <c r="BL158" s="24">
        <f>IF(T158&lt;135,T158,T158-'DPI art.191'!$I$7)</f>
        <v/>
      </c>
      <c r="BM158" s="111">
        <f>IF(AA158&lt;80,"0",IF((AB158-AA158)&lt;=2,('DPI art.191'!$G$5-(('DPI art.191'!$F$5-'DPI art.191'!$G$5)/4)*(AB158-AA158-2)),('DPI art.191'!$G$5-(('DPI art.191'!$G$5-'DPI art.191'!$H$5)/8)*(AB158-AA158-2))))</f>
        <v/>
      </c>
      <c r="BN158" s="24">
        <f>AD158-BM158</f>
        <v/>
      </c>
      <c r="BO158" s="24">
        <f>IF(Z158&lt;135,Z158,Z158-'DPI art.191'!$I$5)</f>
        <v/>
      </c>
      <c r="BP158" s="108">
        <f>10^(0.1*R158)</f>
        <v/>
      </c>
      <c r="BQ158" s="108">
        <f>10^(0.1*X158)</f>
        <v/>
      </c>
      <c r="BR158" s="108">
        <f>10^(0.1*AB158)</f>
        <v/>
      </c>
      <c r="BS158" s="108">
        <f>10^(0.1*AF158)</f>
        <v/>
      </c>
      <c r="BT158" s="108">
        <f>10^(0.1*AJ158)</f>
        <v/>
      </c>
      <c r="BU158" s="108">
        <f>10^(0.1*AN158)</f>
        <v/>
      </c>
      <c r="BV158" s="106">
        <f>IF(R158&gt;0,(O158-R158),"")</f>
        <v/>
      </c>
      <c r="BW158" s="106">
        <f>IF(X158&gt;0,(O158-X158),"")</f>
        <v/>
      </c>
      <c r="BX158" s="106">
        <f>IF(AB158&gt;0,(O158-AB158),"")</f>
        <v/>
      </c>
      <c r="BY158" s="106">
        <f>IF(AF158&gt;0,(O158-AF158),"")</f>
        <v/>
      </c>
      <c r="BZ158" s="106">
        <f>IF(AJ158&gt;0,(O158-AJ158),"")</f>
        <v/>
      </c>
      <c r="CA158" s="106">
        <f>IF(AN158&gt;0,(O158-AN158),"")</f>
        <v/>
      </c>
      <c r="CB158" s="106">
        <f>COUNT(BV158:CA158)</f>
        <v/>
      </c>
      <c r="CC158" s="464">
        <f>IF(CB158=0,0,IF(CB158=1,0,1/(CB158*(CB158-1))))</f>
        <v/>
      </c>
      <c r="CD158" s="136">
        <f>IF(R158&gt;0,(BV158^2),"")</f>
        <v/>
      </c>
      <c r="CE158" s="136">
        <f>IF(X158&gt;0,(BW158^2),"")</f>
        <v/>
      </c>
      <c r="CF158" s="136">
        <f>IF(AB158&gt;0,(BX158^2),"")</f>
        <v/>
      </c>
      <c r="CG158" s="136">
        <f>IF(AF158&gt;0,(BY158^2),"")</f>
        <v/>
      </c>
      <c r="CH158" s="136">
        <f>IF(AJ158&gt;0,(BZ158^2),"")</f>
        <v/>
      </c>
      <c r="CI158" s="136">
        <f>IF(AN158&gt;0,(CA158^2),"")</f>
        <v/>
      </c>
    </row>
    <row r="159" ht="18.75" customHeight="1" s="444">
      <c r="A159" s="340" t="inlineStr">
        <is>
          <t>/</t>
        </is>
      </c>
      <c r="B159" s="65">
        <f>B158+1</f>
        <v/>
      </c>
      <c r="C159" s="78" t="n"/>
      <c r="D159" s="83" t="n"/>
      <c r="E159" s="83" t="n"/>
      <c r="F159" s="329" t="n"/>
      <c r="G159" s="71" t="n">
        <v>40725</v>
      </c>
      <c r="H159" s="77" t="inlineStr">
        <is>
          <t>Compito</t>
        </is>
      </c>
      <c r="I159" s="77">
        <f>IF((V159-R159)&gt;3,"SI","")</f>
        <v/>
      </c>
      <c r="J159" s="77">
        <f>IF((U159-R159)&gt;3,"SI","")</f>
        <v/>
      </c>
      <c r="K159" s="77" t="n"/>
      <c r="L159" s="77" t="n"/>
      <c r="M159" s="137">
        <f>IF(R159&gt;0,(SQRT(CC159*(SUM(CD159:CI159)))),"")</f>
        <v/>
      </c>
      <c r="N159" s="4">
        <f>IF(T159&gt;0,(MAX(T159,Z159,AD159,AH159,AL159,AP159))+SQRT(1.2^2+1^2),"")</f>
        <v/>
      </c>
      <c r="O159" s="3">
        <f>IF(R159="",0,10*LOG10(SUM(BP159:BU159)/(COUNT(R159,X159,AB159,AF159,AJ159,AN159))))</f>
        <v/>
      </c>
      <c r="P159" s="5">
        <f>IF(AND(Y159="",AC159="",AG159="",AK159="",AO159=""),S159,AVERAGE(S159,Y159,AC159,AG159,AK159,AO159)+STDEV(S159,Y159,AC159,AG159,AK159,AO159))</f>
        <v/>
      </c>
      <c r="Q159" s="14" t="n"/>
      <c r="R159" s="11" t="n"/>
      <c r="S159" s="12" t="n"/>
      <c r="T159" s="13" t="n"/>
      <c r="U159" s="79" t="n"/>
      <c r="V159" s="79" t="n"/>
      <c r="W159" s="10" t="n"/>
      <c r="X159" s="11" t="n"/>
      <c r="Y159" s="12" t="n"/>
      <c r="Z159" s="13" t="n"/>
      <c r="AA159" s="10" t="n"/>
      <c r="AB159" s="11" t="n"/>
      <c r="AC159" s="12" t="n"/>
      <c r="AD159" s="13" t="n"/>
      <c r="AE159" s="14" t="n"/>
      <c r="AF159" s="11" t="n"/>
      <c r="AG159" s="12" t="n"/>
      <c r="AH159" s="13" t="n"/>
      <c r="AI159" s="10" t="n"/>
      <c r="AJ159" s="11" t="n"/>
      <c r="AK159" s="12" t="n"/>
      <c r="AL159" s="13" t="n"/>
      <c r="AM159" s="10" t="n"/>
      <c r="AN159" s="11" t="n"/>
      <c r="AO159" s="12" t="n"/>
      <c r="AP159" s="13" t="n"/>
      <c r="AQ159" s="6">
        <f>IF(AND((O159)&lt;85,N159&lt;137),"NO","SI")</f>
        <v/>
      </c>
      <c r="AR159" s="7">
        <f>IF((480*(10^(7.95-(O159/10))))&lt;480,480*(10^(7.95-(O159/10))),480)</f>
        <v/>
      </c>
      <c r="AS159" s="8">
        <f>IF((480*(10^(8.45-(O159/10))))&lt;480,480*(10^(8.45-(O159/10))),480)</f>
        <v/>
      </c>
      <c r="AT159" s="9">
        <f>IF((480*(10^(8.65-(O159/10))))&lt;480,480*(10^(8.65-(O159/10))),480)</f>
        <v/>
      </c>
      <c r="AU159" s="111">
        <f>IF(O159&lt;80,"0",IF((P159-O159)&lt;=2,('DPI art.191'!$G$3-(('DPI art.191'!$F$3-'DPI art.191'!$G$3)/4)*(P159-O159-2)),('DPI art.191'!$G$3-(('DPI art.191'!$G$3-'DPI art.191'!$H$3)/8)*(P159-O159-2))))</f>
        <v/>
      </c>
      <c r="AV159" s="24">
        <f>O159-AU159</f>
        <v/>
      </c>
      <c r="AW159" s="24">
        <f>IF(N159&lt;135,N159,N159-'DPI art.191'!$I$3)</f>
        <v/>
      </c>
      <c r="AX159" s="111">
        <f>IF(I159&lt;80,"0",IF((J159-I159)&lt;=2,('DPI art.191'!$G$7-(('DPI art.191'!$F$7-'DPI art.191'!$G$7)/4)*(I159-J159-2)),('DPI art.191'!$G$7-(('DPI art.191'!$G$7-'DPI art.191'!$H$7)/8)*(J159-I159-2))))</f>
        <v/>
      </c>
      <c r="AY159" s="24">
        <f>I159-AX159</f>
        <v/>
      </c>
      <c r="AZ159" s="24">
        <f>IF(H159&lt;135,H159,H159-'DPI art.191'!$I$7)</f>
        <v/>
      </c>
      <c r="BA159" s="111">
        <f>IF(O159&lt;80,"0",IF((P159-O159)&lt;=2,('DPI art.191'!$G$5-(('DPI art.191'!$F$5-'DPI art.191'!$G$5)/4)*(P159-O159-2)),('DPI art.191'!$G$5-(('DPI art.191'!$G$5-'DPI art.191'!$H$5)/8)*(P159-O159-2))))</f>
        <v/>
      </c>
      <c r="BB159" s="24">
        <f>R159-BA159</f>
        <v/>
      </c>
      <c r="BC159" s="24">
        <f>IF(N159&lt;135,N159,N159-'DPI art.191'!$I$5)</f>
        <v/>
      </c>
      <c r="BD159" s="111">
        <f>IF(O159&lt;80,"0",IF((P159-O159)&lt;=2,('DPI art.191'!$G$7-(('DPI art.191'!$F$7-'DPI art.191'!$G$7)/4)*(O159-P159-2)),('DPI art.191'!$G$7-(('DPI art.191'!$G$7-'DPI art.191'!$H$7)/8)*(P159-O159-2))))</f>
        <v/>
      </c>
      <c r="BE159" s="24">
        <f>O159-BD159</f>
        <v/>
      </c>
      <c r="BF159" s="24">
        <f>IF(N159&lt;135,N159,N159-'DPI art.191'!$I$7)</f>
        <v/>
      </c>
      <c r="BG159" s="111">
        <f>IF(AA159&lt;80,"0",IF((AB159-AA159)&lt;=2,('DPI art.191'!$G$3-(('DPI art.191'!$F$3-'DPI art.191'!$G$3)/4)*(AB159-AA159-2)),('DPI art.191'!$G$3-(('DPI art.191'!$G$3-'DPI art.191'!$H$3)/8)*(AB159-AA159-2))))</f>
        <v/>
      </c>
      <c r="BH159" s="24">
        <f>AA159-BG159</f>
        <v/>
      </c>
      <c r="BI159" s="24">
        <f>IF(Z159&lt;135,Z159,Z159-'DPI art.191'!$I$3)</f>
        <v/>
      </c>
      <c r="BJ159" s="111">
        <f>IF(U159&lt;80,"0",IF((V159-U159)&lt;=2,('DPI art.191'!$G$7-(('DPI art.191'!$F$7-'DPI art.191'!$G$7)/4)*(U159-V159-2)),('DPI art.191'!$G$7-(('DPI art.191'!$G$7-'DPI art.191'!$H$7)/8)*(V159-U159-2))))</f>
        <v/>
      </c>
      <c r="BK159" s="24">
        <f>U159-BJ159</f>
        <v/>
      </c>
      <c r="BL159" s="24">
        <f>IF(T159&lt;135,T159,T159-'DPI art.191'!$I$7)</f>
        <v/>
      </c>
      <c r="BM159" s="111">
        <f>IF(AA159&lt;80,"0",IF((AB159-AA159)&lt;=2,('DPI art.191'!$G$5-(('DPI art.191'!$F$5-'DPI art.191'!$G$5)/4)*(AB159-AA159-2)),('DPI art.191'!$G$5-(('DPI art.191'!$G$5-'DPI art.191'!$H$5)/8)*(AB159-AA159-2))))</f>
        <v/>
      </c>
      <c r="BN159" s="24">
        <f>AD159-BM159</f>
        <v/>
      </c>
      <c r="BO159" s="24">
        <f>IF(Z159&lt;135,Z159,Z159-'DPI art.191'!$I$5)</f>
        <v/>
      </c>
      <c r="BP159" s="108">
        <f>10^(0.1*R159)</f>
        <v/>
      </c>
      <c r="BQ159" s="108">
        <f>10^(0.1*X159)</f>
        <v/>
      </c>
      <c r="BR159" s="108">
        <f>10^(0.1*AB159)</f>
        <v/>
      </c>
      <c r="BS159" s="108">
        <f>10^(0.1*AF159)</f>
        <v/>
      </c>
      <c r="BT159" s="108">
        <f>10^(0.1*AJ159)</f>
        <v/>
      </c>
      <c r="BU159" s="108">
        <f>10^(0.1*AN159)</f>
        <v/>
      </c>
      <c r="BV159" s="106">
        <f>IF(R159&gt;0,(O159-R159),"")</f>
        <v/>
      </c>
      <c r="BW159" s="106">
        <f>IF(X159&gt;0,(O159-X159),"")</f>
        <v/>
      </c>
      <c r="BX159" s="106">
        <f>IF(AB159&gt;0,(O159-AB159),"")</f>
        <v/>
      </c>
      <c r="BY159" s="106">
        <f>IF(AF159&gt;0,(O159-AF159),"")</f>
        <v/>
      </c>
      <c r="BZ159" s="106">
        <f>IF(AJ159&gt;0,(O159-AJ159),"")</f>
        <v/>
      </c>
      <c r="CA159" s="106">
        <f>IF(AN159&gt;0,(O159-AN159),"")</f>
        <v/>
      </c>
      <c r="CB159" s="106">
        <f>COUNT(BV159:CA159)</f>
        <v/>
      </c>
      <c r="CC159" s="464">
        <f>IF(CB159=0,0,IF(CB159=1,0,1/(CB159*(CB159-1))))</f>
        <v/>
      </c>
      <c r="CD159" s="136">
        <f>IF(R159&gt;0,(BV159^2),"")</f>
        <v/>
      </c>
      <c r="CE159" s="136">
        <f>IF(X159&gt;0,(BW159^2),"")</f>
        <v/>
      </c>
      <c r="CF159" s="136">
        <f>IF(AB159&gt;0,(BX159^2),"")</f>
        <v/>
      </c>
      <c r="CG159" s="136">
        <f>IF(AF159&gt;0,(BY159^2),"")</f>
        <v/>
      </c>
      <c r="CH159" s="136">
        <f>IF(AJ159&gt;0,(BZ159^2),"")</f>
        <v/>
      </c>
      <c r="CI159" s="136">
        <f>IF(AN159&gt;0,(CA159^2),"")</f>
        <v/>
      </c>
    </row>
    <row r="160" ht="18.75" customHeight="1" s="444">
      <c r="A160" s="340" t="inlineStr">
        <is>
          <t>/</t>
        </is>
      </c>
      <c r="B160" s="65">
        <f>B159+1</f>
        <v/>
      </c>
      <c r="C160" s="78" t="n"/>
      <c r="D160" s="83" t="n"/>
      <c r="E160" s="83" t="n"/>
      <c r="F160" s="329" t="n"/>
      <c r="G160" s="71" t="n">
        <v>40725</v>
      </c>
      <c r="H160" s="77" t="inlineStr">
        <is>
          <t>Compito</t>
        </is>
      </c>
      <c r="I160" s="77">
        <f>IF((V160-R160)&gt;3,"SI","")</f>
        <v/>
      </c>
      <c r="J160" s="77">
        <f>IF((U160-R160)&gt;3,"SI","")</f>
        <v/>
      </c>
      <c r="K160" s="77" t="n"/>
      <c r="L160" s="77" t="n"/>
      <c r="M160" s="137">
        <f>IF(R160&gt;0,(SQRT(CC160*(SUM(CD160:CI160)))),"")</f>
        <v/>
      </c>
      <c r="N160" s="4">
        <f>IF(T160&gt;0,(MAX(T160,Z160,AD160,AH160,AL160,AP160))+SQRT(1.2^2+1^2),"")</f>
        <v/>
      </c>
      <c r="O160" s="3">
        <f>IF(R160="",0,10*LOG10(SUM(BP160:BU160)/(COUNT(R160,X160,AB160,AF160,AJ160,AN160))))</f>
        <v/>
      </c>
      <c r="P160" s="5">
        <f>IF(AND(Y160="",AC160="",AG160="",AK160="",AO160=""),S160,AVERAGE(S160,Y160,AC160,AG160,AK160,AO160)+STDEV(S160,Y160,AC160,AG160,AK160,AO160))</f>
        <v/>
      </c>
      <c r="Q160" s="14" t="n"/>
      <c r="R160" s="11" t="n"/>
      <c r="S160" s="12" t="n"/>
      <c r="T160" s="13" t="n"/>
      <c r="U160" s="79" t="n"/>
      <c r="V160" s="79" t="n"/>
      <c r="W160" s="10" t="n"/>
      <c r="X160" s="11" t="n"/>
      <c r="Y160" s="12" t="n"/>
      <c r="Z160" s="13" t="n"/>
      <c r="AA160" s="10" t="n"/>
      <c r="AB160" s="11" t="n"/>
      <c r="AC160" s="12" t="n"/>
      <c r="AD160" s="13" t="n"/>
      <c r="AE160" s="14" t="n"/>
      <c r="AF160" s="11" t="n"/>
      <c r="AG160" s="12" t="n"/>
      <c r="AH160" s="13" t="n"/>
      <c r="AI160" s="10" t="n"/>
      <c r="AJ160" s="11" t="n"/>
      <c r="AK160" s="12" t="n"/>
      <c r="AL160" s="13" t="n"/>
      <c r="AM160" s="10" t="n"/>
      <c r="AN160" s="11" t="n"/>
      <c r="AO160" s="12" t="n"/>
      <c r="AP160" s="13" t="n"/>
      <c r="AQ160" s="6">
        <f>IF(AND((O160)&lt;85,N160&lt;137),"NO","SI")</f>
        <v/>
      </c>
      <c r="AR160" s="7">
        <f>IF((480*(10^(7.95-(O160/10))))&lt;480,480*(10^(7.95-(O160/10))),480)</f>
        <v/>
      </c>
      <c r="AS160" s="8">
        <f>IF((480*(10^(8.45-(O160/10))))&lt;480,480*(10^(8.45-(O160/10))),480)</f>
        <v/>
      </c>
      <c r="AT160" s="9">
        <f>IF((480*(10^(8.65-(O160/10))))&lt;480,480*(10^(8.65-(O160/10))),480)</f>
        <v/>
      </c>
      <c r="AU160" s="111">
        <f>IF(O160&lt;80,"0",IF((P160-O160)&lt;=2,('DPI art.191'!$G$3-(('DPI art.191'!$F$3-'DPI art.191'!$G$3)/4)*(P160-O160-2)),('DPI art.191'!$G$3-(('DPI art.191'!$G$3-'DPI art.191'!$H$3)/8)*(P160-O160-2))))</f>
        <v/>
      </c>
      <c r="AV160" s="24">
        <f>O160-AU160</f>
        <v/>
      </c>
      <c r="AW160" s="24">
        <f>IF(N160&lt;135,N160,N160-'DPI art.191'!$I$3)</f>
        <v/>
      </c>
      <c r="AX160" s="111">
        <f>IF(I160&lt;80,"0",IF((J160-I160)&lt;=2,('DPI art.191'!$G$7-(('DPI art.191'!$F$7-'DPI art.191'!$G$7)/4)*(I160-J160-2)),('DPI art.191'!$G$7-(('DPI art.191'!$G$7-'DPI art.191'!$H$7)/8)*(J160-I160-2))))</f>
        <v/>
      </c>
      <c r="AY160" s="24">
        <f>I160-AX160</f>
        <v/>
      </c>
      <c r="AZ160" s="24">
        <f>IF(H160&lt;135,H160,H160-'DPI art.191'!$I$7)</f>
        <v/>
      </c>
      <c r="BA160" s="111">
        <f>IF(O160&lt;80,"0",IF((P160-O160)&lt;=2,('DPI art.191'!$G$5-(('DPI art.191'!$F$5-'DPI art.191'!$G$5)/4)*(P160-O160-2)),('DPI art.191'!$G$5-(('DPI art.191'!$G$5-'DPI art.191'!$H$5)/8)*(P160-O160-2))))</f>
        <v/>
      </c>
      <c r="BB160" s="24">
        <f>R160-BA160</f>
        <v/>
      </c>
      <c r="BC160" s="24">
        <f>IF(N160&lt;135,N160,N160-'DPI art.191'!$I$5)</f>
        <v/>
      </c>
      <c r="BD160" s="111">
        <f>IF(O160&lt;80,"0",IF((P160-O160)&lt;=2,('DPI art.191'!$G$7-(('DPI art.191'!$F$7-'DPI art.191'!$G$7)/4)*(O160-P160-2)),('DPI art.191'!$G$7-(('DPI art.191'!$G$7-'DPI art.191'!$H$7)/8)*(P160-O160-2))))</f>
        <v/>
      </c>
      <c r="BE160" s="24">
        <f>O160-BD160</f>
        <v/>
      </c>
      <c r="BF160" s="24">
        <f>IF(N160&lt;135,N160,N160-'DPI art.191'!$I$7)</f>
        <v/>
      </c>
      <c r="BG160" s="111">
        <f>IF(AA160&lt;80,"0",IF((AB160-AA160)&lt;=2,('DPI art.191'!$G$3-(('DPI art.191'!$F$3-'DPI art.191'!$G$3)/4)*(AB160-AA160-2)),('DPI art.191'!$G$3-(('DPI art.191'!$G$3-'DPI art.191'!$H$3)/8)*(AB160-AA160-2))))</f>
        <v/>
      </c>
      <c r="BH160" s="24">
        <f>AA160-BG160</f>
        <v/>
      </c>
      <c r="BI160" s="24">
        <f>IF(Z160&lt;135,Z160,Z160-'DPI art.191'!$I$3)</f>
        <v/>
      </c>
      <c r="BJ160" s="111">
        <f>IF(U160&lt;80,"0",IF((V160-U160)&lt;=2,('DPI art.191'!$G$7-(('DPI art.191'!$F$7-'DPI art.191'!$G$7)/4)*(U160-V160-2)),('DPI art.191'!$G$7-(('DPI art.191'!$G$7-'DPI art.191'!$H$7)/8)*(V160-U160-2))))</f>
        <v/>
      </c>
      <c r="BK160" s="24">
        <f>U160-BJ160</f>
        <v/>
      </c>
      <c r="BL160" s="24">
        <f>IF(T160&lt;135,T160,T160-'DPI art.191'!$I$7)</f>
        <v/>
      </c>
      <c r="BM160" s="111">
        <f>IF(AA160&lt;80,"0",IF((AB160-AA160)&lt;=2,('DPI art.191'!$G$5-(('DPI art.191'!$F$5-'DPI art.191'!$G$5)/4)*(AB160-AA160-2)),('DPI art.191'!$G$5-(('DPI art.191'!$G$5-'DPI art.191'!$H$5)/8)*(AB160-AA160-2))))</f>
        <v/>
      </c>
      <c r="BN160" s="24">
        <f>AD160-BM160</f>
        <v/>
      </c>
      <c r="BO160" s="24">
        <f>IF(Z160&lt;135,Z160,Z160-'DPI art.191'!$I$5)</f>
        <v/>
      </c>
      <c r="BP160" s="108">
        <f>10^(0.1*R160)</f>
        <v/>
      </c>
      <c r="BQ160" s="108">
        <f>10^(0.1*X160)</f>
        <v/>
      </c>
      <c r="BR160" s="108">
        <f>10^(0.1*AB160)</f>
        <v/>
      </c>
      <c r="BS160" s="108">
        <f>10^(0.1*AF160)</f>
        <v/>
      </c>
      <c r="BT160" s="108">
        <f>10^(0.1*AJ160)</f>
        <v/>
      </c>
      <c r="BU160" s="108">
        <f>10^(0.1*AN160)</f>
        <v/>
      </c>
      <c r="BV160" s="106">
        <f>IF(R160&gt;0,(O160-R160),"")</f>
        <v/>
      </c>
      <c r="BW160" s="106">
        <f>IF(X160&gt;0,(O160-X160),"")</f>
        <v/>
      </c>
      <c r="BX160" s="106">
        <f>IF(AB160&gt;0,(O160-AB160),"")</f>
        <v/>
      </c>
      <c r="BY160" s="106">
        <f>IF(AF160&gt;0,(O160-AF160),"")</f>
        <v/>
      </c>
      <c r="BZ160" s="106">
        <f>IF(AJ160&gt;0,(O160-AJ160),"")</f>
        <v/>
      </c>
      <c r="CA160" s="106">
        <f>IF(AN160&gt;0,(O160-AN160),"")</f>
        <v/>
      </c>
      <c r="CB160" s="106">
        <f>COUNT(BV160:CA160)</f>
        <v/>
      </c>
      <c r="CC160" s="464">
        <f>IF(CB160=0,0,IF(CB160=1,0,1/(CB160*(CB160-1))))</f>
        <v/>
      </c>
      <c r="CD160" s="136">
        <f>IF(R160&gt;0,(BV160^2),"")</f>
        <v/>
      </c>
      <c r="CE160" s="136">
        <f>IF(X160&gt;0,(BW160^2),"")</f>
        <v/>
      </c>
      <c r="CF160" s="136">
        <f>IF(AB160&gt;0,(BX160^2),"")</f>
        <v/>
      </c>
      <c r="CG160" s="136">
        <f>IF(AF160&gt;0,(BY160^2),"")</f>
        <v/>
      </c>
      <c r="CH160" s="136">
        <f>IF(AJ160&gt;0,(BZ160^2),"")</f>
        <v/>
      </c>
      <c r="CI160" s="136">
        <f>IF(AN160&gt;0,(CA160^2),"")</f>
        <v/>
      </c>
    </row>
    <row r="161" ht="18.75" customHeight="1" s="444">
      <c r="A161" s="340" t="inlineStr">
        <is>
          <t>/</t>
        </is>
      </c>
      <c r="B161" s="65">
        <f>B160+1</f>
        <v/>
      </c>
      <c r="C161" s="78" t="n"/>
      <c r="D161" s="83" t="n"/>
      <c r="E161" s="83" t="n"/>
      <c r="F161" s="329" t="n"/>
      <c r="G161" s="71" t="n">
        <v>40725</v>
      </c>
      <c r="H161" s="77" t="inlineStr">
        <is>
          <t>Compito</t>
        </is>
      </c>
      <c r="I161" s="77">
        <f>IF((V161-R161)&gt;3,"SI","")</f>
        <v/>
      </c>
      <c r="J161" s="77">
        <f>IF((U161-R161)&gt;3,"SI","")</f>
        <v/>
      </c>
      <c r="K161" s="77" t="n"/>
      <c r="L161" s="77" t="n"/>
      <c r="M161" s="137">
        <f>IF(R161&gt;0,(SQRT(CC161*(SUM(CD161:CI161)))),"")</f>
        <v/>
      </c>
      <c r="N161" s="4">
        <f>IF(T161&gt;0,(MAX(T161,Z161,AD161,AH161,AL161,AP161))+SQRT(1.2^2+1^2),"")</f>
        <v/>
      </c>
      <c r="O161" s="3">
        <f>IF(R161="",0,10*LOG10(SUM(BP161:BU161)/(COUNT(R161,X161,AB161,AF161,AJ161,AN161))))</f>
        <v/>
      </c>
      <c r="P161" s="5">
        <f>IF(AND(Y161="",AC161="",AG161="",AK161="",AO161=""),S161,AVERAGE(S161,Y161,AC161,AG161,AK161,AO161)+STDEV(S161,Y161,AC161,AG161,AK161,AO161))</f>
        <v/>
      </c>
      <c r="Q161" s="14" t="n"/>
      <c r="R161" s="11" t="n"/>
      <c r="S161" s="12" t="n"/>
      <c r="T161" s="13" t="n"/>
      <c r="U161" s="79" t="n"/>
      <c r="V161" s="79" t="n"/>
      <c r="W161" s="10" t="n"/>
      <c r="X161" s="11" t="n"/>
      <c r="Y161" s="12" t="n"/>
      <c r="Z161" s="13" t="n"/>
      <c r="AA161" s="10" t="n"/>
      <c r="AB161" s="11" t="n"/>
      <c r="AC161" s="12" t="n"/>
      <c r="AD161" s="13" t="n"/>
      <c r="AE161" s="14" t="n"/>
      <c r="AF161" s="11" t="n"/>
      <c r="AG161" s="12" t="n"/>
      <c r="AH161" s="13" t="n"/>
      <c r="AI161" s="10" t="n"/>
      <c r="AJ161" s="11" t="n"/>
      <c r="AK161" s="12" t="n"/>
      <c r="AL161" s="13" t="n"/>
      <c r="AM161" s="10" t="n"/>
      <c r="AN161" s="11" t="n"/>
      <c r="AO161" s="12" t="n"/>
      <c r="AP161" s="13" t="n"/>
      <c r="AQ161" s="6">
        <f>IF(AND((O161)&lt;85,N161&lt;137),"NO","SI")</f>
        <v/>
      </c>
      <c r="AR161" s="7">
        <f>IF((480*(10^(7.95-(O161/10))))&lt;480,480*(10^(7.95-(O161/10))),480)</f>
        <v/>
      </c>
      <c r="AS161" s="8">
        <f>IF((480*(10^(8.45-(O161/10))))&lt;480,480*(10^(8.45-(O161/10))),480)</f>
        <v/>
      </c>
      <c r="AT161" s="9">
        <f>IF((480*(10^(8.65-(O161/10))))&lt;480,480*(10^(8.65-(O161/10))),480)</f>
        <v/>
      </c>
      <c r="AU161" s="111">
        <f>IF(O161&lt;80,"0",IF((P161-O161)&lt;=2,('DPI art.191'!$G$3-(('DPI art.191'!$F$3-'DPI art.191'!$G$3)/4)*(P161-O161-2)),('DPI art.191'!$G$3-(('DPI art.191'!$G$3-'DPI art.191'!$H$3)/8)*(P161-O161-2))))</f>
        <v/>
      </c>
      <c r="AV161" s="24">
        <f>O161-AU161</f>
        <v/>
      </c>
      <c r="AW161" s="24">
        <f>IF(N161&lt;135,N161,N161-'DPI art.191'!$I$3)</f>
        <v/>
      </c>
      <c r="AX161" s="111">
        <f>IF(I161&lt;80,"0",IF((J161-I161)&lt;=2,('DPI art.191'!$G$7-(('DPI art.191'!$F$7-'DPI art.191'!$G$7)/4)*(I161-J161-2)),('DPI art.191'!$G$7-(('DPI art.191'!$G$7-'DPI art.191'!$H$7)/8)*(J161-I161-2))))</f>
        <v/>
      </c>
      <c r="AY161" s="24">
        <f>I161-AX161</f>
        <v/>
      </c>
      <c r="AZ161" s="24">
        <f>IF(H161&lt;135,H161,H161-'DPI art.191'!$I$7)</f>
        <v/>
      </c>
      <c r="BA161" s="111">
        <f>IF(O161&lt;80,"0",IF((P161-O161)&lt;=2,('DPI art.191'!$G$5-(('DPI art.191'!$F$5-'DPI art.191'!$G$5)/4)*(P161-O161-2)),('DPI art.191'!$G$5-(('DPI art.191'!$G$5-'DPI art.191'!$H$5)/8)*(P161-O161-2))))</f>
        <v/>
      </c>
      <c r="BB161" s="24">
        <f>R161-BA161</f>
        <v/>
      </c>
      <c r="BC161" s="24">
        <f>IF(N161&lt;135,N161,N161-'DPI art.191'!$I$5)</f>
        <v/>
      </c>
      <c r="BD161" s="111">
        <f>IF(O161&lt;80,"0",IF((P161-O161)&lt;=2,('DPI art.191'!$G$7-(('DPI art.191'!$F$7-'DPI art.191'!$G$7)/4)*(O161-P161-2)),('DPI art.191'!$G$7-(('DPI art.191'!$G$7-'DPI art.191'!$H$7)/8)*(P161-O161-2))))</f>
        <v/>
      </c>
      <c r="BE161" s="24">
        <f>O161-BD161</f>
        <v/>
      </c>
      <c r="BF161" s="24">
        <f>IF(N161&lt;135,N161,N161-'DPI art.191'!$I$7)</f>
        <v/>
      </c>
      <c r="BG161" s="111">
        <f>IF(AA161&lt;80,"0",IF((AB161-AA161)&lt;=2,('DPI art.191'!$G$3-(('DPI art.191'!$F$3-'DPI art.191'!$G$3)/4)*(AB161-AA161-2)),('DPI art.191'!$G$3-(('DPI art.191'!$G$3-'DPI art.191'!$H$3)/8)*(AB161-AA161-2))))</f>
        <v/>
      </c>
      <c r="BH161" s="24">
        <f>AA161-BG161</f>
        <v/>
      </c>
      <c r="BI161" s="24">
        <f>IF(Z161&lt;135,Z161,Z161-'DPI art.191'!$I$3)</f>
        <v/>
      </c>
      <c r="BJ161" s="111">
        <f>IF(U161&lt;80,"0",IF((V161-U161)&lt;=2,('DPI art.191'!$G$7-(('DPI art.191'!$F$7-'DPI art.191'!$G$7)/4)*(U161-V161-2)),('DPI art.191'!$G$7-(('DPI art.191'!$G$7-'DPI art.191'!$H$7)/8)*(V161-U161-2))))</f>
        <v/>
      </c>
      <c r="BK161" s="24">
        <f>U161-BJ161</f>
        <v/>
      </c>
      <c r="BL161" s="24">
        <f>IF(T161&lt;135,T161,T161-'DPI art.191'!$I$7)</f>
        <v/>
      </c>
      <c r="BM161" s="111">
        <f>IF(AA161&lt;80,"0",IF((AB161-AA161)&lt;=2,('DPI art.191'!$G$5-(('DPI art.191'!$F$5-'DPI art.191'!$G$5)/4)*(AB161-AA161-2)),('DPI art.191'!$G$5-(('DPI art.191'!$G$5-'DPI art.191'!$H$5)/8)*(AB161-AA161-2))))</f>
        <v/>
      </c>
      <c r="BN161" s="24">
        <f>AD161-BM161</f>
        <v/>
      </c>
      <c r="BO161" s="24">
        <f>IF(Z161&lt;135,Z161,Z161-'DPI art.191'!$I$5)</f>
        <v/>
      </c>
      <c r="BP161" s="108">
        <f>10^(0.1*R161)</f>
        <v/>
      </c>
      <c r="BQ161" s="108">
        <f>10^(0.1*X161)</f>
        <v/>
      </c>
      <c r="BR161" s="108">
        <f>10^(0.1*AB161)</f>
        <v/>
      </c>
      <c r="BS161" s="108">
        <f>10^(0.1*AF161)</f>
        <v/>
      </c>
      <c r="BT161" s="108">
        <f>10^(0.1*AJ161)</f>
        <v/>
      </c>
      <c r="BU161" s="108">
        <f>10^(0.1*AN161)</f>
        <v/>
      </c>
      <c r="BV161" s="106">
        <f>IF(R161&gt;0,(O161-R161),"")</f>
        <v/>
      </c>
      <c r="BW161" s="106">
        <f>IF(X161&gt;0,(O161-X161),"")</f>
        <v/>
      </c>
      <c r="BX161" s="106">
        <f>IF(AB161&gt;0,(O161-AB161),"")</f>
        <v/>
      </c>
      <c r="BY161" s="106">
        <f>IF(AF161&gt;0,(O161-AF161),"")</f>
        <v/>
      </c>
      <c r="BZ161" s="106">
        <f>IF(AJ161&gt;0,(O161-AJ161),"")</f>
        <v/>
      </c>
      <c r="CA161" s="106">
        <f>IF(AN161&gt;0,(O161-AN161),"")</f>
        <v/>
      </c>
      <c r="CB161" s="106">
        <f>COUNT(BV161:CA161)</f>
        <v/>
      </c>
      <c r="CC161" s="464">
        <f>IF(CB161=0,0,IF(CB161=1,0,1/(CB161*(CB161-1))))</f>
        <v/>
      </c>
      <c r="CD161" s="136">
        <f>IF(R161&gt;0,(BV161^2),"")</f>
        <v/>
      </c>
      <c r="CE161" s="136">
        <f>IF(X161&gt;0,(BW161^2),"")</f>
        <v/>
      </c>
      <c r="CF161" s="136">
        <f>IF(AB161&gt;0,(BX161^2),"")</f>
        <v/>
      </c>
      <c r="CG161" s="136">
        <f>IF(AF161&gt;0,(BY161^2),"")</f>
        <v/>
      </c>
      <c r="CH161" s="136">
        <f>IF(AJ161&gt;0,(BZ161^2),"")</f>
        <v/>
      </c>
      <c r="CI161" s="136">
        <f>IF(AN161&gt;0,(CA161^2),"")</f>
        <v/>
      </c>
    </row>
    <row r="162" ht="18.75" customHeight="1" s="444">
      <c r="A162" s="340" t="inlineStr">
        <is>
          <t>/</t>
        </is>
      </c>
      <c r="B162" s="65">
        <f>B161+1</f>
        <v/>
      </c>
      <c r="C162" s="78" t="n"/>
      <c r="D162" s="83" t="n"/>
      <c r="E162" s="83" t="n"/>
      <c r="F162" s="329" t="n"/>
      <c r="G162" s="71" t="n">
        <v>40725</v>
      </c>
      <c r="H162" s="77" t="inlineStr">
        <is>
          <t>Compito</t>
        </is>
      </c>
      <c r="I162" s="77">
        <f>IF((V162-R162)&gt;3,"SI","")</f>
        <v/>
      </c>
      <c r="J162" s="77">
        <f>IF((U162-R162)&gt;3,"SI","")</f>
        <v/>
      </c>
      <c r="K162" s="77" t="n"/>
      <c r="L162" s="77" t="n"/>
      <c r="M162" s="137">
        <f>IF(R162&gt;0,(SQRT(CC162*(SUM(CD162:CI162)))),"")</f>
        <v/>
      </c>
      <c r="N162" s="4">
        <f>IF(T162&gt;0,(MAX(T162,Z162,AD162,AH162,AL162,AP162))+SQRT(1.2^2+1^2),"")</f>
        <v/>
      </c>
      <c r="O162" s="3">
        <f>IF(R162="",0,10*LOG10(SUM(BP162:BU162)/(COUNT(R162,X162,AB162,AF162,AJ162,AN162))))</f>
        <v/>
      </c>
      <c r="P162" s="5">
        <f>IF(AND(Y162="",AC162="",AG162="",AK162="",AO162=""),S162,AVERAGE(S162,Y162,AC162,AG162,AK162,AO162)+STDEV(S162,Y162,AC162,AG162,AK162,AO162))</f>
        <v/>
      </c>
      <c r="Q162" s="14" t="n"/>
      <c r="R162" s="11" t="n"/>
      <c r="S162" s="12" t="n"/>
      <c r="T162" s="13" t="n"/>
      <c r="U162" s="79" t="n"/>
      <c r="V162" s="79" t="n"/>
      <c r="W162" s="10" t="n"/>
      <c r="X162" s="11" t="n"/>
      <c r="Y162" s="12" t="n"/>
      <c r="Z162" s="13" t="n"/>
      <c r="AA162" s="10" t="n"/>
      <c r="AB162" s="11" t="n"/>
      <c r="AC162" s="12" t="n"/>
      <c r="AD162" s="13" t="n"/>
      <c r="AE162" s="14" t="n"/>
      <c r="AF162" s="11" t="n"/>
      <c r="AG162" s="12" t="n"/>
      <c r="AH162" s="13" t="n"/>
      <c r="AI162" s="10" t="n"/>
      <c r="AJ162" s="11" t="n"/>
      <c r="AK162" s="12" t="n"/>
      <c r="AL162" s="13" t="n"/>
      <c r="AM162" s="10" t="n"/>
      <c r="AN162" s="11" t="n"/>
      <c r="AO162" s="12" t="n"/>
      <c r="AP162" s="13" t="n"/>
      <c r="AQ162" s="6">
        <f>IF(AND((O162)&lt;85,N162&lt;137),"NO","SI")</f>
        <v/>
      </c>
      <c r="AR162" s="7">
        <f>IF((480*(10^(7.95-(O162/10))))&lt;480,480*(10^(7.95-(O162/10))),480)</f>
        <v/>
      </c>
      <c r="AS162" s="8">
        <f>IF((480*(10^(8.45-(O162/10))))&lt;480,480*(10^(8.45-(O162/10))),480)</f>
        <v/>
      </c>
      <c r="AT162" s="9">
        <f>IF((480*(10^(8.65-(O162/10))))&lt;480,480*(10^(8.65-(O162/10))),480)</f>
        <v/>
      </c>
      <c r="AU162" s="111">
        <f>IF(O162&lt;80,"0",IF((P162-O162)&lt;=2,('DPI art.191'!$G$3-(('DPI art.191'!$F$3-'DPI art.191'!$G$3)/4)*(P162-O162-2)),('DPI art.191'!$G$3-(('DPI art.191'!$G$3-'DPI art.191'!$H$3)/8)*(P162-O162-2))))</f>
        <v/>
      </c>
      <c r="AV162" s="24">
        <f>O162-AU162</f>
        <v/>
      </c>
      <c r="AW162" s="24">
        <f>IF(N162&lt;135,N162,N162-'DPI art.191'!$I$3)</f>
        <v/>
      </c>
      <c r="AX162" s="111">
        <f>IF(I162&lt;80,"0",IF((J162-I162)&lt;=2,('DPI art.191'!$G$7-(('DPI art.191'!$F$7-'DPI art.191'!$G$7)/4)*(I162-J162-2)),('DPI art.191'!$G$7-(('DPI art.191'!$G$7-'DPI art.191'!$H$7)/8)*(J162-I162-2))))</f>
        <v/>
      </c>
      <c r="AY162" s="24">
        <f>I162-AX162</f>
        <v/>
      </c>
      <c r="AZ162" s="24">
        <f>IF(H162&lt;135,H162,H162-'DPI art.191'!$I$7)</f>
        <v/>
      </c>
      <c r="BA162" s="111">
        <f>IF(O162&lt;80,"0",IF((P162-O162)&lt;=2,('DPI art.191'!$G$5-(('DPI art.191'!$F$5-'DPI art.191'!$G$5)/4)*(P162-O162-2)),('DPI art.191'!$G$5-(('DPI art.191'!$G$5-'DPI art.191'!$H$5)/8)*(P162-O162-2))))</f>
        <v/>
      </c>
      <c r="BB162" s="24">
        <f>R162-BA162</f>
        <v/>
      </c>
      <c r="BC162" s="24">
        <f>IF(N162&lt;135,N162,N162-'DPI art.191'!$I$5)</f>
        <v/>
      </c>
      <c r="BD162" s="111">
        <f>IF(O162&lt;80,"0",IF((P162-O162)&lt;=2,('DPI art.191'!$G$7-(('DPI art.191'!$F$7-'DPI art.191'!$G$7)/4)*(O162-P162-2)),('DPI art.191'!$G$7-(('DPI art.191'!$G$7-'DPI art.191'!$H$7)/8)*(P162-O162-2))))</f>
        <v/>
      </c>
      <c r="BE162" s="24">
        <f>O162-BD162</f>
        <v/>
      </c>
      <c r="BF162" s="24">
        <f>IF(N162&lt;135,N162,N162-'DPI art.191'!$I$7)</f>
        <v/>
      </c>
      <c r="BG162" s="111">
        <f>IF(AA162&lt;80,"0",IF((AB162-AA162)&lt;=2,('DPI art.191'!$G$3-(('DPI art.191'!$F$3-'DPI art.191'!$G$3)/4)*(AB162-AA162-2)),('DPI art.191'!$G$3-(('DPI art.191'!$G$3-'DPI art.191'!$H$3)/8)*(AB162-AA162-2))))</f>
        <v/>
      </c>
      <c r="BH162" s="24">
        <f>AA162-BG162</f>
        <v/>
      </c>
      <c r="BI162" s="24">
        <f>IF(Z162&lt;135,Z162,Z162-'DPI art.191'!$I$3)</f>
        <v/>
      </c>
      <c r="BJ162" s="111">
        <f>IF(U162&lt;80,"0",IF((V162-U162)&lt;=2,('DPI art.191'!$G$7-(('DPI art.191'!$F$7-'DPI art.191'!$G$7)/4)*(U162-V162-2)),('DPI art.191'!$G$7-(('DPI art.191'!$G$7-'DPI art.191'!$H$7)/8)*(V162-U162-2))))</f>
        <v/>
      </c>
      <c r="BK162" s="24">
        <f>U162-BJ162</f>
        <v/>
      </c>
      <c r="BL162" s="24">
        <f>IF(T162&lt;135,T162,T162-'DPI art.191'!$I$7)</f>
        <v/>
      </c>
      <c r="BM162" s="111">
        <f>IF(AA162&lt;80,"0",IF((AB162-AA162)&lt;=2,('DPI art.191'!$G$5-(('DPI art.191'!$F$5-'DPI art.191'!$G$5)/4)*(AB162-AA162-2)),('DPI art.191'!$G$5-(('DPI art.191'!$G$5-'DPI art.191'!$H$5)/8)*(AB162-AA162-2))))</f>
        <v/>
      </c>
      <c r="BN162" s="24">
        <f>AD162-BM162</f>
        <v/>
      </c>
      <c r="BO162" s="24">
        <f>IF(Z162&lt;135,Z162,Z162-'DPI art.191'!$I$5)</f>
        <v/>
      </c>
      <c r="BP162" s="108">
        <f>10^(0.1*R162)</f>
        <v/>
      </c>
      <c r="BQ162" s="108">
        <f>10^(0.1*X162)</f>
        <v/>
      </c>
      <c r="BR162" s="108">
        <f>10^(0.1*AB162)</f>
        <v/>
      </c>
      <c r="BS162" s="108">
        <f>10^(0.1*AF162)</f>
        <v/>
      </c>
      <c r="BT162" s="108">
        <f>10^(0.1*AJ162)</f>
        <v/>
      </c>
      <c r="BU162" s="108">
        <f>10^(0.1*AN162)</f>
        <v/>
      </c>
      <c r="BV162" s="106">
        <f>IF(R162&gt;0,(O162-R162),"")</f>
        <v/>
      </c>
      <c r="BW162" s="106">
        <f>IF(X162&gt;0,(O162-X162),"")</f>
        <v/>
      </c>
      <c r="BX162" s="106">
        <f>IF(AB162&gt;0,(O162-AB162),"")</f>
        <v/>
      </c>
      <c r="BY162" s="106">
        <f>IF(AF162&gt;0,(O162-AF162),"")</f>
        <v/>
      </c>
      <c r="BZ162" s="106">
        <f>IF(AJ162&gt;0,(O162-AJ162),"")</f>
        <v/>
      </c>
      <c r="CA162" s="106">
        <f>IF(AN162&gt;0,(O162-AN162),"")</f>
        <v/>
      </c>
      <c r="CB162" s="106">
        <f>COUNT(BV162:CA162)</f>
        <v/>
      </c>
      <c r="CC162" s="464">
        <f>IF(CB162=0,0,IF(CB162=1,0,1/(CB162*(CB162-1))))</f>
        <v/>
      </c>
      <c r="CD162" s="136">
        <f>IF(R162&gt;0,(BV162^2),"")</f>
        <v/>
      </c>
      <c r="CE162" s="136">
        <f>IF(X162&gt;0,(BW162^2),"")</f>
        <v/>
      </c>
      <c r="CF162" s="136">
        <f>IF(AB162&gt;0,(BX162^2),"")</f>
        <v/>
      </c>
      <c r="CG162" s="136">
        <f>IF(AF162&gt;0,(BY162^2),"")</f>
        <v/>
      </c>
      <c r="CH162" s="136">
        <f>IF(AJ162&gt;0,(BZ162^2),"")</f>
        <v/>
      </c>
      <c r="CI162" s="136">
        <f>IF(AN162&gt;0,(CA162^2),"")</f>
        <v/>
      </c>
    </row>
    <row r="163" ht="18.75" customHeight="1" s="444">
      <c r="A163" s="340" t="inlineStr">
        <is>
          <t>/</t>
        </is>
      </c>
      <c r="B163" s="65">
        <f>B162+1</f>
        <v/>
      </c>
      <c r="C163" s="78" t="n"/>
      <c r="D163" s="83" t="n"/>
      <c r="E163" s="83" t="n"/>
      <c r="F163" s="329" t="n"/>
      <c r="G163" s="71" t="n">
        <v>40725</v>
      </c>
      <c r="H163" s="77" t="inlineStr">
        <is>
          <t>Compito</t>
        </is>
      </c>
      <c r="I163" s="77">
        <f>IF((V163-R163)&gt;3,"SI","")</f>
        <v/>
      </c>
      <c r="J163" s="77">
        <f>IF((U163-R163)&gt;3,"SI","")</f>
        <v/>
      </c>
      <c r="K163" s="77" t="n"/>
      <c r="L163" s="77" t="n"/>
      <c r="M163" s="137">
        <f>IF(R163&gt;0,(SQRT(CC163*(SUM(CD163:CI163)))),"")</f>
        <v/>
      </c>
      <c r="N163" s="4">
        <f>IF(T163&gt;0,(MAX(T163,Z163,AD163,AH163,AL163,AP163))+SQRT(1.2^2+1^2),"")</f>
        <v/>
      </c>
      <c r="O163" s="3">
        <f>IF(R163="",0,10*LOG10(SUM(BP163:BU163)/(COUNT(R163,X163,AB163,AF163,AJ163,AN163))))</f>
        <v/>
      </c>
      <c r="P163" s="5">
        <f>IF(AND(Y163="",AC163="",AG163="",AK163="",AO163=""),S163,AVERAGE(S163,Y163,AC163,AG163,AK163,AO163)+STDEV(S163,Y163,AC163,AG163,AK163,AO163))</f>
        <v/>
      </c>
      <c r="Q163" s="14" t="n"/>
      <c r="R163" s="11" t="n"/>
      <c r="S163" s="12" t="n"/>
      <c r="T163" s="13" t="n"/>
      <c r="U163" s="79" t="n"/>
      <c r="V163" s="79" t="n"/>
      <c r="W163" s="10" t="n"/>
      <c r="X163" s="11" t="n"/>
      <c r="Y163" s="12" t="n"/>
      <c r="Z163" s="13" t="n"/>
      <c r="AA163" s="10" t="n"/>
      <c r="AB163" s="11" t="n"/>
      <c r="AC163" s="12" t="n"/>
      <c r="AD163" s="13" t="n"/>
      <c r="AE163" s="14" t="n"/>
      <c r="AF163" s="11" t="n"/>
      <c r="AG163" s="12" t="n"/>
      <c r="AH163" s="13" t="n"/>
      <c r="AI163" s="10" t="n"/>
      <c r="AJ163" s="11" t="n"/>
      <c r="AK163" s="12" t="n"/>
      <c r="AL163" s="13" t="n"/>
      <c r="AM163" s="10" t="n"/>
      <c r="AN163" s="11" t="n"/>
      <c r="AO163" s="12" t="n"/>
      <c r="AP163" s="13" t="n"/>
      <c r="AQ163" s="6">
        <f>IF(AND((O163)&lt;85,N163&lt;137),"NO","SI")</f>
        <v/>
      </c>
      <c r="AR163" s="7">
        <f>IF((480*(10^(7.95-(O163/10))))&lt;480,480*(10^(7.95-(O163/10))),480)</f>
        <v/>
      </c>
      <c r="AS163" s="8">
        <f>IF((480*(10^(8.45-(O163/10))))&lt;480,480*(10^(8.45-(O163/10))),480)</f>
        <v/>
      </c>
      <c r="AT163" s="9">
        <f>IF((480*(10^(8.65-(O163/10))))&lt;480,480*(10^(8.65-(O163/10))),480)</f>
        <v/>
      </c>
      <c r="AU163" s="111">
        <f>IF(O163&lt;80,"0",IF((P163-O163)&lt;=2,('DPI art.191'!$G$3-(('DPI art.191'!$F$3-'DPI art.191'!$G$3)/4)*(P163-O163-2)),('DPI art.191'!$G$3-(('DPI art.191'!$G$3-'DPI art.191'!$H$3)/8)*(P163-O163-2))))</f>
        <v/>
      </c>
      <c r="AV163" s="24">
        <f>O163-AU163</f>
        <v/>
      </c>
      <c r="AW163" s="24">
        <f>IF(N163&lt;135,N163,N163-'DPI art.191'!$I$3)</f>
        <v/>
      </c>
      <c r="AX163" s="111">
        <f>IF(I163&lt;80,"0",IF((J163-I163)&lt;=2,('DPI art.191'!$G$7-(('DPI art.191'!$F$7-'DPI art.191'!$G$7)/4)*(I163-J163-2)),('DPI art.191'!$G$7-(('DPI art.191'!$G$7-'DPI art.191'!$H$7)/8)*(J163-I163-2))))</f>
        <v/>
      </c>
      <c r="AY163" s="24">
        <f>I163-AX163</f>
        <v/>
      </c>
      <c r="AZ163" s="24">
        <f>IF(H163&lt;135,H163,H163-'DPI art.191'!$I$7)</f>
        <v/>
      </c>
      <c r="BA163" s="111">
        <f>IF(O163&lt;80,"0",IF((P163-O163)&lt;=2,('DPI art.191'!$G$5-(('DPI art.191'!$F$5-'DPI art.191'!$G$5)/4)*(P163-O163-2)),('DPI art.191'!$G$5-(('DPI art.191'!$G$5-'DPI art.191'!$H$5)/8)*(P163-O163-2))))</f>
        <v/>
      </c>
      <c r="BB163" s="24">
        <f>R163-BA163</f>
        <v/>
      </c>
      <c r="BC163" s="24">
        <f>IF(N163&lt;135,N163,N163-'DPI art.191'!$I$5)</f>
        <v/>
      </c>
      <c r="BD163" s="111">
        <f>IF(O163&lt;80,"0",IF((P163-O163)&lt;=2,('DPI art.191'!$G$7-(('DPI art.191'!$F$7-'DPI art.191'!$G$7)/4)*(O163-P163-2)),('DPI art.191'!$G$7-(('DPI art.191'!$G$7-'DPI art.191'!$H$7)/8)*(P163-O163-2))))</f>
        <v/>
      </c>
      <c r="BE163" s="24">
        <f>O163-BD163</f>
        <v/>
      </c>
      <c r="BF163" s="24">
        <f>IF(N163&lt;135,N163,N163-'DPI art.191'!$I$7)</f>
        <v/>
      </c>
      <c r="BG163" s="111">
        <f>IF(AA163&lt;80,"0",IF((AB163-AA163)&lt;=2,('DPI art.191'!$G$3-(('DPI art.191'!$F$3-'DPI art.191'!$G$3)/4)*(AB163-AA163-2)),('DPI art.191'!$G$3-(('DPI art.191'!$G$3-'DPI art.191'!$H$3)/8)*(AB163-AA163-2))))</f>
        <v/>
      </c>
      <c r="BH163" s="24">
        <f>AA163-BG163</f>
        <v/>
      </c>
      <c r="BI163" s="24">
        <f>IF(Z163&lt;135,Z163,Z163-'DPI art.191'!$I$3)</f>
        <v/>
      </c>
      <c r="BJ163" s="111">
        <f>IF(U163&lt;80,"0",IF((V163-U163)&lt;=2,('DPI art.191'!$G$7-(('DPI art.191'!$F$7-'DPI art.191'!$G$7)/4)*(U163-V163-2)),('DPI art.191'!$G$7-(('DPI art.191'!$G$7-'DPI art.191'!$H$7)/8)*(V163-U163-2))))</f>
        <v/>
      </c>
      <c r="BK163" s="24">
        <f>U163-BJ163</f>
        <v/>
      </c>
      <c r="BL163" s="24">
        <f>IF(T163&lt;135,T163,T163-'DPI art.191'!$I$7)</f>
        <v/>
      </c>
      <c r="BM163" s="111">
        <f>IF(AA163&lt;80,"0",IF((AB163-AA163)&lt;=2,('DPI art.191'!$G$5-(('DPI art.191'!$F$5-'DPI art.191'!$G$5)/4)*(AB163-AA163-2)),('DPI art.191'!$G$5-(('DPI art.191'!$G$5-'DPI art.191'!$H$5)/8)*(AB163-AA163-2))))</f>
        <v/>
      </c>
      <c r="BN163" s="24">
        <f>AD163-BM163</f>
        <v/>
      </c>
      <c r="BO163" s="24">
        <f>IF(Z163&lt;135,Z163,Z163-'DPI art.191'!$I$5)</f>
        <v/>
      </c>
      <c r="BP163" s="108">
        <f>10^(0.1*R163)</f>
        <v/>
      </c>
      <c r="BQ163" s="108">
        <f>10^(0.1*X163)</f>
        <v/>
      </c>
      <c r="BR163" s="108">
        <f>10^(0.1*AB163)</f>
        <v/>
      </c>
      <c r="BS163" s="108">
        <f>10^(0.1*AF163)</f>
        <v/>
      </c>
      <c r="BT163" s="108">
        <f>10^(0.1*AJ163)</f>
        <v/>
      </c>
      <c r="BU163" s="108">
        <f>10^(0.1*AN163)</f>
        <v/>
      </c>
      <c r="BV163" s="106">
        <f>IF(R163&gt;0,(O163-R163),"")</f>
        <v/>
      </c>
      <c r="BW163" s="106">
        <f>IF(X163&gt;0,(O163-X163),"")</f>
        <v/>
      </c>
      <c r="BX163" s="106">
        <f>IF(AB163&gt;0,(O163-AB163),"")</f>
        <v/>
      </c>
      <c r="BY163" s="106">
        <f>IF(AF163&gt;0,(O163-AF163),"")</f>
        <v/>
      </c>
      <c r="BZ163" s="106">
        <f>IF(AJ163&gt;0,(O163-AJ163),"")</f>
        <v/>
      </c>
      <c r="CA163" s="106">
        <f>IF(AN163&gt;0,(O163-AN163),"")</f>
        <v/>
      </c>
      <c r="CB163" s="106">
        <f>COUNT(BV163:CA163)</f>
        <v/>
      </c>
      <c r="CC163" s="464">
        <f>IF(CB163=0,0,IF(CB163=1,0,1/(CB163*(CB163-1))))</f>
        <v/>
      </c>
      <c r="CD163" s="136">
        <f>IF(R163&gt;0,(BV163^2),"")</f>
        <v/>
      </c>
      <c r="CE163" s="136">
        <f>IF(X163&gt;0,(BW163^2),"")</f>
        <v/>
      </c>
      <c r="CF163" s="136">
        <f>IF(AB163&gt;0,(BX163^2),"")</f>
        <v/>
      </c>
      <c r="CG163" s="136">
        <f>IF(AF163&gt;0,(BY163^2),"")</f>
        <v/>
      </c>
      <c r="CH163" s="136">
        <f>IF(AJ163&gt;0,(BZ163^2),"")</f>
        <v/>
      </c>
      <c r="CI163" s="136">
        <f>IF(AN163&gt;0,(CA163^2),"")</f>
        <v/>
      </c>
    </row>
    <row r="164" ht="18.75" customHeight="1" s="444">
      <c r="A164" s="340" t="inlineStr">
        <is>
          <t>/</t>
        </is>
      </c>
      <c r="B164" s="65">
        <f>B163+1</f>
        <v/>
      </c>
      <c r="C164" s="78" t="n"/>
      <c r="D164" s="83" t="n"/>
      <c r="E164" s="83" t="n"/>
      <c r="F164" s="329" t="n"/>
      <c r="G164" s="71" t="n">
        <v>40725</v>
      </c>
      <c r="H164" s="77" t="inlineStr">
        <is>
          <t>Compito</t>
        </is>
      </c>
      <c r="I164" s="77">
        <f>IF((V164-R164)&gt;3,"SI","")</f>
        <v/>
      </c>
      <c r="J164" s="77">
        <f>IF((U164-R164)&gt;3,"SI","")</f>
        <v/>
      </c>
      <c r="K164" s="77" t="n"/>
      <c r="L164" s="77" t="n"/>
      <c r="M164" s="137">
        <f>IF(R164&gt;0,(SQRT(CC164*(SUM(CD164:CI164)))),"")</f>
        <v/>
      </c>
      <c r="N164" s="4">
        <f>IF(T164&gt;0,(MAX(T164,Z164,AD164,AH164,AL164,AP164))+SQRT(1.2^2+1^2),"")</f>
        <v/>
      </c>
      <c r="O164" s="3">
        <f>IF(R164="",0,10*LOG10(SUM(BP164:BU164)/(COUNT(R164,X164,AB164,AF164,AJ164,AN164))))</f>
        <v/>
      </c>
      <c r="P164" s="5">
        <f>IF(AND(Y164="",AC164="",AG164="",AK164="",AO164=""),S164,AVERAGE(S164,Y164,AC164,AG164,AK164,AO164)+STDEV(S164,Y164,AC164,AG164,AK164,AO164))</f>
        <v/>
      </c>
      <c r="Q164" s="14" t="n"/>
      <c r="R164" s="11" t="n"/>
      <c r="S164" s="12" t="n"/>
      <c r="T164" s="13" t="n"/>
      <c r="U164" s="79" t="n"/>
      <c r="V164" s="79" t="n"/>
      <c r="W164" s="10" t="n"/>
      <c r="X164" s="11" t="n"/>
      <c r="Y164" s="12" t="n"/>
      <c r="Z164" s="13" t="n"/>
      <c r="AA164" s="10" t="n"/>
      <c r="AB164" s="11" t="n"/>
      <c r="AC164" s="12" t="n"/>
      <c r="AD164" s="13" t="n"/>
      <c r="AE164" s="14" t="n"/>
      <c r="AF164" s="11" t="n"/>
      <c r="AG164" s="12" t="n"/>
      <c r="AH164" s="13" t="n"/>
      <c r="AI164" s="10" t="n"/>
      <c r="AJ164" s="11" t="n"/>
      <c r="AK164" s="12" t="n"/>
      <c r="AL164" s="13" t="n"/>
      <c r="AM164" s="10" t="n"/>
      <c r="AN164" s="11" t="n"/>
      <c r="AO164" s="12" t="n"/>
      <c r="AP164" s="13" t="n"/>
      <c r="AQ164" s="6">
        <f>IF(AND((O164)&lt;85,N164&lt;137),"NO","SI")</f>
        <v/>
      </c>
      <c r="AR164" s="7">
        <f>IF((480*(10^(7.95-(O164/10))))&lt;480,480*(10^(7.95-(O164/10))),480)</f>
        <v/>
      </c>
      <c r="AS164" s="8">
        <f>IF((480*(10^(8.45-(O164/10))))&lt;480,480*(10^(8.45-(O164/10))),480)</f>
        <v/>
      </c>
      <c r="AT164" s="9">
        <f>IF((480*(10^(8.65-(O164/10))))&lt;480,480*(10^(8.65-(O164/10))),480)</f>
        <v/>
      </c>
      <c r="AU164" s="111">
        <f>IF(O164&lt;80,"0",IF((P164-O164)&lt;=2,('DPI art.191'!$G$3-(('DPI art.191'!$F$3-'DPI art.191'!$G$3)/4)*(P164-O164-2)),('DPI art.191'!$G$3-(('DPI art.191'!$G$3-'DPI art.191'!$H$3)/8)*(P164-O164-2))))</f>
        <v/>
      </c>
      <c r="AV164" s="24">
        <f>O164-AU164</f>
        <v/>
      </c>
      <c r="AW164" s="24">
        <f>IF(N164&lt;135,N164,N164-'DPI art.191'!$I$3)</f>
        <v/>
      </c>
      <c r="AX164" s="111">
        <f>IF(I164&lt;80,"0",IF((J164-I164)&lt;=2,('DPI art.191'!$G$7-(('DPI art.191'!$F$7-'DPI art.191'!$G$7)/4)*(I164-J164-2)),('DPI art.191'!$G$7-(('DPI art.191'!$G$7-'DPI art.191'!$H$7)/8)*(J164-I164-2))))</f>
        <v/>
      </c>
      <c r="AY164" s="24">
        <f>I164-AX164</f>
        <v/>
      </c>
      <c r="AZ164" s="24">
        <f>IF(H164&lt;135,H164,H164-'DPI art.191'!$I$7)</f>
        <v/>
      </c>
      <c r="BA164" s="111">
        <f>IF(O164&lt;80,"0",IF((P164-O164)&lt;=2,('DPI art.191'!$G$5-(('DPI art.191'!$F$5-'DPI art.191'!$G$5)/4)*(P164-O164-2)),('DPI art.191'!$G$5-(('DPI art.191'!$G$5-'DPI art.191'!$H$5)/8)*(P164-O164-2))))</f>
        <v/>
      </c>
      <c r="BB164" s="24">
        <f>R164-BA164</f>
        <v/>
      </c>
      <c r="BC164" s="24">
        <f>IF(N164&lt;135,N164,N164-'DPI art.191'!$I$5)</f>
        <v/>
      </c>
      <c r="BD164" s="111">
        <f>IF(O164&lt;80,"0",IF((P164-O164)&lt;=2,('DPI art.191'!$G$7-(('DPI art.191'!$F$7-'DPI art.191'!$G$7)/4)*(O164-P164-2)),('DPI art.191'!$G$7-(('DPI art.191'!$G$7-'DPI art.191'!$H$7)/8)*(P164-O164-2))))</f>
        <v/>
      </c>
      <c r="BE164" s="24">
        <f>O164-BD164</f>
        <v/>
      </c>
      <c r="BF164" s="24">
        <f>IF(N164&lt;135,N164,N164-'DPI art.191'!$I$7)</f>
        <v/>
      </c>
      <c r="BG164" s="111">
        <f>IF(AA164&lt;80,"0",IF((AB164-AA164)&lt;=2,('DPI art.191'!$G$3-(('DPI art.191'!$F$3-'DPI art.191'!$G$3)/4)*(AB164-AA164-2)),('DPI art.191'!$G$3-(('DPI art.191'!$G$3-'DPI art.191'!$H$3)/8)*(AB164-AA164-2))))</f>
        <v/>
      </c>
      <c r="BH164" s="24">
        <f>AA164-BG164</f>
        <v/>
      </c>
      <c r="BI164" s="24">
        <f>IF(Z164&lt;135,Z164,Z164-'DPI art.191'!$I$3)</f>
        <v/>
      </c>
      <c r="BJ164" s="111">
        <f>IF(U164&lt;80,"0",IF((V164-U164)&lt;=2,('DPI art.191'!$G$7-(('DPI art.191'!$F$7-'DPI art.191'!$G$7)/4)*(U164-V164-2)),('DPI art.191'!$G$7-(('DPI art.191'!$G$7-'DPI art.191'!$H$7)/8)*(V164-U164-2))))</f>
        <v/>
      </c>
      <c r="BK164" s="24">
        <f>U164-BJ164</f>
        <v/>
      </c>
      <c r="BL164" s="24">
        <f>IF(T164&lt;135,T164,T164-'DPI art.191'!$I$7)</f>
        <v/>
      </c>
      <c r="BM164" s="111">
        <f>IF(AA164&lt;80,"0",IF((AB164-AA164)&lt;=2,('DPI art.191'!$G$5-(('DPI art.191'!$F$5-'DPI art.191'!$G$5)/4)*(AB164-AA164-2)),('DPI art.191'!$G$5-(('DPI art.191'!$G$5-'DPI art.191'!$H$5)/8)*(AB164-AA164-2))))</f>
        <v/>
      </c>
      <c r="BN164" s="24">
        <f>AD164-BM164</f>
        <v/>
      </c>
      <c r="BO164" s="24">
        <f>IF(Z164&lt;135,Z164,Z164-'DPI art.191'!$I$5)</f>
        <v/>
      </c>
      <c r="BP164" s="108">
        <f>10^(0.1*R164)</f>
        <v/>
      </c>
      <c r="BQ164" s="108">
        <f>10^(0.1*X164)</f>
        <v/>
      </c>
      <c r="BR164" s="108">
        <f>10^(0.1*AB164)</f>
        <v/>
      </c>
      <c r="BS164" s="108">
        <f>10^(0.1*AF164)</f>
        <v/>
      </c>
      <c r="BT164" s="108">
        <f>10^(0.1*AJ164)</f>
        <v/>
      </c>
      <c r="BU164" s="108">
        <f>10^(0.1*AN164)</f>
        <v/>
      </c>
      <c r="BV164" s="106">
        <f>IF(R164&gt;0,(O164-R164),"")</f>
        <v/>
      </c>
      <c r="BW164" s="106">
        <f>IF(X164&gt;0,(O164-X164),"")</f>
        <v/>
      </c>
      <c r="BX164" s="106">
        <f>IF(AB164&gt;0,(O164-AB164),"")</f>
        <v/>
      </c>
      <c r="BY164" s="106">
        <f>IF(AF164&gt;0,(O164-AF164),"")</f>
        <v/>
      </c>
      <c r="BZ164" s="106">
        <f>IF(AJ164&gt;0,(O164-AJ164),"")</f>
        <v/>
      </c>
      <c r="CA164" s="106">
        <f>IF(AN164&gt;0,(O164-AN164),"")</f>
        <v/>
      </c>
      <c r="CB164" s="106">
        <f>COUNT(BV164:CA164)</f>
        <v/>
      </c>
      <c r="CC164" s="464">
        <f>IF(CB164=0,0,IF(CB164=1,0,1/(CB164*(CB164-1))))</f>
        <v/>
      </c>
      <c r="CD164" s="136">
        <f>IF(R164&gt;0,(BV164^2),"")</f>
        <v/>
      </c>
      <c r="CE164" s="136">
        <f>IF(X164&gt;0,(BW164^2),"")</f>
        <v/>
      </c>
      <c r="CF164" s="136">
        <f>IF(AB164&gt;0,(BX164^2),"")</f>
        <v/>
      </c>
      <c r="CG164" s="136">
        <f>IF(AF164&gt;0,(BY164^2),"")</f>
        <v/>
      </c>
      <c r="CH164" s="136">
        <f>IF(AJ164&gt;0,(BZ164^2),"")</f>
        <v/>
      </c>
      <c r="CI164" s="136">
        <f>IF(AN164&gt;0,(CA164^2),"")</f>
        <v/>
      </c>
    </row>
    <row r="165" ht="18.75" customHeight="1" s="444">
      <c r="A165" s="340" t="inlineStr">
        <is>
          <t>/</t>
        </is>
      </c>
      <c r="B165" s="65">
        <f>B164+1</f>
        <v/>
      </c>
      <c r="C165" s="78" t="n"/>
      <c r="D165" s="83" t="n"/>
      <c r="E165" s="83" t="n"/>
      <c r="F165" s="329" t="n"/>
      <c r="G165" s="71" t="n">
        <v>40725</v>
      </c>
      <c r="H165" s="77" t="inlineStr">
        <is>
          <t>Compito</t>
        </is>
      </c>
      <c r="I165" s="77">
        <f>IF((V165-R165)&gt;3,"SI","")</f>
        <v/>
      </c>
      <c r="J165" s="77">
        <f>IF((U165-R165)&gt;3,"SI","")</f>
        <v/>
      </c>
      <c r="K165" s="77" t="n"/>
      <c r="L165" s="77" t="n"/>
      <c r="M165" s="137">
        <f>IF(R165&gt;0,(SQRT(CC165*(SUM(CD165:CI165)))),"")</f>
        <v/>
      </c>
      <c r="N165" s="4">
        <f>IF(T165&gt;0,(MAX(T165,Z165,AD165,AH165,AL165,AP165))+SQRT(1.2^2+1^2),"")</f>
        <v/>
      </c>
      <c r="O165" s="3">
        <f>IF(R165="",0,10*LOG10(SUM(BP165:BU165)/(COUNT(R165,X165,AB165,AF165,AJ165,AN165))))</f>
        <v/>
      </c>
      <c r="P165" s="5">
        <f>IF(AND(Y165="",AC165="",AG165="",AK165="",AO165=""),S165,AVERAGE(S165,Y165,AC165,AG165,AK165,AO165)+STDEV(S165,Y165,AC165,AG165,AK165,AO165))</f>
        <v/>
      </c>
      <c r="Q165" s="14" t="n"/>
      <c r="R165" s="11" t="n"/>
      <c r="S165" s="12" t="n"/>
      <c r="T165" s="13" t="n"/>
      <c r="U165" s="79" t="n"/>
      <c r="V165" s="79" t="n"/>
      <c r="W165" s="10" t="n"/>
      <c r="X165" s="11" t="n"/>
      <c r="Y165" s="12" t="n"/>
      <c r="Z165" s="13" t="n"/>
      <c r="AA165" s="10" t="n"/>
      <c r="AB165" s="11" t="n"/>
      <c r="AC165" s="12" t="n"/>
      <c r="AD165" s="13" t="n"/>
      <c r="AE165" s="14" t="n"/>
      <c r="AF165" s="11" t="n"/>
      <c r="AG165" s="12" t="n"/>
      <c r="AH165" s="13" t="n"/>
      <c r="AI165" s="10" t="n"/>
      <c r="AJ165" s="11" t="n"/>
      <c r="AK165" s="12" t="n"/>
      <c r="AL165" s="13" t="n"/>
      <c r="AM165" s="10" t="n"/>
      <c r="AN165" s="11" t="n"/>
      <c r="AO165" s="12" t="n"/>
      <c r="AP165" s="13" t="n"/>
      <c r="AQ165" s="6">
        <f>IF(AND((O165)&lt;85,N165&lt;137),"NO","SI")</f>
        <v/>
      </c>
      <c r="AR165" s="7">
        <f>IF((480*(10^(7.95-(O165/10))))&lt;480,480*(10^(7.95-(O165/10))),480)</f>
        <v/>
      </c>
      <c r="AS165" s="8">
        <f>IF((480*(10^(8.45-(O165/10))))&lt;480,480*(10^(8.45-(O165/10))),480)</f>
        <v/>
      </c>
      <c r="AT165" s="9">
        <f>IF((480*(10^(8.65-(O165/10))))&lt;480,480*(10^(8.65-(O165/10))),480)</f>
        <v/>
      </c>
      <c r="AU165" s="111">
        <f>IF(O165&lt;80,"0",IF((P165-O165)&lt;=2,('DPI art.191'!$G$3-(('DPI art.191'!$F$3-'DPI art.191'!$G$3)/4)*(P165-O165-2)),('DPI art.191'!$G$3-(('DPI art.191'!$G$3-'DPI art.191'!$H$3)/8)*(P165-O165-2))))</f>
        <v/>
      </c>
      <c r="AV165" s="24">
        <f>O165-AU165</f>
        <v/>
      </c>
      <c r="AW165" s="24">
        <f>IF(N165&lt;135,N165,N165-'DPI art.191'!$I$3)</f>
        <v/>
      </c>
      <c r="AX165" s="111">
        <f>IF(I165&lt;80,"0",IF((J165-I165)&lt;=2,('DPI art.191'!$G$7-(('DPI art.191'!$F$7-'DPI art.191'!$G$7)/4)*(I165-J165-2)),('DPI art.191'!$G$7-(('DPI art.191'!$G$7-'DPI art.191'!$H$7)/8)*(J165-I165-2))))</f>
        <v/>
      </c>
      <c r="AY165" s="24">
        <f>I165-AX165</f>
        <v/>
      </c>
      <c r="AZ165" s="24">
        <f>IF(H165&lt;135,H165,H165-'DPI art.191'!$I$7)</f>
        <v/>
      </c>
      <c r="BA165" s="111">
        <f>IF(O165&lt;80,"0",IF((P165-O165)&lt;=2,('DPI art.191'!$G$5-(('DPI art.191'!$F$5-'DPI art.191'!$G$5)/4)*(P165-O165-2)),('DPI art.191'!$G$5-(('DPI art.191'!$G$5-'DPI art.191'!$H$5)/8)*(P165-O165-2))))</f>
        <v/>
      </c>
      <c r="BB165" s="24">
        <f>R165-BA165</f>
        <v/>
      </c>
      <c r="BC165" s="24">
        <f>IF(N165&lt;135,N165,N165-'DPI art.191'!$I$5)</f>
        <v/>
      </c>
      <c r="BD165" s="111">
        <f>IF(O165&lt;80,"0",IF((P165-O165)&lt;=2,('DPI art.191'!$G$7-(('DPI art.191'!$F$7-'DPI art.191'!$G$7)/4)*(O165-P165-2)),('DPI art.191'!$G$7-(('DPI art.191'!$G$7-'DPI art.191'!$H$7)/8)*(P165-O165-2))))</f>
        <v/>
      </c>
      <c r="BE165" s="24">
        <f>O165-BD165</f>
        <v/>
      </c>
      <c r="BF165" s="24">
        <f>IF(N165&lt;135,N165,N165-'DPI art.191'!$I$7)</f>
        <v/>
      </c>
      <c r="BG165" s="111">
        <f>IF(AA165&lt;80,"0",IF((AB165-AA165)&lt;=2,('DPI art.191'!$G$3-(('DPI art.191'!$F$3-'DPI art.191'!$G$3)/4)*(AB165-AA165-2)),('DPI art.191'!$G$3-(('DPI art.191'!$G$3-'DPI art.191'!$H$3)/8)*(AB165-AA165-2))))</f>
        <v/>
      </c>
      <c r="BH165" s="24">
        <f>AA165-BG165</f>
        <v/>
      </c>
      <c r="BI165" s="24">
        <f>IF(Z165&lt;135,Z165,Z165-'DPI art.191'!$I$3)</f>
        <v/>
      </c>
      <c r="BJ165" s="111">
        <f>IF(U165&lt;80,"0",IF((V165-U165)&lt;=2,('DPI art.191'!$G$7-(('DPI art.191'!$F$7-'DPI art.191'!$G$7)/4)*(U165-V165-2)),('DPI art.191'!$G$7-(('DPI art.191'!$G$7-'DPI art.191'!$H$7)/8)*(V165-U165-2))))</f>
        <v/>
      </c>
      <c r="BK165" s="24">
        <f>U165-BJ165</f>
        <v/>
      </c>
      <c r="BL165" s="24">
        <f>IF(T165&lt;135,T165,T165-'DPI art.191'!$I$7)</f>
        <v/>
      </c>
      <c r="BM165" s="111">
        <f>IF(AA165&lt;80,"0",IF((AB165-AA165)&lt;=2,('DPI art.191'!$G$5-(('DPI art.191'!$F$5-'DPI art.191'!$G$5)/4)*(AB165-AA165-2)),('DPI art.191'!$G$5-(('DPI art.191'!$G$5-'DPI art.191'!$H$5)/8)*(AB165-AA165-2))))</f>
        <v/>
      </c>
      <c r="BN165" s="24">
        <f>AD165-BM165</f>
        <v/>
      </c>
      <c r="BO165" s="24">
        <f>IF(Z165&lt;135,Z165,Z165-'DPI art.191'!$I$5)</f>
        <v/>
      </c>
      <c r="BP165" s="108">
        <f>10^(0.1*R165)</f>
        <v/>
      </c>
      <c r="BQ165" s="108">
        <f>10^(0.1*X165)</f>
        <v/>
      </c>
      <c r="BR165" s="108">
        <f>10^(0.1*AB165)</f>
        <v/>
      </c>
      <c r="BS165" s="108">
        <f>10^(0.1*AF165)</f>
        <v/>
      </c>
      <c r="BT165" s="108">
        <f>10^(0.1*AJ165)</f>
        <v/>
      </c>
      <c r="BU165" s="108">
        <f>10^(0.1*AN165)</f>
        <v/>
      </c>
      <c r="BV165" s="106">
        <f>IF(R165&gt;0,(O165-R165),"")</f>
        <v/>
      </c>
      <c r="BW165" s="106">
        <f>IF(X165&gt;0,(O165-X165),"")</f>
        <v/>
      </c>
      <c r="BX165" s="106">
        <f>IF(AB165&gt;0,(O165-AB165),"")</f>
        <v/>
      </c>
      <c r="BY165" s="106">
        <f>IF(AF165&gt;0,(O165-AF165),"")</f>
        <v/>
      </c>
      <c r="BZ165" s="106">
        <f>IF(AJ165&gt;0,(O165-AJ165),"")</f>
        <v/>
      </c>
      <c r="CA165" s="106">
        <f>IF(AN165&gt;0,(O165-AN165),"")</f>
        <v/>
      </c>
      <c r="CB165" s="106">
        <f>COUNT(BV165:CA165)</f>
        <v/>
      </c>
      <c r="CC165" s="464">
        <f>IF(CB165=0,0,IF(CB165=1,0,1/(CB165*(CB165-1))))</f>
        <v/>
      </c>
      <c r="CD165" s="136">
        <f>IF(R165&gt;0,(BV165^2),"")</f>
        <v/>
      </c>
      <c r="CE165" s="136">
        <f>IF(X165&gt;0,(BW165^2),"")</f>
        <v/>
      </c>
      <c r="CF165" s="136">
        <f>IF(AB165&gt;0,(BX165^2),"")</f>
        <v/>
      </c>
      <c r="CG165" s="136">
        <f>IF(AF165&gt;0,(BY165^2),"")</f>
        <v/>
      </c>
      <c r="CH165" s="136">
        <f>IF(AJ165&gt;0,(BZ165^2),"")</f>
        <v/>
      </c>
      <c r="CI165" s="136">
        <f>IF(AN165&gt;0,(CA165^2),"")</f>
        <v/>
      </c>
    </row>
    <row r="166" ht="18.75" customHeight="1" s="444">
      <c r="A166" s="340" t="inlineStr">
        <is>
          <t>/</t>
        </is>
      </c>
      <c r="B166" s="65">
        <f>B165+1</f>
        <v/>
      </c>
      <c r="C166" s="78" t="n"/>
      <c r="D166" s="83" t="n"/>
      <c r="E166" s="83" t="n"/>
      <c r="F166" s="329" t="n"/>
      <c r="G166" s="71" t="n">
        <v>40725</v>
      </c>
      <c r="H166" s="77" t="inlineStr">
        <is>
          <t>Compito</t>
        </is>
      </c>
      <c r="I166" s="77">
        <f>IF((V166-R166)&gt;3,"SI","")</f>
        <v/>
      </c>
      <c r="J166" s="77">
        <f>IF((U166-R166)&gt;3,"SI","")</f>
        <v/>
      </c>
      <c r="K166" s="77" t="n"/>
      <c r="L166" s="77" t="n"/>
      <c r="M166" s="137">
        <f>IF(R166&gt;0,(SQRT(CC166*(SUM(CD166:CI166)))),"")</f>
        <v/>
      </c>
      <c r="N166" s="4">
        <f>IF(T166&gt;0,(MAX(T166,Z166,AD166,AH166,AL166,AP166))+SQRT(1.2^2+1^2),"")</f>
        <v/>
      </c>
      <c r="O166" s="3">
        <f>IF(R166="",0,10*LOG10(SUM(BP166:BU166)/(COUNT(R166,X166,AB166,AF166,AJ166,AN166))))</f>
        <v/>
      </c>
      <c r="P166" s="5">
        <f>IF(AND(Y166="",AC166="",AG166="",AK166="",AO166=""),S166,AVERAGE(S166,Y166,AC166,AG166,AK166,AO166)+STDEV(S166,Y166,AC166,AG166,AK166,AO166))</f>
        <v/>
      </c>
      <c r="Q166" s="14" t="n"/>
      <c r="R166" s="11" t="n"/>
      <c r="S166" s="12" t="n"/>
      <c r="T166" s="13" t="n"/>
      <c r="U166" s="79" t="n"/>
      <c r="V166" s="79" t="n"/>
      <c r="W166" s="10" t="n"/>
      <c r="X166" s="11" t="n"/>
      <c r="Y166" s="12" t="n"/>
      <c r="Z166" s="13" t="n"/>
      <c r="AA166" s="10" t="n"/>
      <c r="AB166" s="11" t="n"/>
      <c r="AC166" s="12" t="n"/>
      <c r="AD166" s="13" t="n"/>
      <c r="AE166" s="14" t="n"/>
      <c r="AF166" s="11" t="n"/>
      <c r="AG166" s="12" t="n"/>
      <c r="AH166" s="13" t="n"/>
      <c r="AI166" s="10" t="n"/>
      <c r="AJ166" s="11" t="n"/>
      <c r="AK166" s="12" t="n"/>
      <c r="AL166" s="13" t="n"/>
      <c r="AM166" s="10" t="n"/>
      <c r="AN166" s="11" t="n"/>
      <c r="AO166" s="12" t="n"/>
      <c r="AP166" s="13" t="n"/>
      <c r="AQ166" s="6">
        <f>IF(AND((O166)&lt;85,N166&lt;137),"NO","SI")</f>
        <v/>
      </c>
      <c r="AR166" s="7">
        <f>IF((480*(10^(7.95-(O166/10))))&lt;480,480*(10^(7.95-(O166/10))),480)</f>
        <v/>
      </c>
      <c r="AS166" s="8">
        <f>IF((480*(10^(8.45-(O166/10))))&lt;480,480*(10^(8.45-(O166/10))),480)</f>
        <v/>
      </c>
      <c r="AT166" s="9">
        <f>IF((480*(10^(8.65-(O166/10))))&lt;480,480*(10^(8.65-(O166/10))),480)</f>
        <v/>
      </c>
      <c r="AU166" s="111">
        <f>IF(O166&lt;80,"0",IF((P166-O166)&lt;=2,('DPI art.191'!$G$3-(('DPI art.191'!$F$3-'DPI art.191'!$G$3)/4)*(P166-O166-2)),('DPI art.191'!$G$3-(('DPI art.191'!$G$3-'DPI art.191'!$H$3)/8)*(P166-O166-2))))</f>
        <v/>
      </c>
      <c r="AV166" s="24">
        <f>O166-AU166</f>
        <v/>
      </c>
      <c r="AW166" s="24">
        <f>IF(N166&lt;135,N166,N166-'DPI art.191'!$I$3)</f>
        <v/>
      </c>
      <c r="AX166" s="111">
        <f>IF(I166&lt;80,"0",IF((J166-I166)&lt;=2,('DPI art.191'!$G$7-(('DPI art.191'!$F$7-'DPI art.191'!$G$7)/4)*(I166-J166-2)),('DPI art.191'!$G$7-(('DPI art.191'!$G$7-'DPI art.191'!$H$7)/8)*(J166-I166-2))))</f>
        <v/>
      </c>
      <c r="AY166" s="24">
        <f>I166-AX166</f>
        <v/>
      </c>
      <c r="AZ166" s="24">
        <f>IF(H166&lt;135,H166,H166-'DPI art.191'!$I$7)</f>
        <v/>
      </c>
      <c r="BA166" s="111">
        <f>IF(O166&lt;80,"0",IF((P166-O166)&lt;=2,('DPI art.191'!$G$5-(('DPI art.191'!$F$5-'DPI art.191'!$G$5)/4)*(P166-O166-2)),('DPI art.191'!$G$5-(('DPI art.191'!$G$5-'DPI art.191'!$H$5)/8)*(P166-O166-2))))</f>
        <v/>
      </c>
      <c r="BB166" s="24">
        <f>R166-BA166</f>
        <v/>
      </c>
      <c r="BC166" s="24">
        <f>IF(N166&lt;135,N166,N166-'DPI art.191'!$I$5)</f>
        <v/>
      </c>
      <c r="BD166" s="111">
        <f>IF(O166&lt;80,"0",IF((P166-O166)&lt;=2,('DPI art.191'!$G$7-(('DPI art.191'!$F$7-'DPI art.191'!$G$7)/4)*(O166-P166-2)),('DPI art.191'!$G$7-(('DPI art.191'!$G$7-'DPI art.191'!$H$7)/8)*(P166-O166-2))))</f>
        <v/>
      </c>
      <c r="BE166" s="24">
        <f>O166-BD166</f>
        <v/>
      </c>
      <c r="BF166" s="24">
        <f>IF(N166&lt;135,N166,N166-'DPI art.191'!$I$7)</f>
        <v/>
      </c>
      <c r="BG166" s="111">
        <f>IF(AA166&lt;80,"0",IF((AB166-AA166)&lt;=2,('DPI art.191'!$G$3-(('DPI art.191'!$F$3-'DPI art.191'!$G$3)/4)*(AB166-AA166-2)),('DPI art.191'!$G$3-(('DPI art.191'!$G$3-'DPI art.191'!$H$3)/8)*(AB166-AA166-2))))</f>
        <v/>
      </c>
      <c r="BH166" s="24">
        <f>AA166-BG166</f>
        <v/>
      </c>
      <c r="BI166" s="24">
        <f>IF(Z166&lt;135,Z166,Z166-'DPI art.191'!$I$3)</f>
        <v/>
      </c>
      <c r="BJ166" s="111">
        <f>IF(U166&lt;80,"0",IF((V166-U166)&lt;=2,('DPI art.191'!$G$7-(('DPI art.191'!$F$7-'DPI art.191'!$G$7)/4)*(U166-V166-2)),('DPI art.191'!$G$7-(('DPI art.191'!$G$7-'DPI art.191'!$H$7)/8)*(V166-U166-2))))</f>
        <v/>
      </c>
      <c r="BK166" s="24">
        <f>U166-BJ166</f>
        <v/>
      </c>
      <c r="BL166" s="24">
        <f>IF(T166&lt;135,T166,T166-'DPI art.191'!$I$7)</f>
        <v/>
      </c>
      <c r="BM166" s="111">
        <f>IF(AA166&lt;80,"0",IF((AB166-AA166)&lt;=2,('DPI art.191'!$G$5-(('DPI art.191'!$F$5-'DPI art.191'!$G$5)/4)*(AB166-AA166-2)),('DPI art.191'!$G$5-(('DPI art.191'!$G$5-'DPI art.191'!$H$5)/8)*(AB166-AA166-2))))</f>
        <v/>
      </c>
      <c r="BN166" s="24">
        <f>AD166-BM166</f>
        <v/>
      </c>
      <c r="BO166" s="24">
        <f>IF(Z166&lt;135,Z166,Z166-'DPI art.191'!$I$5)</f>
        <v/>
      </c>
      <c r="BP166" s="108">
        <f>10^(0.1*R166)</f>
        <v/>
      </c>
      <c r="BQ166" s="108">
        <f>10^(0.1*X166)</f>
        <v/>
      </c>
      <c r="BR166" s="108">
        <f>10^(0.1*AB166)</f>
        <v/>
      </c>
      <c r="BS166" s="108">
        <f>10^(0.1*AF166)</f>
        <v/>
      </c>
      <c r="BT166" s="108">
        <f>10^(0.1*AJ166)</f>
        <v/>
      </c>
      <c r="BU166" s="108">
        <f>10^(0.1*AN166)</f>
        <v/>
      </c>
      <c r="BV166" s="106">
        <f>IF(R166&gt;0,(O166-R166),"")</f>
        <v/>
      </c>
      <c r="BW166" s="106">
        <f>IF(X166&gt;0,(O166-X166),"")</f>
        <v/>
      </c>
      <c r="BX166" s="106">
        <f>IF(AB166&gt;0,(O166-AB166),"")</f>
        <v/>
      </c>
      <c r="BY166" s="106">
        <f>IF(AF166&gt;0,(O166-AF166),"")</f>
        <v/>
      </c>
      <c r="BZ166" s="106">
        <f>IF(AJ166&gt;0,(O166-AJ166),"")</f>
        <v/>
      </c>
      <c r="CA166" s="106">
        <f>IF(AN166&gt;0,(O166-AN166),"")</f>
        <v/>
      </c>
      <c r="CB166" s="106">
        <f>COUNT(BV166:CA166)</f>
        <v/>
      </c>
      <c r="CC166" s="464">
        <f>IF(CB166=0,0,IF(CB166=1,0,1/(CB166*(CB166-1))))</f>
        <v/>
      </c>
      <c r="CD166" s="136">
        <f>IF(R166&gt;0,(BV166^2),"")</f>
        <v/>
      </c>
      <c r="CE166" s="136">
        <f>IF(X166&gt;0,(BW166^2),"")</f>
        <v/>
      </c>
      <c r="CF166" s="136">
        <f>IF(AB166&gt;0,(BX166^2),"")</f>
        <v/>
      </c>
      <c r="CG166" s="136">
        <f>IF(AF166&gt;0,(BY166^2),"")</f>
        <v/>
      </c>
      <c r="CH166" s="136">
        <f>IF(AJ166&gt;0,(BZ166^2),"")</f>
        <v/>
      </c>
      <c r="CI166" s="136">
        <f>IF(AN166&gt;0,(CA166^2),"")</f>
        <v/>
      </c>
    </row>
    <row r="167" ht="18.75" customHeight="1" s="444">
      <c r="A167" s="340" t="inlineStr">
        <is>
          <t>/</t>
        </is>
      </c>
      <c r="B167" s="65">
        <f>B166+1</f>
        <v/>
      </c>
      <c r="C167" s="78" t="n"/>
      <c r="D167" s="83" t="n"/>
      <c r="E167" s="83" t="n"/>
      <c r="F167" s="329" t="n"/>
      <c r="G167" s="71" t="n">
        <v>40725</v>
      </c>
      <c r="H167" s="77" t="inlineStr">
        <is>
          <t>Compito</t>
        </is>
      </c>
      <c r="I167" s="77">
        <f>IF((V167-R167)&gt;3,"SI","")</f>
        <v/>
      </c>
      <c r="J167" s="77">
        <f>IF((U167-R167)&gt;3,"SI","")</f>
        <v/>
      </c>
      <c r="K167" s="77" t="n"/>
      <c r="L167" s="77" t="n"/>
      <c r="M167" s="137">
        <f>IF(R167&gt;0,(SQRT(CC167*(SUM(CD167:CI167)))),"")</f>
        <v/>
      </c>
      <c r="N167" s="4">
        <f>IF(T167&gt;0,(MAX(T167,Z167,AD167,AH167,AL167,AP167))+SQRT(1.2^2+1^2),"")</f>
        <v/>
      </c>
      <c r="O167" s="3">
        <f>IF(R167="",0,10*LOG10(SUM(BP167:BU167)/(COUNT(R167,X167,AB167,AF167,AJ167,AN167))))</f>
        <v/>
      </c>
      <c r="P167" s="5">
        <f>IF(AND(Y167="",AC167="",AG167="",AK167="",AO167=""),S167,AVERAGE(S167,Y167,AC167,AG167,AK167,AO167)+STDEV(S167,Y167,AC167,AG167,AK167,AO167))</f>
        <v/>
      </c>
      <c r="Q167" s="14" t="n"/>
      <c r="R167" s="11" t="n"/>
      <c r="S167" s="12" t="n"/>
      <c r="T167" s="13" t="n"/>
      <c r="U167" s="79" t="n"/>
      <c r="V167" s="79" t="n"/>
      <c r="W167" s="10" t="n"/>
      <c r="X167" s="11" t="n"/>
      <c r="Y167" s="12" t="n"/>
      <c r="Z167" s="13" t="n"/>
      <c r="AA167" s="10" t="n"/>
      <c r="AB167" s="11" t="n"/>
      <c r="AC167" s="12" t="n"/>
      <c r="AD167" s="13" t="n"/>
      <c r="AE167" s="14" t="n"/>
      <c r="AF167" s="11" t="n"/>
      <c r="AG167" s="12" t="n"/>
      <c r="AH167" s="13" t="n"/>
      <c r="AI167" s="10" t="n"/>
      <c r="AJ167" s="11" t="n"/>
      <c r="AK167" s="12" t="n"/>
      <c r="AL167" s="13" t="n"/>
      <c r="AM167" s="10" t="n"/>
      <c r="AN167" s="11" t="n"/>
      <c r="AO167" s="12" t="n"/>
      <c r="AP167" s="13" t="n"/>
      <c r="AQ167" s="6">
        <f>IF(AND((O167)&lt;85,N167&lt;137),"NO","SI")</f>
        <v/>
      </c>
      <c r="AR167" s="7">
        <f>IF((480*(10^(7.95-(O167/10))))&lt;480,480*(10^(7.95-(O167/10))),480)</f>
        <v/>
      </c>
      <c r="AS167" s="8">
        <f>IF((480*(10^(8.45-(O167/10))))&lt;480,480*(10^(8.45-(O167/10))),480)</f>
        <v/>
      </c>
      <c r="AT167" s="9">
        <f>IF((480*(10^(8.65-(O167/10))))&lt;480,480*(10^(8.65-(O167/10))),480)</f>
        <v/>
      </c>
      <c r="AU167" s="111">
        <f>IF(O167&lt;80,"0",IF((P167-O167)&lt;=2,('DPI art.191'!$G$3-(('DPI art.191'!$F$3-'DPI art.191'!$G$3)/4)*(P167-O167-2)),('DPI art.191'!$G$3-(('DPI art.191'!$G$3-'DPI art.191'!$H$3)/8)*(P167-O167-2))))</f>
        <v/>
      </c>
      <c r="AV167" s="24">
        <f>O167-AU167</f>
        <v/>
      </c>
      <c r="AW167" s="24">
        <f>IF(N167&lt;135,N167,N167-'DPI art.191'!$I$3)</f>
        <v/>
      </c>
      <c r="AX167" s="111">
        <f>IF(I167&lt;80,"0",IF((J167-I167)&lt;=2,('DPI art.191'!$G$7-(('DPI art.191'!$F$7-'DPI art.191'!$G$7)/4)*(I167-J167-2)),('DPI art.191'!$G$7-(('DPI art.191'!$G$7-'DPI art.191'!$H$7)/8)*(J167-I167-2))))</f>
        <v/>
      </c>
      <c r="AY167" s="24">
        <f>I167-AX167</f>
        <v/>
      </c>
      <c r="AZ167" s="24">
        <f>IF(H167&lt;135,H167,H167-'DPI art.191'!$I$7)</f>
        <v/>
      </c>
      <c r="BA167" s="111">
        <f>IF(O167&lt;80,"0",IF((P167-O167)&lt;=2,('DPI art.191'!$G$5-(('DPI art.191'!$F$5-'DPI art.191'!$G$5)/4)*(P167-O167-2)),('DPI art.191'!$G$5-(('DPI art.191'!$G$5-'DPI art.191'!$H$5)/8)*(P167-O167-2))))</f>
        <v/>
      </c>
      <c r="BB167" s="24">
        <f>R167-BA167</f>
        <v/>
      </c>
      <c r="BC167" s="24">
        <f>IF(N167&lt;135,N167,N167-'DPI art.191'!$I$5)</f>
        <v/>
      </c>
      <c r="BD167" s="111">
        <f>IF(O167&lt;80,"0",IF((P167-O167)&lt;=2,('DPI art.191'!$G$7-(('DPI art.191'!$F$7-'DPI art.191'!$G$7)/4)*(O167-P167-2)),('DPI art.191'!$G$7-(('DPI art.191'!$G$7-'DPI art.191'!$H$7)/8)*(P167-O167-2))))</f>
        <v/>
      </c>
      <c r="BE167" s="24">
        <f>O167-BD167</f>
        <v/>
      </c>
      <c r="BF167" s="24">
        <f>IF(N167&lt;135,N167,N167-'DPI art.191'!$I$7)</f>
        <v/>
      </c>
      <c r="BG167" s="111">
        <f>IF(AA167&lt;80,"0",IF((AB167-AA167)&lt;=2,('DPI art.191'!$G$3-(('DPI art.191'!$F$3-'DPI art.191'!$G$3)/4)*(AB167-AA167-2)),('DPI art.191'!$G$3-(('DPI art.191'!$G$3-'DPI art.191'!$H$3)/8)*(AB167-AA167-2))))</f>
        <v/>
      </c>
      <c r="BH167" s="24">
        <f>AA167-BG167</f>
        <v/>
      </c>
      <c r="BI167" s="24">
        <f>IF(Z167&lt;135,Z167,Z167-'DPI art.191'!$I$3)</f>
        <v/>
      </c>
      <c r="BJ167" s="111">
        <f>IF(U167&lt;80,"0",IF((V167-U167)&lt;=2,('DPI art.191'!$G$7-(('DPI art.191'!$F$7-'DPI art.191'!$G$7)/4)*(U167-V167-2)),('DPI art.191'!$G$7-(('DPI art.191'!$G$7-'DPI art.191'!$H$7)/8)*(V167-U167-2))))</f>
        <v/>
      </c>
      <c r="BK167" s="24">
        <f>U167-BJ167</f>
        <v/>
      </c>
      <c r="BL167" s="24">
        <f>IF(T167&lt;135,T167,T167-'DPI art.191'!$I$7)</f>
        <v/>
      </c>
      <c r="BM167" s="111">
        <f>IF(AA167&lt;80,"0",IF((AB167-AA167)&lt;=2,('DPI art.191'!$G$5-(('DPI art.191'!$F$5-'DPI art.191'!$G$5)/4)*(AB167-AA167-2)),('DPI art.191'!$G$5-(('DPI art.191'!$G$5-'DPI art.191'!$H$5)/8)*(AB167-AA167-2))))</f>
        <v/>
      </c>
      <c r="BN167" s="24">
        <f>AD167-BM167</f>
        <v/>
      </c>
      <c r="BO167" s="24">
        <f>IF(Z167&lt;135,Z167,Z167-'DPI art.191'!$I$5)</f>
        <v/>
      </c>
      <c r="BP167" s="108">
        <f>10^(0.1*R167)</f>
        <v/>
      </c>
      <c r="BQ167" s="108">
        <f>10^(0.1*X167)</f>
        <v/>
      </c>
      <c r="BR167" s="108">
        <f>10^(0.1*AB167)</f>
        <v/>
      </c>
      <c r="BS167" s="108">
        <f>10^(0.1*AF167)</f>
        <v/>
      </c>
      <c r="BT167" s="108">
        <f>10^(0.1*AJ167)</f>
        <v/>
      </c>
      <c r="BU167" s="108">
        <f>10^(0.1*AN167)</f>
        <v/>
      </c>
      <c r="BV167" s="106">
        <f>IF(R167&gt;0,(O167-R167),"")</f>
        <v/>
      </c>
      <c r="BW167" s="106">
        <f>IF(X167&gt;0,(O167-X167),"")</f>
        <v/>
      </c>
      <c r="BX167" s="106">
        <f>IF(AB167&gt;0,(O167-AB167),"")</f>
        <v/>
      </c>
      <c r="BY167" s="106">
        <f>IF(AF167&gt;0,(O167-AF167),"")</f>
        <v/>
      </c>
      <c r="BZ167" s="106">
        <f>IF(AJ167&gt;0,(O167-AJ167),"")</f>
        <v/>
      </c>
      <c r="CA167" s="106">
        <f>IF(AN167&gt;0,(O167-AN167),"")</f>
        <v/>
      </c>
      <c r="CB167" s="106">
        <f>COUNT(BV167:CA167)</f>
        <v/>
      </c>
      <c r="CC167" s="464">
        <f>IF(CB167=0,0,IF(CB167=1,0,1/(CB167*(CB167-1))))</f>
        <v/>
      </c>
      <c r="CD167" s="136">
        <f>IF(R167&gt;0,(BV167^2),"")</f>
        <v/>
      </c>
      <c r="CE167" s="136">
        <f>IF(X167&gt;0,(BW167^2),"")</f>
        <v/>
      </c>
      <c r="CF167" s="136">
        <f>IF(AB167&gt;0,(BX167^2),"")</f>
        <v/>
      </c>
      <c r="CG167" s="136">
        <f>IF(AF167&gt;0,(BY167^2),"")</f>
        <v/>
      </c>
      <c r="CH167" s="136">
        <f>IF(AJ167&gt;0,(BZ167^2),"")</f>
        <v/>
      </c>
      <c r="CI167" s="136">
        <f>IF(AN167&gt;0,(CA167^2),"")</f>
        <v/>
      </c>
    </row>
    <row r="168" ht="18.75" customHeight="1" s="444">
      <c r="A168" s="340" t="inlineStr">
        <is>
          <t>/</t>
        </is>
      </c>
      <c r="B168" s="65">
        <f>B167+1</f>
        <v/>
      </c>
      <c r="C168" s="78" t="n"/>
      <c r="D168" s="83" t="n"/>
      <c r="E168" s="83" t="n"/>
      <c r="F168" s="329" t="n"/>
      <c r="G168" s="71" t="n">
        <v>40725</v>
      </c>
      <c r="H168" s="77" t="inlineStr">
        <is>
          <t>Compito</t>
        </is>
      </c>
      <c r="I168" s="77">
        <f>IF((V168-R168)&gt;3,"SI","")</f>
        <v/>
      </c>
      <c r="J168" s="77">
        <f>IF((U168-R168)&gt;3,"SI","")</f>
        <v/>
      </c>
      <c r="K168" s="77" t="n"/>
      <c r="L168" s="77" t="n"/>
      <c r="M168" s="137">
        <f>IF(R168&gt;0,(SQRT(CC168*(SUM(CD168:CI168)))),"")</f>
        <v/>
      </c>
      <c r="N168" s="4">
        <f>IF(T168&gt;0,(MAX(T168,Z168,AD168,AH168,AL168,AP168))+SQRT(1.2^2+1^2),"")</f>
        <v/>
      </c>
      <c r="O168" s="3">
        <f>IF(R168="",0,10*LOG10(SUM(BP168:BU168)/(COUNT(R168,X168,AB168,AF168,AJ168,AN168))))</f>
        <v/>
      </c>
      <c r="P168" s="5">
        <f>IF(AND(Y168="",AC168="",AG168="",AK168="",AO168=""),S168,AVERAGE(S168,Y168,AC168,AG168,AK168,AO168)+STDEV(S168,Y168,AC168,AG168,AK168,AO168))</f>
        <v/>
      </c>
      <c r="Q168" s="14" t="n"/>
      <c r="R168" s="11" t="n"/>
      <c r="S168" s="12" t="n"/>
      <c r="T168" s="13" t="n"/>
      <c r="U168" s="79" t="n"/>
      <c r="V168" s="79" t="n"/>
      <c r="W168" s="10" t="n"/>
      <c r="X168" s="11" t="n"/>
      <c r="Y168" s="12" t="n"/>
      <c r="Z168" s="13" t="n"/>
      <c r="AA168" s="10" t="n"/>
      <c r="AB168" s="11" t="n"/>
      <c r="AC168" s="12" t="n"/>
      <c r="AD168" s="13" t="n"/>
      <c r="AE168" s="14" t="n"/>
      <c r="AF168" s="11" t="n"/>
      <c r="AG168" s="12" t="n"/>
      <c r="AH168" s="13" t="n"/>
      <c r="AI168" s="10" t="n"/>
      <c r="AJ168" s="11" t="n"/>
      <c r="AK168" s="12" t="n"/>
      <c r="AL168" s="13" t="n"/>
      <c r="AM168" s="10" t="n"/>
      <c r="AN168" s="11" t="n"/>
      <c r="AO168" s="12" t="n"/>
      <c r="AP168" s="13" t="n"/>
      <c r="AQ168" s="6">
        <f>IF(AND((O168)&lt;85,N168&lt;137),"NO","SI")</f>
        <v/>
      </c>
      <c r="AR168" s="7">
        <f>IF((480*(10^(7.95-(O168/10))))&lt;480,480*(10^(7.95-(O168/10))),480)</f>
        <v/>
      </c>
      <c r="AS168" s="8">
        <f>IF((480*(10^(8.45-(O168/10))))&lt;480,480*(10^(8.45-(O168/10))),480)</f>
        <v/>
      </c>
      <c r="AT168" s="9">
        <f>IF((480*(10^(8.65-(O168/10))))&lt;480,480*(10^(8.65-(O168/10))),480)</f>
        <v/>
      </c>
      <c r="AU168" s="111">
        <f>IF(O168&lt;80,"0",IF((P168-O168)&lt;=2,('DPI art.191'!$G$3-(('DPI art.191'!$F$3-'DPI art.191'!$G$3)/4)*(P168-O168-2)),('DPI art.191'!$G$3-(('DPI art.191'!$G$3-'DPI art.191'!$H$3)/8)*(P168-O168-2))))</f>
        <v/>
      </c>
      <c r="AV168" s="24">
        <f>O168-AU168</f>
        <v/>
      </c>
      <c r="AW168" s="24">
        <f>IF(N168&lt;135,N168,N168-'DPI art.191'!$I$3)</f>
        <v/>
      </c>
      <c r="AX168" s="111">
        <f>IF(I168&lt;80,"0",IF((J168-I168)&lt;=2,('DPI art.191'!$G$7-(('DPI art.191'!$F$7-'DPI art.191'!$G$7)/4)*(I168-J168-2)),('DPI art.191'!$G$7-(('DPI art.191'!$G$7-'DPI art.191'!$H$7)/8)*(J168-I168-2))))</f>
        <v/>
      </c>
      <c r="AY168" s="24">
        <f>I168-AX168</f>
        <v/>
      </c>
      <c r="AZ168" s="24">
        <f>IF(H168&lt;135,H168,H168-'DPI art.191'!$I$7)</f>
        <v/>
      </c>
      <c r="BA168" s="111">
        <f>IF(O168&lt;80,"0",IF((P168-O168)&lt;=2,('DPI art.191'!$G$5-(('DPI art.191'!$F$5-'DPI art.191'!$G$5)/4)*(P168-O168-2)),('DPI art.191'!$G$5-(('DPI art.191'!$G$5-'DPI art.191'!$H$5)/8)*(P168-O168-2))))</f>
        <v/>
      </c>
      <c r="BB168" s="24">
        <f>R168-BA168</f>
        <v/>
      </c>
      <c r="BC168" s="24">
        <f>IF(N168&lt;135,N168,N168-'DPI art.191'!$I$5)</f>
        <v/>
      </c>
      <c r="BD168" s="111">
        <f>IF(O168&lt;80,"0",IF((P168-O168)&lt;=2,('DPI art.191'!$G$7-(('DPI art.191'!$F$7-'DPI art.191'!$G$7)/4)*(O168-P168-2)),('DPI art.191'!$G$7-(('DPI art.191'!$G$7-'DPI art.191'!$H$7)/8)*(P168-O168-2))))</f>
        <v/>
      </c>
      <c r="BE168" s="24">
        <f>O168-BD168</f>
        <v/>
      </c>
      <c r="BF168" s="24">
        <f>IF(N168&lt;135,N168,N168-'DPI art.191'!$I$7)</f>
        <v/>
      </c>
      <c r="BG168" s="111">
        <f>IF(AA168&lt;80,"0",IF((AB168-AA168)&lt;=2,('DPI art.191'!$G$3-(('DPI art.191'!$F$3-'DPI art.191'!$G$3)/4)*(AB168-AA168-2)),('DPI art.191'!$G$3-(('DPI art.191'!$G$3-'DPI art.191'!$H$3)/8)*(AB168-AA168-2))))</f>
        <v/>
      </c>
      <c r="BH168" s="24">
        <f>AA168-BG168</f>
        <v/>
      </c>
      <c r="BI168" s="24">
        <f>IF(Z168&lt;135,Z168,Z168-'DPI art.191'!$I$3)</f>
        <v/>
      </c>
      <c r="BJ168" s="111">
        <f>IF(U168&lt;80,"0",IF((V168-U168)&lt;=2,('DPI art.191'!$G$7-(('DPI art.191'!$F$7-'DPI art.191'!$G$7)/4)*(U168-V168-2)),('DPI art.191'!$G$7-(('DPI art.191'!$G$7-'DPI art.191'!$H$7)/8)*(V168-U168-2))))</f>
        <v/>
      </c>
      <c r="BK168" s="24">
        <f>U168-BJ168</f>
        <v/>
      </c>
      <c r="BL168" s="24">
        <f>IF(T168&lt;135,T168,T168-'DPI art.191'!$I$7)</f>
        <v/>
      </c>
      <c r="BM168" s="111">
        <f>IF(AA168&lt;80,"0",IF((AB168-AA168)&lt;=2,('DPI art.191'!$G$5-(('DPI art.191'!$F$5-'DPI art.191'!$G$5)/4)*(AB168-AA168-2)),('DPI art.191'!$G$5-(('DPI art.191'!$G$5-'DPI art.191'!$H$5)/8)*(AB168-AA168-2))))</f>
        <v/>
      </c>
      <c r="BN168" s="24">
        <f>AD168-BM168</f>
        <v/>
      </c>
      <c r="BO168" s="24">
        <f>IF(Z168&lt;135,Z168,Z168-'DPI art.191'!$I$5)</f>
        <v/>
      </c>
      <c r="BP168" s="108">
        <f>10^(0.1*R168)</f>
        <v/>
      </c>
      <c r="BQ168" s="108">
        <f>10^(0.1*X168)</f>
        <v/>
      </c>
      <c r="BR168" s="108">
        <f>10^(0.1*AB168)</f>
        <v/>
      </c>
      <c r="BS168" s="108">
        <f>10^(0.1*AF168)</f>
        <v/>
      </c>
      <c r="BT168" s="108">
        <f>10^(0.1*AJ168)</f>
        <v/>
      </c>
      <c r="BU168" s="108">
        <f>10^(0.1*AN168)</f>
        <v/>
      </c>
      <c r="BV168" s="106">
        <f>IF(R168&gt;0,(O168-R168),"")</f>
        <v/>
      </c>
      <c r="BW168" s="106">
        <f>IF(X168&gt;0,(O168-X168),"")</f>
        <v/>
      </c>
      <c r="BX168" s="106">
        <f>IF(AB168&gt;0,(O168-AB168),"")</f>
        <v/>
      </c>
      <c r="BY168" s="106">
        <f>IF(AF168&gt;0,(O168-AF168),"")</f>
        <v/>
      </c>
      <c r="BZ168" s="106">
        <f>IF(AJ168&gt;0,(O168-AJ168),"")</f>
        <v/>
      </c>
      <c r="CA168" s="106">
        <f>IF(AN168&gt;0,(O168-AN168),"")</f>
        <v/>
      </c>
      <c r="CB168" s="106">
        <f>COUNT(BV168:CA168)</f>
        <v/>
      </c>
      <c r="CC168" s="464">
        <f>IF(CB168=0,0,IF(CB168=1,0,1/(CB168*(CB168-1))))</f>
        <v/>
      </c>
      <c r="CD168" s="136">
        <f>IF(R168&gt;0,(BV168^2),"")</f>
        <v/>
      </c>
      <c r="CE168" s="136">
        <f>IF(X168&gt;0,(BW168^2),"")</f>
        <v/>
      </c>
      <c r="CF168" s="136">
        <f>IF(AB168&gt;0,(BX168^2),"")</f>
        <v/>
      </c>
      <c r="CG168" s="136">
        <f>IF(AF168&gt;0,(BY168^2),"")</f>
        <v/>
      </c>
      <c r="CH168" s="136">
        <f>IF(AJ168&gt;0,(BZ168^2),"")</f>
        <v/>
      </c>
      <c r="CI168" s="136">
        <f>IF(AN168&gt;0,(CA168^2),"")</f>
        <v/>
      </c>
    </row>
    <row r="169" ht="18.75" customHeight="1" s="444">
      <c r="A169" s="340" t="inlineStr">
        <is>
          <t>/</t>
        </is>
      </c>
      <c r="B169" s="65">
        <f>B168+1</f>
        <v/>
      </c>
      <c r="C169" s="78" t="n"/>
      <c r="D169" s="83" t="n"/>
      <c r="E169" s="83" t="n"/>
      <c r="F169" s="329" t="n"/>
      <c r="G169" s="71" t="n">
        <v>40725</v>
      </c>
      <c r="H169" s="77" t="inlineStr">
        <is>
          <t>Compito</t>
        </is>
      </c>
      <c r="I169" s="77">
        <f>IF((V169-R169)&gt;3,"SI","")</f>
        <v/>
      </c>
      <c r="J169" s="77">
        <f>IF((U169-R169)&gt;3,"SI","")</f>
        <v/>
      </c>
      <c r="K169" s="77" t="n"/>
      <c r="L169" s="77" t="n"/>
      <c r="M169" s="137">
        <f>IF(R169&gt;0,(SQRT(CC169*(SUM(CD169:CI169)))),"")</f>
        <v/>
      </c>
      <c r="N169" s="4">
        <f>IF(T169&gt;0,(MAX(T169,Z169,AD169,AH169,AL169,AP169))+SQRT(1.2^2+1^2),"")</f>
        <v/>
      </c>
      <c r="O169" s="3">
        <f>IF(R169="",0,10*LOG10(SUM(BP169:BU169)/(COUNT(R169,X169,AB169,AF169,AJ169,AN169))))</f>
        <v/>
      </c>
      <c r="P169" s="5">
        <f>IF(AND(Y169="",AC169="",AG169="",AK169="",AO169=""),S169,AVERAGE(S169,Y169,AC169,AG169,AK169,AO169)+STDEV(S169,Y169,AC169,AG169,AK169,AO169))</f>
        <v/>
      </c>
      <c r="Q169" s="14" t="n"/>
      <c r="R169" s="11" t="n"/>
      <c r="S169" s="12" t="n"/>
      <c r="T169" s="13" t="n"/>
      <c r="U169" s="79" t="n"/>
      <c r="V169" s="79" t="n"/>
      <c r="W169" s="10" t="n"/>
      <c r="X169" s="11" t="n"/>
      <c r="Y169" s="12" t="n"/>
      <c r="Z169" s="13" t="n"/>
      <c r="AA169" s="10" t="n"/>
      <c r="AB169" s="11" t="n"/>
      <c r="AC169" s="12" t="n"/>
      <c r="AD169" s="13" t="n"/>
      <c r="AE169" s="14" t="n"/>
      <c r="AF169" s="11" t="n"/>
      <c r="AG169" s="12" t="n"/>
      <c r="AH169" s="13" t="n"/>
      <c r="AI169" s="10" t="n"/>
      <c r="AJ169" s="11" t="n"/>
      <c r="AK169" s="12" t="n"/>
      <c r="AL169" s="13" t="n"/>
      <c r="AM169" s="10" t="n"/>
      <c r="AN169" s="11" t="n"/>
      <c r="AO169" s="12" t="n"/>
      <c r="AP169" s="13" t="n"/>
      <c r="AQ169" s="6">
        <f>IF(AND((O169)&lt;85,N169&lt;137),"NO","SI")</f>
        <v/>
      </c>
      <c r="AR169" s="7">
        <f>IF((480*(10^(7.95-(O169/10))))&lt;480,480*(10^(7.95-(O169/10))),480)</f>
        <v/>
      </c>
      <c r="AS169" s="8">
        <f>IF((480*(10^(8.45-(O169/10))))&lt;480,480*(10^(8.45-(O169/10))),480)</f>
        <v/>
      </c>
      <c r="AT169" s="9">
        <f>IF((480*(10^(8.65-(O169/10))))&lt;480,480*(10^(8.65-(O169/10))),480)</f>
        <v/>
      </c>
      <c r="AU169" s="111">
        <f>IF(O169&lt;80,"0",IF((P169-O169)&lt;=2,('DPI art.191'!$G$3-(('DPI art.191'!$F$3-'DPI art.191'!$G$3)/4)*(P169-O169-2)),('DPI art.191'!$G$3-(('DPI art.191'!$G$3-'DPI art.191'!$H$3)/8)*(P169-O169-2))))</f>
        <v/>
      </c>
      <c r="AV169" s="24">
        <f>O169-AU169</f>
        <v/>
      </c>
      <c r="AW169" s="24">
        <f>IF(N169&lt;135,N169,N169-'DPI art.191'!$I$3)</f>
        <v/>
      </c>
      <c r="AX169" s="111">
        <f>IF(I169&lt;80,"0",IF((J169-I169)&lt;=2,('DPI art.191'!$G$7-(('DPI art.191'!$F$7-'DPI art.191'!$G$7)/4)*(I169-J169-2)),('DPI art.191'!$G$7-(('DPI art.191'!$G$7-'DPI art.191'!$H$7)/8)*(J169-I169-2))))</f>
        <v/>
      </c>
      <c r="AY169" s="24">
        <f>I169-AX169</f>
        <v/>
      </c>
      <c r="AZ169" s="24">
        <f>IF(H169&lt;135,H169,H169-'DPI art.191'!$I$7)</f>
        <v/>
      </c>
      <c r="BA169" s="111">
        <f>IF(O169&lt;80,"0",IF((P169-O169)&lt;=2,('DPI art.191'!$G$5-(('DPI art.191'!$F$5-'DPI art.191'!$G$5)/4)*(P169-O169-2)),('DPI art.191'!$G$5-(('DPI art.191'!$G$5-'DPI art.191'!$H$5)/8)*(P169-O169-2))))</f>
        <v/>
      </c>
      <c r="BB169" s="24">
        <f>R169-BA169</f>
        <v/>
      </c>
      <c r="BC169" s="24">
        <f>IF(N169&lt;135,N169,N169-'DPI art.191'!$I$5)</f>
        <v/>
      </c>
      <c r="BD169" s="111">
        <f>IF(O169&lt;80,"0",IF((P169-O169)&lt;=2,('DPI art.191'!$G$7-(('DPI art.191'!$F$7-'DPI art.191'!$G$7)/4)*(O169-P169-2)),('DPI art.191'!$G$7-(('DPI art.191'!$G$7-'DPI art.191'!$H$7)/8)*(P169-O169-2))))</f>
        <v/>
      </c>
      <c r="BE169" s="24">
        <f>O169-BD169</f>
        <v/>
      </c>
      <c r="BF169" s="24">
        <f>IF(N169&lt;135,N169,N169-'DPI art.191'!$I$7)</f>
        <v/>
      </c>
      <c r="BG169" s="111">
        <f>IF(AA169&lt;80,"0",IF((AB169-AA169)&lt;=2,('DPI art.191'!$G$3-(('DPI art.191'!$F$3-'DPI art.191'!$G$3)/4)*(AB169-AA169-2)),('DPI art.191'!$G$3-(('DPI art.191'!$G$3-'DPI art.191'!$H$3)/8)*(AB169-AA169-2))))</f>
        <v/>
      </c>
      <c r="BH169" s="24">
        <f>AA169-BG169</f>
        <v/>
      </c>
      <c r="BI169" s="24">
        <f>IF(Z169&lt;135,Z169,Z169-'DPI art.191'!$I$3)</f>
        <v/>
      </c>
      <c r="BJ169" s="111">
        <f>IF(U169&lt;80,"0",IF((V169-U169)&lt;=2,('DPI art.191'!$G$7-(('DPI art.191'!$F$7-'DPI art.191'!$G$7)/4)*(U169-V169-2)),('DPI art.191'!$G$7-(('DPI art.191'!$G$7-'DPI art.191'!$H$7)/8)*(V169-U169-2))))</f>
        <v/>
      </c>
      <c r="BK169" s="24">
        <f>U169-BJ169</f>
        <v/>
      </c>
      <c r="BL169" s="24">
        <f>IF(T169&lt;135,T169,T169-'DPI art.191'!$I$7)</f>
        <v/>
      </c>
      <c r="BM169" s="111">
        <f>IF(AA169&lt;80,"0",IF((AB169-AA169)&lt;=2,('DPI art.191'!$G$5-(('DPI art.191'!$F$5-'DPI art.191'!$G$5)/4)*(AB169-AA169-2)),('DPI art.191'!$G$5-(('DPI art.191'!$G$5-'DPI art.191'!$H$5)/8)*(AB169-AA169-2))))</f>
        <v/>
      </c>
      <c r="BN169" s="24">
        <f>AD169-BM169</f>
        <v/>
      </c>
      <c r="BO169" s="24">
        <f>IF(Z169&lt;135,Z169,Z169-'DPI art.191'!$I$5)</f>
        <v/>
      </c>
      <c r="BP169" s="108">
        <f>10^(0.1*R169)</f>
        <v/>
      </c>
      <c r="BQ169" s="108">
        <f>10^(0.1*X169)</f>
        <v/>
      </c>
      <c r="BR169" s="108">
        <f>10^(0.1*AB169)</f>
        <v/>
      </c>
      <c r="BS169" s="108">
        <f>10^(0.1*AF169)</f>
        <v/>
      </c>
      <c r="BT169" s="108">
        <f>10^(0.1*AJ169)</f>
        <v/>
      </c>
      <c r="BU169" s="108">
        <f>10^(0.1*AN169)</f>
        <v/>
      </c>
      <c r="BV169" s="106">
        <f>IF(R169&gt;0,(O169-R169),"")</f>
        <v/>
      </c>
      <c r="BW169" s="106">
        <f>IF(X169&gt;0,(O169-X169),"")</f>
        <v/>
      </c>
      <c r="BX169" s="106">
        <f>IF(AB169&gt;0,(O169-AB169),"")</f>
        <v/>
      </c>
      <c r="BY169" s="106">
        <f>IF(AF169&gt;0,(O169-AF169),"")</f>
        <v/>
      </c>
      <c r="BZ169" s="106">
        <f>IF(AJ169&gt;0,(O169-AJ169),"")</f>
        <v/>
      </c>
      <c r="CA169" s="106">
        <f>IF(AN169&gt;0,(O169-AN169),"")</f>
        <v/>
      </c>
      <c r="CB169" s="106">
        <f>COUNT(BV169:CA169)</f>
        <v/>
      </c>
      <c r="CC169" s="464">
        <f>IF(CB169=0,0,IF(CB169=1,0,1/(CB169*(CB169-1))))</f>
        <v/>
      </c>
      <c r="CD169" s="136">
        <f>IF(R169&gt;0,(BV169^2),"")</f>
        <v/>
      </c>
      <c r="CE169" s="136">
        <f>IF(X169&gt;0,(BW169^2),"")</f>
        <v/>
      </c>
      <c r="CF169" s="136">
        <f>IF(AB169&gt;0,(BX169^2),"")</f>
        <v/>
      </c>
      <c r="CG169" s="136">
        <f>IF(AF169&gt;0,(BY169^2),"")</f>
        <v/>
      </c>
      <c r="CH169" s="136">
        <f>IF(AJ169&gt;0,(BZ169^2),"")</f>
        <v/>
      </c>
      <c r="CI169" s="136">
        <f>IF(AN169&gt;0,(CA169^2),"")</f>
        <v/>
      </c>
    </row>
    <row r="170" ht="18.75" customHeight="1" s="444">
      <c r="A170" s="340" t="inlineStr">
        <is>
          <t>/</t>
        </is>
      </c>
      <c r="B170" s="65">
        <f>B169+1</f>
        <v/>
      </c>
      <c r="C170" s="78" t="n"/>
      <c r="D170" s="83" t="n"/>
      <c r="E170" s="83" t="n"/>
      <c r="F170" s="329" t="n"/>
      <c r="G170" s="71" t="n">
        <v>40725</v>
      </c>
      <c r="H170" s="77" t="inlineStr">
        <is>
          <t>Compito</t>
        </is>
      </c>
      <c r="I170" s="77">
        <f>IF((V170-R170)&gt;3,"SI","")</f>
        <v/>
      </c>
      <c r="J170" s="77">
        <f>IF((U170-R170)&gt;3,"SI","")</f>
        <v/>
      </c>
      <c r="K170" s="77" t="n"/>
      <c r="L170" s="77" t="n"/>
      <c r="M170" s="137">
        <f>IF(R170&gt;0,(SQRT(CC170*(SUM(CD170:CI170)))),"")</f>
        <v/>
      </c>
      <c r="N170" s="4">
        <f>IF(T170&gt;0,(MAX(T170,Z170,AD170,AH170,AL170,AP170))+SQRT(1.2^2+1^2),"")</f>
        <v/>
      </c>
      <c r="O170" s="3">
        <f>IF(R170="",0,10*LOG10(SUM(BP170:BU170)/(COUNT(R170,X170,AB170,AF170,AJ170,AN170))))</f>
        <v/>
      </c>
      <c r="P170" s="5">
        <f>IF(AND(Y170="",AC170="",AG170="",AK170="",AO170=""),S170,AVERAGE(S170,Y170,AC170,AG170,AK170,AO170)+STDEV(S170,Y170,AC170,AG170,AK170,AO170))</f>
        <v/>
      </c>
      <c r="Q170" s="14" t="n"/>
      <c r="R170" s="11" t="n"/>
      <c r="S170" s="12" t="n"/>
      <c r="T170" s="13" t="n"/>
      <c r="U170" s="79" t="n"/>
      <c r="V170" s="79" t="n"/>
      <c r="W170" s="10" t="n"/>
      <c r="X170" s="11" t="n"/>
      <c r="Y170" s="12" t="n"/>
      <c r="Z170" s="13" t="n"/>
      <c r="AA170" s="10" t="n"/>
      <c r="AB170" s="11" t="n"/>
      <c r="AC170" s="12" t="n"/>
      <c r="AD170" s="13" t="n"/>
      <c r="AE170" s="14" t="n"/>
      <c r="AF170" s="11" t="n"/>
      <c r="AG170" s="12" t="n"/>
      <c r="AH170" s="13" t="n"/>
      <c r="AI170" s="10" t="n"/>
      <c r="AJ170" s="11" t="n"/>
      <c r="AK170" s="12" t="n"/>
      <c r="AL170" s="13" t="n"/>
      <c r="AM170" s="10" t="n"/>
      <c r="AN170" s="11" t="n"/>
      <c r="AO170" s="12" t="n"/>
      <c r="AP170" s="13" t="n"/>
      <c r="AQ170" s="6">
        <f>IF(AND((O170)&lt;85,N170&lt;137),"NO","SI")</f>
        <v/>
      </c>
      <c r="AR170" s="7">
        <f>IF((480*(10^(7.95-(O170/10))))&lt;480,480*(10^(7.95-(O170/10))),480)</f>
        <v/>
      </c>
      <c r="AS170" s="8">
        <f>IF((480*(10^(8.45-(O170/10))))&lt;480,480*(10^(8.45-(O170/10))),480)</f>
        <v/>
      </c>
      <c r="AT170" s="9">
        <f>IF((480*(10^(8.65-(O170/10))))&lt;480,480*(10^(8.65-(O170/10))),480)</f>
        <v/>
      </c>
      <c r="AU170" s="111">
        <f>IF(O170&lt;80,"0",IF((P170-O170)&lt;=2,('DPI art.191'!$G$3-(('DPI art.191'!$F$3-'DPI art.191'!$G$3)/4)*(P170-O170-2)),('DPI art.191'!$G$3-(('DPI art.191'!$G$3-'DPI art.191'!$H$3)/8)*(P170-O170-2))))</f>
        <v/>
      </c>
      <c r="AV170" s="24">
        <f>O170-AU170</f>
        <v/>
      </c>
      <c r="AW170" s="24">
        <f>IF(N170&lt;135,N170,N170-'DPI art.191'!$I$3)</f>
        <v/>
      </c>
      <c r="AX170" s="111">
        <f>IF(I170&lt;80,"0",IF((J170-I170)&lt;=2,('DPI art.191'!$G$7-(('DPI art.191'!$F$7-'DPI art.191'!$G$7)/4)*(I170-J170-2)),('DPI art.191'!$G$7-(('DPI art.191'!$G$7-'DPI art.191'!$H$7)/8)*(J170-I170-2))))</f>
        <v/>
      </c>
      <c r="AY170" s="24">
        <f>I170-AX170</f>
        <v/>
      </c>
      <c r="AZ170" s="24">
        <f>IF(H170&lt;135,H170,H170-'DPI art.191'!$I$7)</f>
        <v/>
      </c>
      <c r="BA170" s="111">
        <f>IF(O170&lt;80,"0",IF((P170-O170)&lt;=2,('DPI art.191'!$G$5-(('DPI art.191'!$F$5-'DPI art.191'!$G$5)/4)*(P170-O170-2)),('DPI art.191'!$G$5-(('DPI art.191'!$G$5-'DPI art.191'!$H$5)/8)*(P170-O170-2))))</f>
        <v/>
      </c>
      <c r="BB170" s="24">
        <f>R170-BA170</f>
        <v/>
      </c>
      <c r="BC170" s="24">
        <f>IF(N170&lt;135,N170,N170-'DPI art.191'!$I$5)</f>
        <v/>
      </c>
      <c r="BD170" s="111">
        <f>IF(O170&lt;80,"0",IF((P170-O170)&lt;=2,('DPI art.191'!$G$7-(('DPI art.191'!$F$7-'DPI art.191'!$G$7)/4)*(O170-P170-2)),('DPI art.191'!$G$7-(('DPI art.191'!$G$7-'DPI art.191'!$H$7)/8)*(P170-O170-2))))</f>
        <v/>
      </c>
      <c r="BE170" s="24">
        <f>O170-BD170</f>
        <v/>
      </c>
      <c r="BF170" s="24">
        <f>IF(N170&lt;135,N170,N170-'DPI art.191'!$I$7)</f>
        <v/>
      </c>
      <c r="BG170" s="111">
        <f>IF(AA170&lt;80,"0",IF((AB170-AA170)&lt;=2,('DPI art.191'!$G$3-(('DPI art.191'!$F$3-'DPI art.191'!$G$3)/4)*(AB170-AA170-2)),('DPI art.191'!$G$3-(('DPI art.191'!$G$3-'DPI art.191'!$H$3)/8)*(AB170-AA170-2))))</f>
        <v/>
      </c>
      <c r="BH170" s="24">
        <f>AA170-BG170</f>
        <v/>
      </c>
      <c r="BI170" s="24">
        <f>IF(Z170&lt;135,Z170,Z170-'DPI art.191'!$I$3)</f>
        <v/>
      </c>
      <c r="BJ170" s="111">
        <f>IF(U170&lt;80,"0",IF((V170-U170)&lt;=2,('DPI art.191'!$G$7-(('DPI art.191'!$F$7-'DPI art.191'!$G$7)/4)*(U170-V170-2)),('DPI art.191'!$G$7-(('DPI art.191'!$G$7-'DPI art.191'!$H$7)/8)*(V170-U170-2))))</f>
        <v/>
      </c>
      <c r="BK170" s="24">
        <f>U170-BJ170</f>
        <v/>
      </c>
      <c r="BL170" s="24">
        <f>IF(T170&lt;135,T170,T170-'DPI art.191'!$I$7)</f>
        <v/>
      </c>
      <c r="BM170" s="111">
        <f>IF(AA170&lt;80,"0",IF((AB170-AA170)&lt;=2,('DPI art.191'!$G$5-(('DPI art.191'!$F$5-'DPI art.191'!$G$5)/4)*(AB170-AA170-2)),('DPI art.191'!$G$5-(('DPI art.191'!$G$5-'DPI art.191'!$H$5)/8)*(AB170-AA170-2))))</f>
        <v/>
      </c>
      <c r="BN170" s="24">
        <f>AD170-BM170</f>
        <v/>
      </c>
      <c r="BO170" s="24">
        <f>IF(Z170&lt;135,Z170,Z170-'DPI art.191'!$I$5)</f>
        <v/>
      </c>
      <c r="BP170" s="108">
        <f>10^(0.1*R170)</f>
        <v/>
      </c>
      <c r="BQ170" s="108">
        <f>10^(0.1*X170)</f>
        <v/>
      </c>
      <c r="BR170" s="108">
        <f>10^(0.1*AB170)</f>
        <v/>
      </c>
      <c r="BS170" s="108">
        <f>10^(0.1*AF170)</f>
        <v/>
      </c>
      <c r="BT170" s="108">
        <f>10^(0.1*AJ170)</f>
        <v/>
      </c>
      <c r="BU170" s="108">
        <f>10^(0.1*AN170)</f>
        <v/>
      </c>
      <c r="BV170" s="106">
        <f>IF(R170&gt;0,(O170-R170),"")</f>
        <v/>
      </c>
      <c r="BW170" s="106">
        <f>IF(X170&gt;0,(O170-X170),"")</f>
        <v/>
      </c>
      <c r="BX170" s="106">
        <f>IF(AB170&gt;0,(O170-AB170),"")</f>
        <v/>
      </c>
      <c r="BY170" s="106">
        <f>IF(AF170&gt;0,(O170-AF170),"")</f>
        <v/>
      </c>
      <c r="BZ170" s="106">
        <f>IF(AJ170&gt;0,(O170-AJ170),"")</f>
        <v/>
      </c>
      <c r="CA170" s="106">
        <f>IF(AN170&gt;0,(O170-AN170),"")</f>
        <v/>
      </c>
      <c r="CB170" s="106">
        <f>COUNT(BV170:CA170)</f>
        <v/>
      </c>
      <c r="CC170" s="464">
        <f>IF(CB170=0,0,IF(CB170=1,0,1/(CB170*(CB170-1))))</f>
        <v/>
      </c>
      <c r="CD170" s="136">
        <f>IF(R170&gt;0,(BV170^2),"")</f>
        <v/>
      </c>
      <c r="CE170" s="136">
        <f>IF(X170&gt;0,(BW170^2),"")</f>
        <v/>
      </c>
      <c r="CF170" s="136">
        <f>IF(AB170&gt;0,(BX170^2),"")</f>
        <v/>
      </c>
      <c r="CG170" s="136">
        <f>IF(AF170&gt;0,(BY170^2),"")</f>
        <v/>
      </c>
      <c r="CH170" s="136">
        <f>IF(AJ170&gt;0,(BZ170^2),"")</f>
        <v/>
      </c>
      <c r="CI170" s="136">
        <f>IF(AN170&gt;0,(CA170^2),"")</f>
        <v/>
      </c>
    </row>
    <row r="171" ht="18.75" customHeight="1" s="444">
      <c r="A171" s="340" t="inlineStr">
        <is>
          <t>/</t>
        </is>
      </c>
      <c r="B171" s="65">
        <f>B170+1</f>
        <v/>
      </c>
      <c r="C171" s="78" t="n"/>
      <c r="D171" s="83" t="n"/>
      <c r="E171" s="83" t="n"/>
      <c r="F171" s="329" t="n"/>
      <c r="G171" s="71" t="n">
        <v>40725</v>
      </c>
      <c r="H171" s="77" t="inlineStr">
        <is>
          <t>Compito</t>
        </is>
      </c>
      <c r="I171" s="77">
        <f>IF((V171-R171)&gt;3,"SI","")</f>
        <v/>
      </c>
      <c r="J171" s="77">
        <f>IF((U171-R171)&gt;3,"SI","")</f>
        <v/>
      </c>
      <c r="K171" s="77" t="n"/>
      <c r="L171" s="77" t="n"/>
      <c r="M171" s="137">
        <f>IF(R171&gt;0,(SQRT(CC171*(SUM(CD171:CI171)))),"")</f>
        <v/>
      </c>
      <c r="N171" s="4">
        <f>IF(T171&gt;0,(MAX(T171,Z171,AD171,AH171,AL171,AP171))+SQRT(1.2^2+1^2),"")</f>
        <v/>
      </c>
      <c r="O171" s="3">
        <f>IF(R171="",0,10*LOG10(SUM(BP171:BU171)/(COUNT(R171,X171,AB171,AF171,AJ171,AN171))))</f>
        <v/>
      </c>
      <c r="P171" s="5">
        <f>IF(AND(Y171="",AC171="",AG171="",AK171="",AO171=""),S171,AVERAGE(S171,Y171,AC171,AG171,AK171,AO171)+STDEV(S171,Y171,AC171,AG171,AK171,AO171))</f>
        <v/>
      </c>
      <c r="Q171" s="14" t="n"/>
      <c r="R171" s="11" t="n"/>
      <c r="S171" s="12" t="n"/>
      <c r="T171" s="13" t="n"/>
      <c r="U171" s="79" t="n"/>
      <c r="V171" s="79" t="n"/>
      <c r="W171" s="10" t="n"/>
      <c r="X171" s="11" t="n"/>
      <c r="Y171" s="12" t="n"/>
      <c r="Z171" s="13" t="n"/>
      <c r="AA171" s="10" t="n"/>
      <c r="AB171" s="11" t="n"/>
      <c r="AC171" s="12" t="n"/>
      <c r="AD171" s="13" t="n"/>
      <c r="AE171" s="14" t="n"/>
      <c r="AF171" s="11" t="n"/>
      <c r="AG171" s="12" t="n"/>
      <c r="AH171" s="13" t="n"/>
      <c r="AI171" s="10" t="n"/>
      <c r="AJ171" s="11" t="n"/>
      <c r="AK171" s="12" t="n"/>
      <c r="AL171" s="13" t="n"/>
      <c r="AM171" s="10" t="n"/>
      <c r="AN171" s="11" t="n"/>
      <c r="AO171" s="12" t="n"/>
      <c r="AP171" s="13" t="n"/>
      <c r="AQ171" s="6">
        <f>IF(AND((O171)&lt;85,N171&lt;137),"NO","SI")</f>
        <v/>
      </c>
      <c r="AR171" s="7">
        <f>IF((480*(10^(7.95-(O171/10))))&lt;480,480*(10^(7.95-(O171/10))),480)</f>
        <v/>
      </c>
      <c r="AS171" s="8">
        <f>IF((480*(10^(8.45-(O171/10))))&lt;480,480*(10^(8.45-(O171/10))),480)</f>
        <v/>
      </c>
      <c r="AT171" s="9">
        <f>IF((480*(10^(8.65-(O171/10))))&lt;480,480*(10^(8.65-(O171/10))),480)</f>
        <v/>
      </c>
      <c r="AU171" s="111">
        <f>IF(O171&lt;80,"0",IF((P171-O171)&lt;=2,('DPI art.191'!$G$3-(('DPI art.191'!$F$3-'DPI art.191'!$G$3)/4)*(P171-O171-2)),('DPI art.191'!$G$3-(('DPI art.191'!$G$3-'DPI art.191'!$H$3)/8)*(P171-O171-2))))</f>
        <v/>
      </c>
      <c r="AV171" s="24">
        <f>O171-AU171</f>
        <v/>
      </c>
      <c r="AW171" s="24">
        <f>IF(N171&lt;135,N171,N171-'DPI art.191'!$I$3)</f>
        <v/>
      </c>
      <c r="AX171" s="111">
        <f>IF(I171&lt;80,"0",IF((J171-I171)&lt;=2,('DPI art.191'!$G$7-(('DPI art.191'!$F$7-'DPI art.191'!$G$7)/4)*(I171-J171-2)),('DPI art.191'!$G$7-(('DPI art.191'!$G$7-'DPI art.191'!$H$7)/8)*(J171-I171-2))))</f>
        <v/>
      </c>
      <c r="AY171" s="24">
        <f>I171-AX171</f>
        <v/>
      </c>
      <c r="AZ171" s="24">
        <f>IF(H171&lt;135,H171,H171-'DPI art.191'!$I$7)</f>
        <v/>
      </c>
      <c r="BA171" s="111">
        <f>IF(O171&lt;80,"0",IF((P171-O171)&lt;=2,('DPI art.191'!$G$5-(('DPI art.191'!$F$5-'DPI art.191'!$G$5)/4)*(P171-O171-2)),('DPI art.191'!$G$5-(('DPI art.191'!$G$5-'DPI art.191'!$H$5)/8)*(P171-O171-2))))</f>
        <v/>
      </c>
      <c r="BB171" s="24">
        <f>R171-BA171</f>
        <v/>
      </c>
      <c r="BC171" s="24">
        <f>IF(N171&lt;135,N171,N171-'DPI art.191'!$I$5)</f>
        <v/>
      </c>
      <c r="BD171" s="111">
        <f>IF(O171&lt;80,"0",IF((P171-O171)&lt;=2,('DPI art.191'!$G$7-(('DPI art.191'!$F$7-'DPI art.191'!$G$7)/4)*(O171-P171-2)),('DPI art.191'!$G$7-(('DPI art.191'!$G$7-'DPI art.191'!$H$7)/8)*(P171-O171-2))))</f>
        <v/>
      </c>
      <c r="BE171" s="24">
        <f>O171-BD171</f>
        <v/>
      </c>
      <c r="BF171" s="24">
        <f>IF(N171&lt;135,N171,N171-'DPI art.191'!$I$7)</f>
        <v/>
      </c>
      <c r="BG171" s="111">
        <f>IF(AA171&lt;80,"0",IF((AB171-AA171)&lt;=2,('DPI art.191'!$G$3-(('DPI art.191'!$F$3-'DPI art.191'!$G$3)/4)*(AB171-AA171-2)),('DPI art.191'!$G$3-(('DPI art.191'!$G$3-'DPI art.191'!$H$3)/8)*(AB171-AA171-2))))</f>
        <v/>
      </c>
      <c r="BH171" s="24">
        <f>AA171-BG171</f>
        <v/>
      </c>
      <c r="BI171" s="24">
        <f>IF(Z171&lt;135,Z171,Z171-'DPI art.191'!$I$3)</f>
        <v/>
      </c>
      <c r="BJ171" s="111">
        <f>IF(U171&lt;80,"0",IF((V171-U171)&lt;=2,('DPI art.191'!$G$7-(('DPI art.191'!$F$7-'DPI art.191'!$G$7)/4)*(U171-V171-2)),('DPI art.191'!$G$7-(('DPI art.191'!$G$7-'DPI art.191'!$H$7)/8)*(V171-U171-2))))</f>
        <v/>
      </c>
      <c r="BK171" s="24">
        <f>U171-BJ171</f>
        <v/>
      </c>
      <c r="BL171" s="24">
        <f>IF(T171&lt;135,T171,T171-'DPI art.191'!$I$7)</f>
        <v/>
      </c>
      <c r="BM171" s="111">
        <f>IF(AA171&lt;80,"0",IF((AB171-AA171)&lt;=2,('DPI art.191'!$G$5-(('DPI art.191'!$F$5-'DPI art.191'!$G$5)/4)*(AB171-AA171-2)),('DPI art.191'!$G$5-(('DPI art.191'!$G$5-'DPI art.191'!$H$5)/8)*(AB171-AA171-2))))</f>
        <v/>
      </c>
      <c r="BN171" s="24">
        <f>AD171-BM171</f>
        <v/>
      </c>
      <c r="BO171" s="24">
        <f>IF(Z171&lt;135,Z171,Z171-'DPI art.191'!$I$5)</f>
        <v/>
      </c>
      <c r="BP171" s="108">
        <f>10^(0.1*R171)</f>
        <v/>
      </c>
      <c r="BQ171" s="108">
        <f>10^(0.1*X171)</f>
        <v/>
      </c>
      <c r="BR171" s="108">
        <f>10^(0.1*AB171)</f>
        <v/>
      </c>
      <c r="BS171" s="108">
        <f>10^(0.1*AF171)</f>
        <v/>
      </c>
      <c r="BT171" s="108">
        <f>10^(0.1*AJ171)</f>
        <v/>
      </c>
      <c r="BU171" s="108">
        <f>10^(0.1*AN171)</f>
        <v/>
      </c>
      <c r="BV171" s="106">
        <f>IF(R171&gt;0,(O171-R171),"")</f>
        <v/>
      </c>
      <c r="BW171" s="106">
        <f>IF(X171&gt;0,(O171-X171),"")</f>
        <v/>
      </c>
      <c r="BX171" s="106">
        <f>IF(AB171&gt;0,(O171-AB171),"")</f>
        <v/>
      </c>
      <c r="BY171" s="106">
        <f>IF(AF171&gt;0,(O171-AF171),"")</f>
        <v/>
      </c>
      <c r="BZ171" s="106">
        <f>IF(AJ171&gt;0,(O171-AJ171),"")</f>
        <v/>
      </c>
      <c r="CA171" s="106">
        <f>IF(AN171&gt;0,(O171-AN171),"")</f>
        <v/>
      </c>
      <c r="CB171" s="106">
        <f>COUNT(BV171:CA171)</f>
        <v/>
      </c>
      <c r="CC171" s="464">
        <f>IF(CB171=0,0,IF(CB171=1,0,1/(CB171*(CB171-1))))</f>
        <v/>
      </c>
      <c r="CD171" s="136">
        <f>IF(R171&gt;0,(BV171^2),"")</f>
        <v/>
      </c>
      <c r="CE171" s="136">
        <f>IF(X171&gt;0,(BW171^2),"")</f>
        <v/>
      </c>
      <c r="CF171" s="136">
        <f>IF(AB171&gt;0,(BX171^2),"")</f>
        <v/>
      </c>
      <c r="CG171" s="136">
        <f>IF(AF171&gt;0,(BY171^2),"")</f>
        <v/>
      </c>
      <c r="CH171" s="136">
        <f>IF(AJ171&gt;0,(BZ171^2),"")</f>
        <v/>
      </c>
      <c r="CI171" s="136">
        <f>IF(AN171&gt;0,(CA171^2),"")</f>
        <v/>
      </c>
    </row>
    <row r="172" ht="18.75" customHeight="1" s="444">
      <c r="A172" s="340" t="inlineStr">
        <is>
          <t>/</t>
        </is>
      </c>
      <c r="B172" s="65">
        <f>B171+1</f>
        <v/>
      </c>
      <c r="C172" s="78" t="n"/>
      <c r="D172" s="83" t="n"/>
      <c r="E172" s="83" t="n"/>
      <c r="F172" s="329" t="n"/>
      <c r="G172" s="71" t="n">
        <v>40725</v>
      </c>
      <c r="H172" s="77" t="inlineStr">
        <is>
          <t>Compito</t>
        </is>
      </c>
      <c r="I172" s="77">
        <f>IF((V172-R172)&gt;3,"SI","")</f>
        <v/>
      </c>
      <c r="J172" s="77">
        <f>IF((U172-R172)&gt;3,"SI","")</f>
        <v/>
      </c>
      <c r="K172" s="77" t="n"/>
      <c r="L172" s="77" t="n"/>
      <c r="M172" s="137">
        <f>IF(R172&gt;0,(SQRT(CC172*(SUM(CD172:CI172)))),"")</f>
        <v/>
      </c>
      <c r="N172" s="4">
        <f>IF(T172&gt;0,(MAX(T172,Z172,AD172,AH172,AL172,AP172))+SQRT(1.2^2+1^2),"")</f>
        <v/>
      </c>
      <c r="O172" s="3">
        <f>IF(R172="",0,10*LOG10(SUM(BP172:BU172)/(COUNT(R172,X172,AB172,AF172,AJ172,AN172))))</f>
        <v/>
      </c>
      <c r="P172" s="5">
        <f>IF(AND(Y172="",AC172="",AG172="",AK172="",AO172=""),S172,AVERAGE(S172,Y172,AC172,AG172,AK172,AO172)+STDEV(S172,Y172,AC172,AG172,AK172,AO172))</f>
        <v/>
      </c>
      <c r="Q172" s="14" t="n"/>
      <c r="R172" s="11" t="n"/>
      <c r="S172" s="12" t="n"/>
      <c r="T172" s="13" t="n"/>
      <c r="U172" s="79" t="n"/>
      <c r="V172" s="79" t="n"/>
      <c r="W172" s="10" t="n"/>
      <c r="X172" s="11" t="n"/>
      <c r="Y172" s="12" t="n"/>
      <c r="Z172" s="13" t="n"/>
      <c r="AA172" s="10" t="n"/>
      <c r="AB172" s="11" t="n"/>
      <c r="AC172" s="12" t="n"/>
      <c r="AD172" s="13" t="n"/>
      <c r="AE172" s="14" t="n"/>
      <c r="AF172" s="11" t="n"/>
      <c r="AG172" s="12" t="n"/>
      <c r="AH172" s="13" t="n"/>
      <c r="AI172" s="10" t="n"/>
      <c r="AJ172" s="11" t="n"/>
      <c r="AK172" s="12" t="n"/>
      <c r="AL172" s="13" t="n"/>
      <c r="AM172" s="10" t="n"/>
      <c r="AN172" s="11" t="n"/>
      <c r="AO172" s="12" t="n"/>
      <c r="AP172" s="13" t="n"/>
      <c r="AQ172" s="6">
        <f>IF(AND((O172)&lt;85,N172&lt;137),"NO","SI")</f>
        <v/>
      </c>
      <c r="AR172" s="7">
        <f>IF((480*(10^(7.95-(O172/10))))&lt;480,480*(10^(7.95-(O172/10))),480)</f>
        <v/>
      </c>
      <c r="AS172" s="8">
        <f>IF((480*(10^(8.45-(O172/10))))&lt;480,480*(10^(8.45-(O172/10))),480)</f>
        <v/>
      </c>
      <c r="AT172" s="9">
        <f>IF((480*(10^(8.65-(O172/10))))&lt;480,480*(10^(8.65-(O172/10))),480)</f>
        <v/>
      </c>
      <c r="AU172" s="111">
        <f>IF(O172&lt;80,"0",IF((P172-O172)&lt;=2,('DPI art.191'!$G$3-(('DPI art.191'!$F$3-'DPI art.191'!$G$3)/4)*(P172-O172-2)),('DPI art.191'!$G$3-(('DPI art.191'!$G$3-'DPI art.191'!$H$3)/8)*(P172-O172-2))))</f>
        <v/>
      </c>
      <c r="AV172" s="24">
        <f>O172-AU172</f>
        <v/>
      </c>
      <c r="AW172" s="24">
        <f>IF(N172&lt;135,N172,N172-'DPI art.191'!$I$3)</f>
        <v/>
      </c>
      <c r="AX172" s="111">
        <f>IF(I172&lt;80,"0",IF((J172-I172)&lt;=2,('DPI art.191'!$G$7-(('DPI art.191'!$F$7-'DPI art.191'!$G$7)/4)*(I172-J172-2)),('DPI art.191'!$G$7-(('DPI art.191'!$G$7-'DPI art.191'!$H$7)/8)*(J172-I172-2))))</f>
        <v/>
      </c>
      <c r="AY172" s="24">
        <f>I172-AX172</f>
        <v/>
      </c>
      <c r="AZ172" s="24">
        <f>IF(H172&lt;135,H172,H172-'DPI art.191'!$I$7)</f>
        <v/>
      </c>
      <c r="BA172" s="111">
        <f>IF(O172&lt;80,"0",IF((P172-O172)&lt;=2,('DPI art.191'!$G$5-(('DPI art.191'!$F$5-'DPI art.191'!$G$5)/4)*(P172-O172-2)),('DPI art.191'!$G$5-(('DPI art.191'!$G$5-'DPI art.191'!$H$5)/8)*(P172-O172-2))))</f>
        <v/>
      </c>
      <c r="BB172" s="24">
        <f>R172-BA172</f>
        <v/>
      </c>
      <c r="BC172" s="24">
        <f>IF(N172&lt;135,N172,N172-'DPI art.191'!$I$5)</f>
        <v/>
      </c>
      <c r="BD172" s="111">
        <f>IF(O172&lt;80,"0",IF((P172-O172)&lt;=2,('DPI art.191'!$G$7-(('DPI art.191'!$F$7-'DPI art.191'!$G$7)/4)*(O172-P172-2)),('DPI art.191'!$G$7-(('DPI art.191'!$G$7-'DPI art.191'!$H$7)/8)*(P172-O172-2))))</f>
        <v/>
      </c>
      <c r="BE172" s="24">
        <f>O172-BD172</f>
        <v/>
      </c>
      <c r="BF172" s="24">
        <f>IF(N172&lt;135,N172,N172-'DPI art.191'!$I$7)</f>
        <v/>
      </c>
      <c r="BG172" s="111">
        <f>IF(AA172&lt;80,"0",IF((AB172-AA172)&lt;=2,('DPI art.191'!$G$3-(('DPI art.191'!$F$3-'DPI art.191'!$G$3)/4)*(AB172-AA172-2)),('DPI art.191'!$G$3-(('DPI art.191'!$G$3-'DPI art.191'!$H$3)/8)*(AB172-AA172-2))))</f>
        <v/>
      </c>
      <c r="BH172" s="24">
        <f>AA172-BG172</f>
        <v/>
      </c>
      <c r="BI172" s="24">
        <f>IF(Z172&lt;135,Z172,Z172-'DPI art.191'!$I$3)</f>
        <v/>
      </c>
      <c r="BJ172" s="111">
        <f>IF(U172&lt;80,"0",IF((V172-U172)&lt;=2,('DPI art.191'!$G$7-(('DPI art.191'!$F$7-'DPI art.191'!$G$7)/4)*(U172-V172-2)),('DPI art.191'!$G$7-(('DPI art.191'!$G$7-'DPI art.191'!$H$7)/8)*(V172-U172-2))))</f>
        <v/>
      </c>
      <c r="BK172" s="24">
        <f>U172-BJ172</f>
        <v/>
      </c>
      <c r="BL172" s="24">
        <f>IF(T172&lt;135,T172,T172-'DPI art.191'!$I$7)</f>
        <v/>
      </c>
      <c r="BM172" s="111">
        <f>IF(AA172&lt;80,"0",IF((AB172-AA172)&lt;=2,('DPI art.191'!$G$5-(('DPI art.191'!$F$5-'DPI art.191'!$G$5)/4)*(AB172-AA172-2)),('DPI art.191'!$G$5-(('DPI art.191'!$G$5-'DPI art.191'!$H$5)/8)*(AB172-AA172-2))))</f>
        <v/>
      </c>
      <c r="BN172" s="24">
        <f>AD172-BM172</f>
        <v/>
      </c>
      <c r="BO172" s="24">
        <f>IF(Z172&lt;135,Z172,Z172-'DPI art.191'!$I$5)</f>
        <v/>
      </c>
      <c r="BP172" s="108">
        <f>10^(0.1*R172)</f>
        <v/>
      </c>
      <c r="BQ172" s="108">
        <f>10^(0.1*X172)</f>
        <v/>
      </c>
      <c r="BR172" s="108">
        <f>10^(0.1*AB172)</f>
        <v/>
      </c>
      <c r="BS172" s="108">
        <f>10^(0.1*AF172)</f>
        <v/>
      </c>
      <c r="BT172" s="108">
        <f>10^(0.1*AJ172)</f>
        <v/>
      </c>
      <c r="BU172" s="108">
        <f>10^(0.1*AN172)</f>
        <v/>
      </c>
      <c r="BV172" s="106">
        <f>IF(R172&gt;0,(O172-R172),"")</f>
        <v/>
      </c>
      <c r="BW172" s="106">
        <f>IF(X172&gt;0,(O172-X172),"")</f>
        <v/>
      </c>
      <c r="BX172" s="106">
        <f>IF(AB172&gt;0,(O172-AB172),"")</f>
        <v/>
      </c>
      <c r="BY172" s="106">
        <f>IF(AF172&gt;0,(O172-AF172),"")</f>
        <v/>
      </c>
      <c r="BZ172" s="106">
        <f>IF(AJ172&gt;0,(O172-AJ172),"")</f>
        <v/>
      </c>
      <c r="CA172" s="106">
        <f>IF(AN172&gt;0,(O172-AN172),"")</f>
        <v/>
      </c>
      <c r="CB172" s="106">
        <f>COUNT(BV172:CA172)</f>
        <v/>
      </c>
      <c r="CC172" s="464">
        <f>IF(CB172=0,0,IF(CB172=1,0,1/(CB172*(CB172-1))))</f>
        <v/>
      </c>
      <c r="CD172" s="136">
        <f>IF(R172&gt;0,(BV172^2),"")</f>
        <v/>
      </c>
      <c r="CE172" s="136">
        <f>IF(X172&gt;0,(BW172^2),"")</f>
        <v/>
      </c>
      <c r="CF172" s="136">
        <f>IF(AB172&gt;0,(BX172^2),"")</f>
        <v/>
      </c>
      <c r="CG172" s="136">
        <f>IF(AF172&gt;0,(BY172^2),"")</f>
        <v/>
      </c>
      <c r="CH172" s="136">
        <f>IF(AJ172&gt;0,(BZ172^2),"")</f>
        <v/>
      </c>
      <c r="CI172" s="136">
        <f>IF(AN172&gt;0,(CA172^2),"")</f>
        <v/>
      </c>
    </row>
    <row r="173" ht="18.75" customHeight="1" s="444">
      <c r="A173" s="340" t="inlineStr">
        <is>
          <t>/</t>
        </is>
      </c>
      <c r="B173" s="65">
        <f>B172+1</f>
        <v/>
      </c>
      <c r="C173" s="78" t="n"/>
      <c r="D173" s="83" t="n"/>
      <c r="E173" s="83" t="n"/>
      <c r="F173" s="329" t="n"/>
      <c r="G173" s="71" t="n">
        <v>40725</v>
      </c>
      <c r="H173" s="77" t="inlineStr">
        <is>
          <t>Compito</t>
        </is>
      </c>
      <c r="I173" s="77">
        <f>IF((V173-R173)&gt;3,"SI","")</f>
        <v/>
      </c>
      <c r="J173" s="77">
        <f>IF((U173-R173)&gt;3,"SI","")</f>
        <v/>
      </c>
      <c r="K173" s="77" t="n"/>
      <c r="L173" s="77" t="n"/>
      <c r="M173" s="137">
        <f>IF(R173&gt;0,(SQRT(CC173*(SUM(CD173:CI173)))),"")</f>
        <v/>
      </c>
      <c r="N173" s="4">
        <f>IF(T173&gt;0,(MAX(T173,Z173,AD173,AH173,AL173,AP173))+SQRT(1.2^2+1^2),"")</f>
        <v/>
      </c>
      <c r="O173" s="3">
        <f>IF(R173="",0,10*LOG10(SUM(BP173:BU173)/(COUNT(R173,X173,AB173,AF173,AJ173,AN173))))</f>
        <v/>
      </c>
      <c r="P173" s="5">
        <f>IF(AND(Y173="",AC173="",AG173="",AK173="",AO173=""),S173,AVERAGE(S173,Y173,AC173,AG173,AK173,AO173)+STDEV(S173,Y173,AC173,AG173,AK173,AO173))</f>
        <v/>
      </c>
      <c r="Q173" s="14" t="n"/>
      <c r="R173" s="11" t="n"/>
      <c r="S173" s="12" t="n"/>
      <c r="T173" s="13" t="n"/>
      <c r="U173" s="79" t="n"/>
      <c r="V173" s="79" t="n"/>
      <c r="W173" s="10" t="n"/>
      <c r="X173" s="11" t="n"/>
      <c r="Y173" s="12" t="n"/>
      <c r="Z173" s="13" t="n"/>
      <c r="AA173" s="10" t="n"/>
      <c r="AB173" s="11" t="n"/>
      <c r="AC173" s="12" t="n"/>
      <c r="AD173" s="13" t="n"/>
      <c r="AE173" s="14" t="n"/>
      <c r="AF173" s="11" t="n"/>
      <c r="AG173" s="12" t="n"/>
      <c r="AH173" s="13" t="n"/>
      <c r="AI173" s="10" t="n"/>
      <c r="AJ173" s="11" t="n"/>
      <c r="AK173" s="12" t="n"/>
      <c r="AL173" s="13" t="n"/>
      <c r="AM173" s="10" t="n"/>
      <c r="AN173" s="11" t="n"/>
      <c r="AO173" s="12" t="n"/>
      <c r="AP173" s="13" t="n"/>
      <c r="AQ173" s="6">
        <f>IF(AND((O173)&lt;85,N173&lt;137),"NO","SI")</f>
        <v/>
      </c>
      <c r="AR173" s="7">
        <f>IF((480*(10^(7.95-(O173/10))))&lt;480,480*(10^(7.95-(O173/10))),480)</f>
        <v/>
      </c>
      <c r="AS173" s="8">
        <f>IF((480*(10^(8.45-(O173/10))))&lt;480,480*(10^(8.45-(O173/10))),480)</f>
        <v/>
      </c>
      <c r="AT173" s="9">
        <f>IF((480*(10^(8.65-(O173/10))))&lt;480,480*(10^(8.65-(O173/10))),480)</f>
        <v/>
      </c>
      <c r="AU173" s="111">
        <f>IF(O173&lt;80,"0",IF((P173-O173)&lt;=2,('DPI art.191'!$G$3-(('DPI art.191'!$F$3-'DPI art.191'!$G$3)/4)*(P173-O173-2)),('DPI art.191'!$G$3-(('DPI art.191'!$G$3-'DPI art.191'!$H$3)/8)*(P173-O173-2))))</f>
        <v/>
      </c>
      <c r="AV173" s="24">
        <f>O173-AU173</f>
        <v/>
      </c>
      <c r="AW173" s="24">
        <f>IF(N173&lt;135,N173,N173-'DPI art.191'!$I$3)</f>
        <v/>
      </c>
      <c r="AX173" s="111">
        <f>IF(I173&lt;80,"0",IF((J173-I173)&lt;=2,('DPI art.191'!$G$7-(('DPI art.191'!$F$7-'DPI art.191'!$G$7)/4)*(I173-J173-2)),('DPI art.191'!$G$7-(('DPI art.191'!$G$7-'DPI art.191'!$H$7)/8)*(J173-I173-2))))</f>
        <v/>
      </c>
      <c r="AY173" s="24">
        <f>I173-AX173</f>
        <v/>
      </c>
      <c r="AZ173" s="24">
        <f>IF(H173&lt;135,H173,H173-'DPI art.191'!$I$7)</f>
        <v/>
      </c>
      <c r="BA173" s="111">
        <f>IF(O173&lt;80,"0",IF((P173-O173)&lt;=2,('DPI art.191'!$G$5-(('DPI art.191'!$F$5-'DPI art.191'!$G$5)/4)*(P173-O173-2)),('DPI art.191'!$G$5-(('DPI art.191'!$G$5-'DPI art.191'!$H$5)/8)*(P173-O173-2))))</f>
        <v/>
      </c>
      <c r="BB173" s="24">
        <f>R173-BA173</f>
        <v/>
      </c>
      <c r="BC173" s="24">
        <f>IF(N173&lt;135,N173,N173-'DPI art.191'!$I$5)</f>
        <v/>
      </c>
      <c r="BD173" s="111">
        <f>IF(O173&lt;80,"0",IF((P173-O173)&lt;=2,('DPI art.191'!$G$7-(('DPI art.191'!$F$7-'DPI art.191'!$G$7)/4)*(O173-P173-2)),('DPI art.191'!$G$7-(('DPI art.191'!$G$7-'DPI art.191'!$H$7)/8)*(P173-O173-2))))</f>
        <v/>
      </c>
      <c r="BE173" s="24">
        <f>O173-BD173</f>
        <v/>
      </c>
      <c r="BF173" s="24">
        <f>IF(N173&lt;135,N173,N173-'DPI art.191'!$I$7)</f>
        <v/>
      </c>
      <c r="BG173" s="111">
        <f>IF(AA173&lt;80,"0",IF((AB173-AA173)&lt;=2,('DPI art.191'!$G$3-(('DPI art.191'!$F$3-'DPI art.191'!$G$3)/4)*(AB173-AA173-2)),('DPI art.191'!$G$3-(('DPI art.191'!$G$3-'DPI art.191'!$H$3)/8)*(AB173-AA173-2))))</f>
        <v/>
      </c>
      <c r="BH173" s="24">
        <f>AA173-BG173</f>
        <v/>
      </c>
      <c r="BI173" s="24">
        <f>IF(Z173&lt;135,Z173,Z173-'DPI art.191'!$I$3)</f>
        <v/>
      </c>
      <c r="BJ173" s="111">
        <f>IF(U173&lt;80,"0",IF((V173-U173)&lt;=2,('DPI art.191'!$G$7-(('DPI art.191'!$F$7-'DPI art.191'!$G$7)/4)*(U173-V173-2)),('DPI art.191'!$G$7-(('DPI art.191'!$G$7-'DPI art.191'!$H$7)/8)*(V173-U173-2))))</f>
        <v/>
      </c>
      <c r="BK173" s="24">
        <f>U173-BJ173</f>
        <v/>
      </c>
      <c r="BL173" s="24">
        <f>IF(T173&lt;135,T173,T173-'DPI art.191'!$I$7)</f>
        <v/>
      </c>
      <c r="BM173" s="111">
        <f>IF(AA173&lt;80,"0",IF((AB173-AA173)&lt;=2,('DPI art.191'!$G$5-(('DPI art.191'!$F$5-'DPI art.191'!$G$5)/4)*(AB173-AA173-2)),('DPI art.191'!$G$5-(('DPI art.191'!$G$5-'DPI art.191'!$H$5)/8)*(AB173-AA173-2))))</f>
        <v/>
      </c>
      <c r="BN173" s="24">
        <f>AD173-BM173</f>
        <v/>
      </c>
      <c r="BO173" s="24">
        <f>IF(Z173&lt;135,Z173,Z173-'DPI art.191'!$I$5)</f>
        <v/>
      </c>
      <c r="BP173" s="108">
        <f>10^(0.1*R173)</f>
        <v/>
      </c>
      <c r="BQ173" s="108">
        <f>10^(0.1*X173)</f>
        <v/>
      </c>
      <c r="BR173" s="108">
        <f>10^(0.1*AB173)</f>
        <v/>
      </c>
      <c r="BS173" s="108">
        <f>10^(0.1*AF173)</f>
        <v/>
      </c>
      <c r="BT173" s="108">
        <f>10^(0.1*AJ173)</f>
        <v/>
      </c>
      <c r="BU173" s="108">
        <f>10^(0.1*AN173)</f>
        <v/>
      </c>
      <c r="BV173" s="106">
        <f>IF(R173&gt;0,(O173-R173),"")</f>
        <v/>
      </c>
      <c r="BW173" s="106">
        <f>IF(X173&gt;0,(O173-X173),"")</f>
        <v/>
      </c>
      <c r="BX173" s="106">
        <f>IF(AB173&gt;0,(O173-AB173),"")</f>
        <v/>
      </c>
      <c r="BY173" s="106">
        <f>IF(AF173&gt;0,(O173-AF173),"")</f>
        <v/>
      </c>
      <c r="BZ173" s="106">
        <f>IF(AJ173&gt;0,(O173-AJ173),"")</f>
        <v/>
      </c>
      <c r="CA173" s="106">
        <f>IF(AN173&gt;0,(O173-AN173),"")</f>
        <v/>
      </c>
      <c r="CB173" s="106">
        <f>COUNT(BV173:CA173)</f>
        <v/>
      </c>
      <c r="CC173" s="464">
        <f>IF(CB173=0,0,IF(CB173=1,0,1/(CB173*(CB173-1))))</f>
        <v/>
      </c>
      <c r="CD173" s="136">
        <f>IF(R173&gt;0,(BV173^2),"")</f>
        <v/>
      </c>
      <c r="CE173" s="136">
        <f>IF(X173&gt;0,(BW173^2),"")</f>
        <v/>
      </c>
      <c r="CF173" s="136">
        <f>IF(AB173&gt;0,(BX173^2),"")</f>
        <v/>
      </c>
      <c r="CG173" s="136">
        <f>IF(AF173&gt;0,(BY173^2),"")</f>
        <v/>
      </c>
      <c r="CH173" s="136">
        <f>IF(AJ173&gt;0,(BZ173^2),"")</f>
        <v/>
      </c>
      <c r="CI173" s="136">
        <f>IF(AN173&gt;0,(CA173^2),"")</f>
        <v/>
      </c>
    </row>
    <row r="174" ht="18.75" customHeight="1" s="444">
      <c r="A174" s="340" t="inlineStr">
        <is>
          <t>/</t>
        </is>
      </c>
      <c r="B174" s="65">
        <f>B173+1</f>
        <v/>
      </c>
      <c r="C174" s="78" t="n"/>
      <c r="D174" s="83" t="n"/>
      <c r="E174" s="83" t="n"/>
      <c r="F174" s="329" t="n"/>
      <c r="G174" s="71" t="n">
        <v>40725</v>
      </c>
      <c r="H174" s="77" t="inlineStr">
        <is>
          <t>Compito</t>
        </is>
      </c>
      <c r="I174" s="77">
        <f>IF((V174-R174)&gt;3,"SI","")</f>
        <v/>
      </c>
      <c r="J174" s="77">
        <f>IF((U174-R174)&gt;3,"SI","")</f>
        <v/>
      </c>
      <c r="K174" s="77" t="n"/>
      <c r="L174" s="77" t="n"/>
      <c r="M174" s="137">
        <f>IF(R174&gt;0,(SQRT(CC174*(SUM(CD174:CI174)))),"")</f>
        <v/>
      </c>
      <c r="N174" s="4">
        <f>IF(T174&gt;0,(MAX(T174,Z174,AD174,AH174,AL174,AP174))+SQRT(1.2^2+1^2),"")</f>
        <v/>
      </c>
      <c r="O174" s="3">
        <f>IF(R174="",0,10*LOG10(SUM(BP174:BU174)/(COUNT(R174,X174,AB174,AF174,AJ174,AN174))))</f>
        <v/>
      </c>
      <c r="P174" s="5">
        <f>IF(AND(Y174="",AC174="",AG174="",AK174="",AO174=""),S174,AVERAGE(S174,Y174,AC174,AG174,AK174,AO174)+STDEV(S174,Y174,AC174,AG174,AK174,AO174))</f>
        <v/>
      </c>
      <c r="Q174" s="14" t="n"/>
      <c r="R174" s="11" t="n"/>
      <c r="S174" s="12" t="n"/>
      <c r="T174" s="13" t="n"/>
      <c r="U174" s="79" t="n"/>
      <c r="V174" s="79" t="n"/>
      <c r="W174" s="10" t="n"/>
      <c r="X174" s="11" t="n"/>
      <c r="Y174" s="12" t="n"/>
      <c r="Z174" s="13" t="n"/>
      <c r="AA174" s="10" t="n"/>
      <c r="AB174" s="11" t="n"/>
      <c r="AC174" s="12" t="n"/>
      <c r="AD174" s="13" t="n"/>
      <c r="AE174" s="14" t="n"/>
      <c r="AF174" s="11" t="n"/>
      <c r="AG174" s="12" t="n"/>
      <c r="AH174" s="13" t="n"/>
      <c r="AI174" s="10" t="n"/>
      <c r="AJ174" s="11" t="n"/>
      <c r="AK174" s="12" t="n"/>
      <c r="AL174" s="13" t="n"/>
      <c r="AM174" s="10" t="n"/>
      <c r="AN174" s="11" t="n"/>
      <c r="AO174" s="12" t="n"/>
      <c r="AP174" s="13" t="n"/>
      <c r="AQ174" s="6">
        <f>IF(AND((O174)&lt;85,N174&lt;137),"NO","SI")</f>
        <v/>
      </c>
      <c r="AR174" s="7">
        <f>IF((480*(10^(7.95-(O174/10))))&lt;480,480*(10^(7.95-(O174/10))),480)</f>
        <v/>
      </c>
      <c r="AS174" s="8">
        <f>IF((480*(10^(8.45-(O174/10))))&lt;480,480*(10^(8.45-(O174/10))),480)</f>
        <v/>
      </c>
      <c r="AT174" s="9">
        <f>IF((480*(10^(8.65-(O174/10))))&lt;480,480*(10^(8.65-(O174/10))),480)</f>
        <v/>
      </c>
      <c r="AU174" s="111">
        <f>IF(O174&lt;80,"0",IF((P174-O174)&lt;=2,('DPI art.191'!$G$3-(('DPI art.191'!$F$3-'DPI art.191'!$G$3)/4)*(P174-O174-2)),('DPI art.191'!$G$3-(('DPI art.191'!$G$3-'DPI art.191'!$H$3)/8)*(P174-O174-2))))</f>
        <v/>
      </c>
      <c r="AV174" s="24">
        <f>O174-AU174</f>
        <v/>
      </c>
      <c r="AW174" s="24">
        <f>IF(N174&lt;135,N174,N174-'DPI art.191'!$I$3)</f>
        <v/>
      </c>
      <c r="AX174" s="111">
        <f>IF(I174&lt;80,"0",IF((J174-I174)&lt;=2,('DPI art.191'!$G$7-(('DPI art.191'!$F$7-'DPI art.191'!$G$7)/4)*(I174-J174-2)),('DPI art.191'!$G$7-(('DPI art.191'!$G$7-'DPI art.191'!$H$7)/8)*(J174-I174-2))))</f>
        <v/>
      </c>
      <c r="AY174" s="24">
        <f>I174-AX174</f>
        <v/>
      </c>
      <c r="AZ174" s="24">
        <f>IF(H174&lt;135,H174,H174-'DPI art.191'!$I$7)</f>
        <v/>
      </c>
      <c r="BA174" s="111">
        <f>IF(O174&lt;80,"0",IF((P174-O174)&lt;=2,('DPI art.191'!$G$5-(('DPI art.191'!$F$5-'DPI art.191'!$G$5)/4)*(P174-O174-2)),('DPI art.191'!$G$5-(('DPI art.191'!$G$5-'DPI art.191'!$H$5)/8)*(P174-O174-2))))</f>
        <v/>
      </c>
      <c r="BB174" s="24">
        <f>R174-BA174</f>
        <v/>
      </c>
      <c r="BC174" s="24">
        <f>IF(N174&lt;135,N174,N174-'DPI art.191'!$I$5)</f>
        <v/>
      </c>
      <c r="BD174" s="111">
        <f>IF(O174&lt;80,"0",IF((P174-O174)&lt;=2,('DPI art.191'!$G$7-(('DPI art.191'!$F$7-'DPI art.191'!$G$7)/4)*(O174-P174-2)),('DPI art.191'!$G$7-(('DPI art.191'!$G$7-'DPI art.191'!$H$7)/8)*(P174-O174-2))))</f>
        <v/>
      </c>
      <c r="BE174" s="24">
        <f>O174-BD174</f>
        <v/>
      </c>
      <c r="BF174" s="24">
        <f>IF(N174&lt;135,N174,N174-'DPI art.191'!$I$7)</f>
        <v/>
      </c>
      <c r="BG174" s="111">
        <f>IF(AA174&lt;80,"0",IF((AB174-AA174)&lt;=2,('DPI art.191'!$G$3-(('DPI art.191'!$F$3-'DPI art.191'!$G$3)/4)*(AB174-AA174-2)),('DPI art.191'!$G$3-(('DPI art.191'!$G$3-'DPI art.191'!$H$3)/8)*(AB174-AA174-2))))</f>
        <v/>
      </c>
      <c r="BH174" s="24">
        <f>AA174-BG174</f>
        <v/>
      </c>
      <c r="BI174" s="24">
        <f>IF(Z174&lt;135,Z174,Z174-'DPI art.191'!$I$3)</f>
        <v/>
      </c>
      <c r="BJ174" s="111">
        <f>IF(U174&lt;80,"0",IF((V174-U174)&lt;=2,('DPI art.191'!$G$7-(('DPI art.191'!$F$7-'DPI art.191'!$G$7)/4)*(U174-V174-2)),('DPI art.191'!$G$7-(('DPI art.191'!$G$7-'DPI art.191'!$H$7)/8)*(V174-U174-2))))</f>
        <v/>
      </c>
      <c r="BK174" s="24">
        <f>U174-BJ174</f>
        <v/>
      </c>
      <c r="BL174" s="24">
        <f>IF(T174&lt;135,T174,T174-'DPI art.191'!$I$7)</f>
        <v/>
      </c>
      <c r="BM174" s="111">
        <f>IF(AA174&lt;80,"0",IF((AB174-AA174)&lt;=2,('DPI art.191'!$G$5-(('DPI art.191'!$F$5-'DPI art.191'!$G$5)/4)*(AB174-AA174-2)),('DPI art.191'!$G$5-(('DPI art.191'!$G$5-'DPI art.191'!$H$5)/8)*(AB174-AA174-2))))</f>
        <v/>
      </c>
      <c r="BN174" s="24">
        <f>AD174-BM174</f>
        <v/>
      </c>
      <c r="BO174" s="24">
        <f>IF(Z174&lt;135,Z174,Z174-'DPI art.191'!$I$5)</f>
        <v/>
      </c>
      <c r="BP174" s="108">
        <f>10^(0.1*R174)</f>
        <v/>
      </c>
      <c r="BQ174" s="108">
        <f>10^(0.1*X174)</f>
        <v/>
      </c>
      <c r="BR174" s="108">
        <f>10^(0.1*AB174)</f>
        <v/>
      </c>
      <c r="BS174" s="108">
        <f>10^(0.1*AF174)</f>
        <v/>
      </c>
      <c r="BT174" s="108">
        <f>10^(0.1*AJ174)</f>
        <v/>
      </c>
      <c r="BU174" s="108">
        <f>10^(0.1*AN174)</f>
        <v/>
      </c>
      <c r="BV174" s="106">
        <f>IF(R174&gt;0,(O174-R174),"")</f>
        <v/>
      </c>
      <c r="BW174" s="106">
        <f>IF(X174&gt;0,(O174-X174),"")</f>
        <v/>
      </c>
      <c r="BX174" s="106">
        <f>IF(AB174&gt;0,(O174-AB174),"")</f>
        <v/>
      </c>
      <c r="BY174" s="106">
        <f>IF(AF174&gt;0,(O174-AF174),"")</f>
        <v/>
      </c>
      <c r="BZ174" s="106">
        <f>IF(AJ174&gt;0,(O174-AJ174),"")</f>
        <v/>
      </c>
      <c r="CA174" s="106">
        <f>IF(AN174&gt;0,(O174-AN174),"")</f>
        <v/>
      </c>
      <c r="CB174" s="106">
        <f>COUNT(BV174:CA174)</f>
        <v/>
      </c>
      <c r="CC174" s="464">
        <f>IF(CB174=0,0,IF(CB174=1,0,1/(CB174*(CB174-1))))</f>
        <v/>
      </c>
      <c r="CD174" s="136">
        <f>IF(R174&gt;0,(BV174^2),"")</f>
        <v/>
      </c>
      <c r="CE174" s="136">
        <f>IF(X174&gt;0,(BW174^2),"")</f>
        <v/>
      </c>
      <c r="CF174" s="136">
        <f>IF(AB174&gt;0,(BX174^2),"")</f>
        <v/>
      </c>
      <c r="CG174" s="136">
        <f>IF(AF174&gt;0,(BY174^2),"")</f>
        <v/>
      </c>
      <c r="CH174" s="136">
        <f>IF(AJ174&gt;0,(BZ174^2),"")</f>
        <v/>
      </c>
      <c r="CI174" s="136">
        <f>IF(AN174&gt;0,(CA174^2),"")</f>
        <v/>
      </c>
    </row>
    <row r="175" ht="18.75" customHeight="1" s="444">
      <c r="A175" s="340" t="inlineStr">
        <is>
          <t>/</t>
        </is>
      </c>
      <c r="B175" s="65">
        <f>B174+1</f>
        <v/>
      </c>
      <c r="C175" s="78" t="n"/>
      <c r="D175" s="83" t="n"/>
      <c r="E175" s="83" t="n"/>
      <c r="F175" s="329" t="n"/>
      <c r="G175" s="71" t="n">
        <v>40725</v>
      </c>
      <c r="H175" s="77" t="inlineStr">
        <is>
          <t>Compito</t>
        </is>
      </c>
      <c r="I175" s="77">
        <f>IF((V175-R175)&gt;3,"SI","")</f>
        <v/>
      </c>
      <c r="J175" s="77">
        <f>IF((U175-R175)&gt;3,"SI","")</f>
        <v/>
      </c>
      <c r="K175" s="77" t="n"/>
      <c r="L175" s="77" t="n"/>
      <c r="M175" s="137">
        <f>IF(R175&gt;0,(SQRT(CC175*(SUM(CD175:CI175)))),"")</f>
        <v/>
      </c>
      <c r="N175" s="4">
        <f>IF(T175&gt;0,(MAX(T175,Z175,AD175,AH175,AL175,AP175))+SQRT(1.2^2+1^2),"")</f>
        <v/>
      </c>
      <c r="O175" s="3">
        <f>IF(R175="",0,10*LOG10(SUM(BP175:BU175)/(COUNT(R175,X175,AB175,AF175,AJ175,AN175))))</f>
        <v/>
      </c>
      <c r="P175" s="5">
        <f>IF(AND(Y175="",AC175="",AG175="",AK175="",AO175=""),S175,AVERAGE(S175,Y175,AC175,AG175,AK175,AO175)+STDEV(S175,Y175,AC175,AG175,AK175,AO175))</f>
        <v/>
      </c>
      <c r="Q175" s="14" t="n"/>
      <c r="R175" s="11" t="n"/>
      <c r="S175" s="12" t="n"/>
      <c r="T175" s="13" t="n"/>
      <c r="U175" s="79" t="n"/>
      <c r="V175" s="79" t="n"/>
      <c r="W175" s="10" t="n"/>
      <c r="X175" s="11" t="n"/>
      <c r="Y175" s="12" t="n"/>
      <c r="Z175" s="13" t="n"/>
      <c r="AA175" s="10" t="n"/>
      <c r="AB175" s="11" t="n"/>
      <c r="AC175" s="12" t="n"/>
      <c r="AD175" s="13" t="n"/>
      <c r="AE175" s="14" t="n"/>
      <c r="AF175" s="11" t="n"/>
      <c r="AG175" s="12" t="n"/>
      <c r="AH175" s="13" t="n"/>
      <c r="AI175" s="10" t="n"/>
      <c r="AJ175" s="11" t="n"/>
      <c r="AK175" s="12" t="n"/>
      <c r="AL175" s="13" t="n"/>
      <c r="AM175" s="10" t="n"/>
      <c r="AN175" s="11" t="n"/>
      <c r="AO175" s="12" t="n"/>
      <c r="AP175" s="13" t="n"/>
      <c r="AQ175" s="6">
        <f>IF(AND((O175)&lt;85,N175&lt;137),"NO","SI")</f>
        <v/>
      </c>
      <c r="AR175" s="7">
        <f>IF((480*(10^(7.95-(O175/10))))&lt;480,480*(10^(7.95-(O175/10))),480)</f>
        <v/>
      </c>
      <c r="AS175" s="8">
        <f>IF((480*(10^(8.45-(O175/10))))&lt;480,480*(10^(8.45-(O175/10))),480)</f>
        <v/>
      </c>
      <c r="AT175" s="9">
        <f>IF((480*(10^(8.65-(O175/10))))&lt;480,480*(10^(8.65-(O175/10))),480)</f>
        <v/>
      </c>
      <c r="AU175" s="111">
        <f>IF(O175&lt;80,"0",IF((P175-O175)&lt;=2,('DPI art.191'!$G$3-(('DPI art.191'!$F$3-'DPI art.191'!$G$3)/4)*(P175-O175-2)),('DPI art.191'!$G$3-(('DPI art.191'!$G$3-'DPI art.191'!$H$3)/8)*(P175-O175-2))))</f>
        <v/>
      </c>
      <c r="AV175" s="24">
        <f>O175-AU175</f>
        <v/>
      </c>
      <c r="AW175" s="24">
        <f>IF(N175&lt;135,N175,N175-'DPI art.191'!$I$3)</f>
        <v/>
      </c>
      <c r="AX175" s="111">
        <f>IF(I175&lt;80,"0",IF((J175-I175)&lt;=2,('DPI art.191'!$G$7-(('DPI art.191'!$F$7-'DPI art.191'!$G$7)/4)*(I175-J175-2)),('DPI art.191'!$G$7-(('DPI art.191'!$G$7-'DPI art.191'!$H$7)/8)*(J175-I175-2))))</f>
        <v/>
      </c>
      <c r="AY175" s="24">
        <f>I175-AX175</f>
        <v/>
      </c>
      <c r="AZ175" s="24">
        <f>IF(H175&lt;135,H175,H175-'DPI art.191'!$I$7)</f>
        <v/>
      </c>
      <c r="BA175" s="111">
        <f>IF(O175&lt;80,"0",IF((P175-O175)&lt;=2,('DPI art.191'!$G$5-(('DPI art.191'!$F$5-'DPI art.191'!$G$5)/4)*(P175-O175-2)),('DPI art.191'!$G$5-(('DPI art.191'!$G$5-'DPI art.191'!$H$5)/8)*(P175-O175-2))))</f>
        <v/>
      </c>
      <c r="BB175" s="24">
        <f>R175-BA175</f>
        <v/>
      </c>
      <c r="BC175" s="24">
        <f>IF(N175&lt;135,N175,N175-'DPI art.191'!$I$5)</f>
        <v/>
      </c>
      <c r="BD175" s="111">
        <f>IF(O175&lt;80,"0",IF((P175-O175)&lt;=2,('DPI art.191'!$G$7-(('DPI art.191'!$F$7-'DPI art.191'!$G$7)/4)*(O175-P175-2)),('DPI art.191'!$G$7-(('DPI art.191'!$G$7-'DPI art.191'!$H$7)/8)*(P175-O175-2))))</f>
        <v/>
      </c>
      <c r="BE175" s="24">
        <f>O175-BD175</f>
        <v/>
      </c>
      <c r="BF175" s="24">
        <f>IF(N175&lt;135,N175,N175-'DPI art.191'!$I$7)</f>
        <v/>
      </c>
      <c r="BG175" s="111">
        <f>IF(AA175&lt;80,"0",IF((AB175-AA175)&lt;=2,('DPI art.191'!$G$3-(('DPI art.191'!$F$3-'DPI art.191'!$G$3)/4)*(AB175-AA175-2)),('DPI art.191'!$G$3-(('DPI art.191'!$G$3-'DPI art.191'!$H$3)/8)*(AB175-AA175-2))))</f>
        <v/>
      </c>
      <c r="BH175" s="24">
        <f>AA175-BG175</f>
        <v/>
      </c>
      <c r="BI175" s="24">
        <f>IF(Z175&lt;135,Z175,Z175-'DPI art.191'!$I$3)</f>
        <v/>
      </c>
      <c r="BJ175" s="111">
        <f>IF(U175&lt;80,"0",IF((V175-U175)&lt;=2,('DPI art.191'!$G$7-(('DPI art.191'!$F$7-'DPI art.191'!$G$7)/4)*(U175-V175-2)),('DPI art.191'!$G$7-(('DPI art.191'!$G$7-'DPI art.191'!$H$7)/8)*(V175-U175-2))))</f>
        <v/>
      </c>
      <c r="BK175" s="24">
        <f>U175-BJ175</f>
        <v/>
      </c>
      <c r="BL175" s="24">
        <f>IF(T175&lt;135,T175,T175-'DPI art.191'!$I$7)</f>
        <v/>
      </c>
      <c r="BM175" s="111">
        <f>IF(AA175&lt;80,"0",IF((AB175-AA175)&lt;=2,('DPI art.191'!$G$5-(('DPI art.191'!$F$5-'DPI art.191'!$G$5)/4)*(AB175-AA175-2)),('DPI art.191'!$G$5-(('DPI art.191'!$G$5-'DPI art.191'!$H$5)/8)*(AB175-AA175-2))))</f>
        <v/>
      </c>
      <c r="BN175" s="24">
        <f>AD175-BM175</f>
        <v/>
      </c>
      <c r="BO175" s="24">
        <f>IF(Z175&lt;135,Z175,Z175-'DPI art.191'!$I$5)</f>
        <v/>
      </c>
      <c r="BP175" s="108">
        <f>10^(0.1*R175)</f>
        <v/>
      </c>
      <c r="BQ175" s="108">
        <f>10^(0.1*X175)</f>
        <v/>
      </c>
      <c r="BR175" s="108">
        <f>10^(0.1*AB175)</f>
        <v/>
      </c>
      <c r="BS175" s="108">
        <f>10^(0.1*AF175)</f>
        <v/>
      </c>
      <c r="BT175" s="108">
        <f>10^(0.1*AJ175)</f>
        <v/>
      </c>
      <c r="BU175" s="108">
        <f>10^(0.1*AN175)</f>
        <v/>
      </c>
      <c r="BV175" s="106">
        <f>IF(R175&gt;0,(O175-R175),"")</f>
        <v/>
      </c>
      <c r="BW175" s="106">
        <f>IF(X175&gt;0,(O175-X175),"")</f>
        <v/>
      </c>
      <c r="BX175" s="106">
        <f>IF(AB175&gt;0,(O175-AB175),"")</f>
        <v/>
      </c>
      <c r="BY175" s="106">
        <f>IF(AF175&gt;0,(O175-AF175),"")</f>
        <v/>
      </c>
      <c r="BZ175" s="106">
        <f>IF(AJ175&gt;0,(O175-AJ175),"")</f>
        <v/>
      </c>
      <c r="CA175" s="106">
        <f>IF(AN175&gt;0,(O175-AN175),"")</f>
        <v/>
      </c>
      <c r="CB175" s="106">
        <f>COUNT(BV175:CA175)</f>
        <v/>
      </c>
      <c r="CC175" s="464">
        <f>IF(CB175=0,0,IF(CB175=1,0,1/(CB175*(CB175-1))))</f>
        <v/>
      </c>
      <c r="CD175" s="136">
        <f>IF(R175&gt;0,(BV175^2),"")</f>
        <v/>
      </c>
      <c r="CE175" s="136">
        <f>IF(X175&gt;0,(BW175^2),"")</f>
        <v/>
      </c>
      <c r="CF175" s="136">
        <f>IF(AB175&gt;0,(BX175^2),"")</f>
        <v/>
      </c>
      <c r="CG175" s="136">
        <f>IF(AF175&gt;0,(BY175^2),"")</f>
        <v/>
      </c>
      <c r="CH175" s="136">
        <f>IF(AJ175&gt;0,(BZ175^2),"")</f>
        <v/>
      </c>
      <c r="CI175" s="136">
        <f>IF(AN175&gt;0,(CA175^2),"")</f>
        <v/>
      </c>
    </row>
    <row r="176" ht="18.75" customHeight="1" s="444">
      <c r="A176" s="340" t="inlineStr">
        <is>
          <t>/</t>
        </is>
      </c>
      <c r="B176" s="65">
        <f>B175+1</f>
        <v/>
      </c>
      <c r="C176" s="78" t="n"/>
      <c r="D176" s="83" t="n"/>
      <c r="E176" s="83" t="n"/>
      <c r="F176" s="329" t="n"/>
      <c r="G176" s="71" t="n">
        <v>40725</v>
      </c>
      <c r="H176" s="77" t="inlineStr">
        <is>
          <t>Compito</t>
        </is>
      </c>
      <c r="I176" s="77">
        <f>IF((V176-R176)&gt;3,"SI","")</f>
        <v/>
      </c>
      <c r="J176" s="77">
        <f>IF((U176-R176)&gt;3,"SI","")</f>
        <v/>
      </c>
      <c r="K176" s="77" t="n"/>
      <c r="L176" s="77" t="n"/>
      <c r="M176" s="137">
        <f>IF(R176&gt;0,(SQRT(CC176*(SUM(CD176:CI176)))),"")</f>
        <v/>
      </c>
      <c r="N176" s="4">
        <f>IF(T176&gt;0,(MAX(T176,Z176,AD176,AH176,AL176,AP176))+SQRT(1.2^2+1^2),"")</f>
        <v/>
      </c>
      <c r="O176" s="3">
        <f>IF(R176="",0,10*LOG10(SUM(BP176:BU176)/(COUNT(R176,X176,AB176,AF176,AJ176,AN176))))</f>
        <v/>
      </c>
      <c r="P176" s="5">
        <f>IF(AND(Y176="",AC176="",AG176="",AK176="",AO176=""),S176,AVERAGE(S176,Y176,AC176,AG176,AK176,AO176)+STDEV(S176,Y176,AC176,AG176,AK176,AO176))</f>
        <v/>
      </c>
      <c r="Q176" s="14" t="n"/>
      <c r="R176" s="11" t="n"/>
      <c r="S176" s="12" t="n"/>
      <c r="T176" s="13" t="n"/>
      <c r="U176" s="79" t="n"/>
      <c r="V176" s="79" t="n"/>
      <c r="W176" s="10" t="n"/>
      <c r="X176" s="11" t="n"/>
      <c r="Y176" s="12" t="n"/>
      <c r="Z176" s="13" t="n"/>
      <c r="AA176" s="10" t="n"/>
      <c r="AB176" s="11" t="n"/>
      <c r="AC176" s="12" t="n"/>
      <c r="AD176" s="13" t="n"/>
      <c r="AE176" s="14" t="n"/>
      <c r="AF176" s="11" t="n"/>
      <c r="AG176" s="12" t="n"/>
      <c r="AH176" s="13" t="n"/>
      <c r="AI176" s="10" t="n"/>
      <c r="AJ176" s="11" t="n"/>
      <c r="AK176" s="12" t="n"/>
      <c r="AL176" s="13" t="n"/>
      <c r="AM176" s="10" t="n"/>
      <c r="AN176" s="11" t="n"/>
      <c r="AO176" s="12" t="n"/>
      <c r="AP176" s="13" t="n"/>
      <c r="AQ176" s="6">
        <f>IF(AND((O176)&lt;85,N176&lt;137),"NO","SI")</f>
        <v/>
      </c>
      <c r="AR176" s="7">
        <f>IF((480*(10^(7.95-(O176/10))))&lt;480,480*(10^(7.95-(O176/10))),480)</f>
        <v/>
      </c>
      <c r="AS176" s="8">
        <f>IF((480*(10^(8.45-(O176/10))))&lt;480,480*(10^(8.45-(O176/10))),480)</f>
        <v/>
      </c>
      <c r="AT176" s="9">
        <f>IF((480*(10^(8.65-(O176/10))))&lt;480,480*(10^(8.65-(O176/10))),480)</f>
        <v/>
      </c>
      <c r="AU176" s="111">
        <f>IF(O176&lt;80,"0",IF((P176-O176)&lt;=2,('DPI art.191'!$G$3-(('DPI art.191'!$F$3-'DPI art.191'!$G$3)/4)*(P176-O176-2)),('DPI art.191'!$G$3-(('DPI art.191'!$G$3-'DPI art.191'!$H$3)/8)*(P176-O176-2))))</f>
        <v/>
      </c>
      <c r="AV176" s="24">
        <f>O176-AU176</f>
        <v/>
      </c>
      <c r="AW176" s="24">
        <f>IF(N176&lt;135,N176,N176-'DPI art.191'!$I$3)</f>
        <v/>
      </c>
      <c r="AX176" s="111">
        <f>IF(I176&lt;80,"0",IF((J176-I176)&lt;=2,('DPI art.191'!$G$7-(('DPI art.191'!$F$7-'DPI art.191'!$G$7)/4)*(I176-J176-2)),('DPI art.191'!$G$7-(('DPI art.191'!$G$7-'DPI art.191'!$H$7)/8)*(J176-I176-2))))</f>
        <v/>
      </c>
      <c r="AY176" s="24">
        <f>I176-AX176</f>
        <v/>
      </c>
      <c r="AZ176" s="24">
        <f>IF(H176&lt;135,H176,H176-'DPI art.191'!$I$7)</f>
        <v/>
      </c>
      <c r="BA176" s="111">
        <f>IF(O176&lt;80,"0",IF((P176-O176)&lt;=2,('DPI art.191'!$G$5-(('DPI art.191'!$F$5-'DPI art.191'!$G$5)/4)*(P176-O176-2)),('DPI art.191'!$G$5-(('DPI art.191'!$G$5-'DPI art.191'!$H$5)/8)*(P176-O176-2))))</f>
        <v/>
      </c>
      <c r="BB176" s="24">
        <f>R176-BA176</f>
        <v/>
      </c>
      <c r="BC176" s="24">
        <f>IF(N176&lt;135,N176,N176-'DPI art.191'!$I$5)</f>
        <v/>
      </c>
      <c r="BD176" s="111">
        <f>IF(O176&lt;80,"0",IF((P176-O176)&lt;=2,('DPI art.191'!$G$7-(('DPI art.191'!$F$7-'DPI art.191'!$G$7)/4)*(O176-P176-2)),('DPI art.191'!$G$7-(('DPI art.191'!$G$7-'DPI art.191'!$H$7)/8)*(P176-O176-2))))</f>
        <v/>
      </c>
      <c r="BE176" s="24">
        <f>O176-BD176</f>
        <v/>
      </c>
      <c r="BF176" s="24">
        <f>IF(N176&lt;135,N176,N176-'DPI art.191'!$I$7)</f>
        <v/>
      </c>
      <c r="BG176" s="111">
        <f>IF(AA176&lt;80,"0",IF((AB176-AA176)&lt;=2,('DPI art.191'!$G$3-(('DPI art.191'!$F$3-'DPI art.191'!$G$3)/4)*(AB176-AA176-2)),('DPI art.191'!$G$3-(('DPI art.191'!$G$3-'DPI art.191'!$H$3)/8)*(AB176-AA176-2))))</f>
        <v/>
      </c>
      <c r="BH176" s="24">
        <f>AA176-BG176</f>
        <v/>
      </c>
      <c r="BI176" s="24">
        <f>IF(Z176&lt;135,Z176,Z176-'DPI art.191'!$I$3)</f>
        <v/>
      </c>
      <c r="BJ176" s="111">
        <f>IF(U176&lt;80,"0",IF((V176-U176)&lt;=2,('DPI art.191'!$G$7-(('DPI art.191'!$F$7-'DPI art.191'!$G$7)/4)*(U176-V176-2)),('DPI art.191'!$G$7-(('DPI art.191'!$G$7-'DPI art.191'!$H$7)/8)*(V176-U176-2))))</f>
        <v/>
      </c>
      <c r="BK176" s="24">
        <f>U176-BJ176</f>
        <v/>
      </c>
      <c r="BL176" s="24">
        <f>IF(T176&lt;135,T176,T176-'DPI art.191'!$I$7)</f>
        <v/>
      </c>
      <c r="BM176" s="111">
        <f>IF(AA176&lt;80,"0",IF((AB176-AA176)&lt;=2,('DPI art.191'!$G$5-(('DPI art.191'!$F$5-'DPI art.191'!$G$5)/4)*(AB176-AA176-2)),('DPI art.191'!$G$5-(('DPI art.191'!$G$5-'DPI art.191'!$H$5)/8)*(AB176-AA176-2))))</f>
        <v/>
      </c>
      <c r="BN176" s="24">
        <f>AD176-BM176</f>
        <v/>
      </c>
      <c r="BO176" s="24">
        <f>IF(Z176&lt;135,Z176,Z176-'DPI art.191'!$I$5)</f>
        <v/>
      </c>
      <c r="BP176" s="108">
        <f>10^(0.1*R176)</f>
        <v/>
      </c>
      <c r="BQ176" s="108">
        <f>10^(0.1*X176)</f>
        <v/>
      </c>
      <c r="BR176" s="108">
        <f>10^(0.1*AB176)</f>
        <v/>
      </c>
      <c r="BS176" s="108">
        <f>10^(0.1*AF176)</f>
        <v/>
      </c>
      <c r="BT176" s="108">
        <f>10^(0.1*AJ176)</f>
        <v/>
      </c>
      <c r="BU176" s="108">
        <f>10^(0.1*AN176)</f>
        <v/>
      </c>
      <c r="BV176" s="106">
        <f>IF(R176&gt;0,(O176-R176),"")</f>
        <v/>
      </c>
      <c r="BW176" s="106">
        <f>IF(X176&gt;0,(O176-X176),"")</f>
        <v/>
      </c>
      <c r="BX176" s="106">
        <f>IF(AB176&gt;0,(O176-AB176),"")</f>
        <v/>
      </c>
      <c r="BY176" s="106">
        <f>IF(AF176&gt;0,(O176-AF176),"")</f>
        <v/>
      </c>
      <c r="BZ176" s="106">
        <f>IF(AJ176&gt;0,(O176-AJ176),"")</f>
        <v/>
      </c>
      <c r="CA176" s="106">
        <f>IF(AN176&gt;0,(O176-AN176),"")</f>
        <v/>
      </c>
      <c r="CB176" s="106">
        <f>COUNT(BV176:CA176)</f>
        <v/>
      </c>
      <c r="CC176" s="464">
        <f>IF(CB176=0,0,IF(CB176=1,0,1/(CB176*(CB176-1))))</f>
        <v/>
      </c>
      <c r="CD176" s="136">
        <f>IF(R176&gt;0,(BV176^2),"")</f>
        <v/>
      </c>
      <c r="CE176" s="136">
        <f>IF(X176&gt;0,(BW176^2),"")</f>
        <v/>
      </c>
      <c r="CF176" s="136">
        <f>IF(AB176&gt;0,(BX176^2),"")</f>
        <v/>
      </c>
      <c r="CG176" s="136">
        <f>IF(AF176&gt;0,(BY176^2),"")</f>
        <v/>
      </c>
      <c r="CH176" s="136">
        <f>IF(AJ176&gt;0,(BZ176^2),"")</f>
        <v/>
      </c>
      <c r="CI176" s="136">
        <f>IF(AN176&gt;0,(CA176^2),"")</f>
        <v/>
      </c>
    </row>
    <row r="177" ht="18.75" customHeight="1" s="444">
      <c r="A177" s="340" t="inlineStr">
        <is>
          <t>/</t>
        </is>
      </c>
      <c r="B177" s="65">
        <f>B176+1</f>
        <v/>
      </c>
      <c r="C177" s="78" t="n"/>
      <c r="D177" s="83" t="n"/>
      <c r="E177" s="83" t="n"/>
      <c r="F177" s="329" t="n"/>
      <c r="G177" s="71" t="n">
        <v>40725</v>
      </c>
      <c r="H177" s="77" t="inlineStr">
        <is>
          <t>Compito</t>
        </is>
      </c>
      <c r="I177" s="77">
        <f>IF((V177-R177)&gt;3,"SI","")</f>
        <v/>
      </c>
      <c r="J177" s="77">
        <f>IF((U177-R177)&gt;3,"SI","")</f>
        <v/>
      </c>
      <c r="K177" s="77" t="n"/>
      <c r="L177" s="77" t="n"/>
      <c r="M177" s="137">
        <f>IF(R177&gt;0,(SQRT(CC177*(SUM(CD177:CI177)))),"")</f>
        <v/>
      </c>
      <c r="N177" s="4">
        <f>IF(T177&gt;0,(MAX(T177,Z177,AD177,AH177,AL177,AP177))+SQRT(1.2^2+1^2),"")</f>
        <v/>
      </c>
      <c r="O177" s="3">
        <f>IF(R177="",0,10*LOG10(SUM(BP177:BU177)/(COUNT(R177,X177,AB177,AF177,AJ177,AN177))))</f>
        <v/>
      </c>
      <c r="P177" s="5">
        <f>IF(AND(Y177="",AC177="",AG177="",AK177="",AO177=""),S177,AVERAGE(S177,Y177,AC177,AG177,AK177,AO177)+STDEV(S177,Y177,AC177,AG177,AK177,AO177))</f>
        <v/>
      </c>
      <c r="Q177" s="14" t="n"/>
      <c r="R177" s="11" t="n"/>
      <c r="S177" s="12" t="n"/>
      <c r="T177" s="13" t="n"/>
      <c r="U177" s="79" t="n"/>
      <c r="V177" s="79" t="n"/>
      <c r="W177" s="10" t="n"/>
      <c r="X177" s="11" t="n"/>
      <c r="Y177" s="12" t="n"/>
      <c r="Z177" s="13" t="n"/>
      <c r="AA177" s="10" t="n"/>
      <c r="AB177" s="11" t="n"/>
      <c r="AC177" s="12" t="n"/>
      <c r="AD177" s="13" t="n"/>
      <c r="AE177" s="14" t="n"/>
      <c r="AF177" s="11" t="n"/>
      <c r="AG177" s="12" t="n"/>
      <c r="AH177" s="13" t="n"/>
      <c r="AI177" s="10" t="n"/>
      <c r="AJ177" s="11" t="n"/>
      <c r="AK177" s="12" t="n"/>
      <c r="AL177" s="13" t="n"/>
      <c r="AM177" s="10" t="n"/>
      <c r="AN177" s="11" t="n"/>
      <c r="AO177" s="12" t="n"/>
      <c r="AP177" s="13" t="n"/>
      <c r="AQ177" s="6">
        <f>IF(AND((O177)&lt;85,N177&lt;137),"NO","SI")</f>
        <v/>
      </c>
      <c r="AR177" s="7">
        <f>IF((480*(10^(7.95-(O177/10))))&lt;480,480*(10^(7.95-(O177/10))),480)</f>
        <v/>
      </c>
      <c r="AS177" s="8">
        <f>IF((480*(10^(8.45-(O177/10))))&lt;480,480*(10^(8.45-(O177/10))),480)</f>
        <v/>
      </c>
      <c r="AT177" s="9">
        <f>IF((480*(10^(8.65-(O177/10))))&lt;480,480*(10^(8.65-(O177/10))),480)</f>
        <v/>
      </c>
      <c r="AU177" s="111">
        <f>IF(O177&lt;80,"0",IF((P177-O177)&lt;=2,('DPI art.191'!$G$3-(('DPI art.191'!$F$3-'DPI art.191'!$G$3)/4)*(P177-O177-2)),('DPI art.191'!$G$3-(('DPI art.191'!$G$3-'DPI art.191'!$H$3)/8)*(P177-O177-2))))</f>
        <v/>
      </c>
      <c r="AV177" s="24">
        <f>O177-AU177</f>
        <v/>
      </c>
      <c r="AW177" s="24">
        <f>IF(N177&lt;135,N177,N177-'DPI art.191'!$I$3)</f>
        <v/>
      </c>
      <c r="AX177" s="111">
        <f>IF(I177&lt;80,"0",IF((J177-I177)&lt;=2,('DPI art.191'!$G$7-(('DPI art.191'!$F$7-'DPI art.191'!$G$7)/4)*(I177-J177-2)),('DPI art.191'!$G$7-(('DPI art.191'!$G$7-'DPI art.191'!$H$7)/8)*(J177-I177-2))))</f>
        <v/>
      </c>
      <c r="AY177" s="24">
        <f>I177-AX177</f>
        <v/>
      </c>
      <c r="AZ177" s="24">
        <f>IF(H177&lt;135,H177,H177-'DPI art.191'!$I$7)</f>
        <v/>
      </c>
      <c r="BA177" s="111">
        <f>IF(O177&lt;80,"0",IF((P177-O177)&lt;=2,('DPI art.191'!$G$5-(('DPI art.191'!$F$5-'DPI art.191'!$G$5)/4)*(P177-O177-2)),('DPI art.191'!$G$5-(('DPI art.191'!$G$5-'DPI art.191'!$H$5)/8)*(P177-O177-2))))</f>
        <v/>
      </c>
      <c r="BB177" s="24">
        <f>R177-BA177</f>
        <v/>
      </c>
      <c r="BC177" s="24">
        <f>IF(N177&lt;135,N177,N177-'DPI art.191'!$I$5)</f>
        <v/>
      </c>
      <c r="BD177" s="111">
        <f>IF(O177&lt;80,"0",IF((P177-O177)&lt;=2,('DPI art.191'!$G$7-(('DPI art.191'!$F$7-'DPI art.191'!$G$7)/4)*(O177-P177-2)),('DPI art.191'!$G$7-(('DPI art.191'!$G$7-'DPI art.191'!$H$7)/8)*(P177-O177-2))))</f>
        <v/>
      </c>
      <c r="BE177" s="24">
        <f>O177-BD177</f>
        <v/>
      </c>
      <c r="BF177" s="24">
        <f>IF(N177&lt;135,N177,N177-'DPI art.191'!$I$7)</f>
        <v/>
      </c>
      <c r="BG177" s="111">
        <f>IF(AA177&lt;80,"0",IF((AB177-AA177)&lt;=2,('DPI art.191'!$G$3-(('DPI art.191'!$F$3-'DPI art.191'!$G$3)/4)*(AB177-AA177-2)),('DPI art.191'!$G$3-(('DPI art.191'!$G$3-'DPI art.191'!$H$3)/8)*(AB177-AA177-2))))</f>
        <v/>
      </c>
      <c r="BH177" s="24">
        <f>AA177-BG177</f>
        <v/>
      </c>
      <c r="BI177" s="24">
        <f>IF(Z177&lt;135,Z177,Z177-'DPI art.191'!$I$3)</f>
        <v/>
      </c>
      <c r="BJ177" s="111">
        <f>IF(U177&lt;80,"0",IF((V177-U177)&lt;=2,('DPI art.191'!$G$7-(('DPI art.191'!$F$7-'DPI art.191'!$G$7)/4)*(U177-V177-2)),('DPI art.191'!$G$7-(('DPI art.191'!$G$7-'DPI art.191'!$H$7)/8)*(V177-U177-2))))</f>
        <v/>
      </c>
      <c r="BK177" s="24">
        <f>U177-BJ177</f>
        <v/>
      </c>
      <c r="BL177" s="24">
        <f>IF(T177&lt;135,T177,T177-'DPI art.191'!$I$7)</f>
        <v/>
      </c>
      <c r="BM177" s="111">
        <f>IF(AA177&lt;80,"0",IF((AB177-AA177)&lt;=2,('DPI art.191'!$G$5-(('DPI art.191'!$F$5-'DPI art.191'!$G$5)/4)*(AB177-AA177-2)),('DPI art.191'!$G$5-(('DPI art.191'!$G$5-'DPI art.191'!$H$5)/8)*(AB177-AA177-2))))</f>
        <v/>
      </c>
      <c r="BN177" s="24">
        <f>AD177-BM177</f>
        <v/>
      </c>
      <c r="BO177" s="24">
        <f>IF(Z177&lt;135,Z177,Z177-'DPI art.191'!$I$5)</f>
        <v/>
      </c>
      <c r="BP177" s="108">
        <f>10^(0.1*R177)</f>
        <v/>
      </c>
      <c r="BQ177" s="108">
        <f>10^(0.1*X177)</f>
        <v/>
      </c>
      <c r="BR177" s="108">
        <f>10^(0.1*AB177)</f>
        <v/>
      </c>
      <c r="BS177" s="108">
        <f>10^(0.1*AF177)</f>
        <v/>
      </c>
      <c r="BT177" s="108">
        <f>10^(0.1*AJ177)</f>
        <v/>
      </c>
      <c r="BU177" s="108">
        <f>10^(0.1*AN177)</f>
        <v/>
      </c>
      <c r="BV177" s="106">
        <f>IF(R177&gt;0,(O177-R177),"")</f>
        <v/>
      </c>
      <c r="BW177" s="106">
        <f>IF(X177&gt;0,(O177-X177),"")</f>
        <v/>
      </c>
      <c r="BX177" s="106">
        <f>IF(AB177&gt;0,(O177-AB177),"")</f>
        <v/>
      </c>
      <c r="BY177" s="106">
        <f>IF(AF177&gt;0,(O177-AF177),"")</f>
        <v/>
      </c>
      <c r="BZ177" s="106">
        <f>IF(AJ177&gt;0,(O177-AJ177),"")</f>
        <v/>
      </c>
      <c r="CA177" s="106">
        <f>IF(AN177&gt;0,(O177-AN177),"")</f>
        <v/>
      </c>
      <c r="CB177" s="106">
        <f>COUNT(BV177:CA177)</f>
        <v/>
      </c>
      <c r="CC177" s="464">
        <f>IF(CB177=0,0,IF(CB177=1,0,1/(CB177*(CB177-1))))</f>
        <v/>
      </c>
      <c r="CD177" s="136">
        <f>IF(R177&gt;0,(BV177^2),"")</f>
        <v/>
      </c>
      <c r="CE177" s="136">
        <f>IF(X177&gt;0,(BW177^2),"")</f>
        <v/>
      </c>
      <c r="CF177" s="136">
        <f>IF(AB177&gt;0,(BX177^2),"")</f>
        <v/>
      </c>
      <c r="CG177" s="136">
        <f>IF(AF177&gt;0,(BY177^2),"")</f>
        <v/>
      </c>
      <c r="CH177" s="136">
        <f>IF(AJ177&gt;0,(BZ177^2),"")</f>
        <v/>
      </c>
      <c r="CI177" s="136">
        <f>IF(AN177&gt;0,(CA177^2),"")</f>
        <v/>
      </c>
    </row>
    <row r="178" ht="18.75" customHeight="1" s="444">
      <c r="A178" s="340" t="inlineStr">
        <is>
          <t>/</t>
        </is>
      </c>
      <c r="B178" s="65">
        <f>B177+1</f>
        <v/>
      </c>
      <c r="C178" s="78" t="n"/>
      <c r="D178" s="83" t="n"/>
      <c r="E178" s="83" t="n"/>
      <c r="F178" s="329" t="n"/>
      <c r="G178" s="71" t="n">
        <v>40725</v>
      </c>
      <c r="H178" s="77" t="inlineStr">
        <is>
          <t>Compito</t>
        </is>
      </c>
      <c r="I178" s="77">
        <f>IF((V178-R178)&gt;3,"SI","")</f>
        <v/>
      </c>
      <c r="J178" s="77">
        <f>IF((U178-R178)&gt;3,"SI","")</f>
        <v/>
      </c>
      <c r="K178" s="77" t="n"/>
      <c r="L178" s="77" t="n"/>
      <c r="M178" s="137">
        <f>IF(R178&gt;0,(SQRT(CC178*(SUM(CD178:CI178)))),"")</f>
        <v/>
      </c>
      <c r="N178" s="4">
        <f>IF(T178&gt;0,(MAX(T178,Z178,AD178,AH178,AL178,AP178))+SQRT(1.2^2+1^2),"")</f>
        <v/>
      </c>
      <c r="O178" s="3">
        <f>IF(R178="",0,10*LOG10(SUM(BP178:BU178)/(COUNT(R178,X178,AB178,AF178,AJ178,AN178))))</f>
        <v/>
      </c>
      <c r="P178" s="5">
        <f>IF(AND(Y178="",AC178="",AG178="",AK178="",AO178=""),S178,AVERAGE(S178,Y178,AC178,AG178,AK178,AO178)+STDEV(S178,Y178,AC178,AG178,AK178,AO178))</f>
        <v/>
      </c>
      <c r="Q178" s="14" t="n"/>
      <c r="R178" s="11" t="n"/>
      <c r="S178" s="12" t="n"/>
      <c r="T178" s="13" t="n"/>
      <c r="U178" s="79" t="n"/>
      <c r="V178" s="79" t="n"/>
      <c r="W178" s="10" t="n"/>
      <c r="X178" s="11" t="n"/>
      <c r="Y178" s="12" t="n"/>
      <c r="Z178" s="13" t="n"/>
      <c r="AA178" s="10" t="n"/>
      <c r="AB178" s="11" t="n"/>
      <c r="AC178" s="12" t="n"/>
      <c r="AD178" s="13" t="n"/>
      <c r="AE178" s="14" t="n"/>
      <c r="AF178" s="11" t="n"/>
      <c r="AG178" s="12" t="n"/>
      <c r="AH178" s="13" t="n"/>
      <c r="AI178" s="10" t="n"/>
      <c r="AJ178" s="11" t="n"/>
      <c r="AK178" s="12" t="n"/>
      <c r="AL178" s="13" t="n"/>
      <c r="AM178" s="10" t="n"/>
      <c r="AN178" s="11" t="n"/>
      <c r="AO178" s="12" t="n"/>
      <c r="AP178" s="13" t="n"/>
      <c r="AQ178" s="6">
        <f>IF(AND((O178)&lt;85,N178&lt;137),"NO","SI")</f>
        <v/>
      </c>
      <c r="AR178" s="7">
        <f>IF((480*(10^(7.95-(O178/10))))&lt;480,480*(10^(7.95-(O178/10))),480)</f>
        <v/>
      </c>
      <c r="AS178" s="8">
        <f>IF((480*(10^(8.45-(O178/10))))&lt;480,480*(10^(8.45-(O178/10))),480)</f>
        <v/>
      </c>
      <c r="AT178" s="9">
        <f>IF((480*(10^(8.65-(O178/10))))&lt;480,480*(10^(8.65-(O178/10))),480)</f>
        <v/>
      </c>
      <c r="AU178" s="111">
        <f>IF(O178&lt;80,"0",IF((P178-O178)&lt;=2,('DPI art.191'!$G$3-(('DPI art.191'!$F$3-'DPI art.191'!$G$3)/4)*(P178-O178-2)),('DPI art.191'!$G$3-(('DPI art.191'!$G$3-'DPI art.191'!$H$3)/8)*(P178-O178-2))))</f>
        <v/>
      </c>
      <c r="AV178" s="24">
        <f>O178-AU178</f>
        <v/>
      </c>
      <c r="AW178" s="24">
        <f>IF(N178&lt;135,N178,N178-'DPI art.191'!$I$3)</f>
        <v/>
      </c>
      <c r="AX178" s="111">
        <f>IF(I178&lt;80,"0",IF((J178-I178)&lt;=2,('DPI art.191'!$G$7-(('DPI art.191'!$F$7-'DPI art.191'!$G$7)/4)*(I178-J178-2)),('DPI art.191'!$G$7-(('DPI art.191'!$G$7-'DPI art.191'!$H$7)/8)*(J178-I178-2))))</f>
        <v/>
      </c>
      <c r="AY178" s="24">
        <f>I178-AX178</f>
        <v/>
      </c>
      <c r="AZ178" s="24">
        <f>IF(H178&lt;135,H178,H178-'DPI art.191'!$I$7)</f>
        <v/>
      </c>
      <c r="BA178" s="111">
        <f>IF(O178&lt;80,"0",IF((P178-O178)&lt;=2,('DPI art.191'!$G$5-(('DPI art.191'!$F$5-'DPI art.191'!$G$5)/4)*(P178-O178-2)),('DPI art.191'!$G$5-(('DPI art.191'!$G$5-'DPI art.191'!$H$5)/8)*(P178-O178-2))))</f>
        <v/>
      </c>
      <c r="BB178" s="24">
        <f>R178-BA178</f>
        <v/>
      </c>
      <c r="BC178" s="24">
        <f>IF(N178&lt;135,N178,N178-'DPI art.191'!$I$5)</f>
        <v/>
      </c>
      <c r="BD178" s="111">
        <f>IF(O178&lt;80,"0",IF((P178-O178)&lt;=2,('DPI art.191'!$G$7-(('DPI art.191'!$F$7-'DPI art.191'!$G$7)/4)*(O178-P178-2)),('DPI art.191'!$G$7-(('DPI art.191'!$G$7-'DPI art.191'!$H$7)/8)*(P178-O178-2))))</f>
        <v/>
      </c>
      <c r="BE178" s="24">
        <f>O178-BD178</f>
        <v/>
      </c>
      <c r="BF178" s="24">
        <f>IF(N178&lt;135,N178,N178-'DPI art.191'!$I$7)</f>
        <v/>
      </c>
      <c r="BG178" s="111">
        <f>IF(AA178&lt;80,"0",IF((AB178-AA178)&lt;=2,('DPI art.191'!$G$3-(('DPI art.191'!$F$3-'DPI art.191'!$G$3)/4)*(AB178-AA178-2)),('DPI art.191'!$G$3-(('DPI art.191'!$G$3-'DPI art.191'!$H$3)/8)*(AB178-AA178-2))))</f>
        <v/>
      </c>
      <c r="BH178" s="24">
        <f>AA178-BG178</f>
        <v/>
      </c>
      <c r="BI178" s="24">
        <f>IF(Z178&lt;135,Z178,Z178-'DPI art.191'!$I$3)</f>
        <v/>
      </c>
      <c r="BJ178" s="111">
        <f>IF(U178&lt;80,"0",IF((V178-U178)&lt;=2,('DPI art.191'!$G$7-(('DPI art.191'!$F$7-'DPI art.191'!$G$7)/4)*(U178-V178-2)),('DPI art.191'!$G$7-(('DPI art.191'!$G$7-'DPI art.191'!$H$7)/8)*(V178-U178-2))))</f>
        <v/>
      </c>
      <c r="BK178" s="24">
        <f>U178-BJ178</f>
        <v/>
      </c>
      <c r="BL178" s="24">
        <f>IF(T178&lt;135,T178,T178-'DPI art.191'!$I$7)</f>
        <v/>
      </c>
      <c r="BM178" s="111">
        <f>IF(AA178&lt;80,"0",IF((AB178-AA178)&lt;=2,('DPI art.191'!$G$5-(('DPI art.191'!$F$5-'DPI art.191'!$G$5)/4)*(AB178-AA178-2)),('DPI art.191'!$G$5-(('DPI art.191'!$G$5-'DPI art.191'!$H$5)/8)*(AB178-AA178-2))))</f>
        <v/>
      </c>
      <c r="BN178" s="24">
        <f>AD178-BM178</f>
        <v/>
      </c>
      <c r="BO178" s="24">
        <f>IF(Z178&lt;135,Z178,Z178-'DPI art.191'!$I$5)</f>
        <v/>
      </c>
      <c r="BP178" s="108">
        <f>10^(0.1*R178)</f>
        <v/>
      </c>
      <c r="BQ178" s="108">
        <f>10^(0.1*X178)</f>
        <v/>
      </c>
      <c r="BR178" s="108">
        <f>10^(0.1*AB178)</f>
        <v/>
      </c>
      <c r="BS178" s="108">
        <f>10^(0.1*AF178)</f>
        <v/>
      </c>
      <c r="BT178" s="108">
        <f>10^(0.1*AJ178)</f>
        <v/>
      </c>
      <c r="BU178" s="108">
        <f>10^(0.1*AN178)</f>
        <v/>
      </c>
      <c r="BV178" s="106">
        <f>IF(R178&gt;0,(O178-R178),"")</f>
        <v/>
      </c>
      <c r="BW178" s="106">
        <f>IF(X178&gt;0,(O178-X178),"")</f>
        <v/>
      </c>
      <c r="BX178" s="106">
        <f>IF(AB178&gt;0,(O178-AB178),"")</f>
        <v/>
      </c>
      <c r="BY178" s="106">
        <f>IF(AF178&gt;0,(O178-AF178),"")</f>
        <v/>
      </c>
      <c r="BZ178" s="106">
        <f>IF(AJ178&gt;0,(O178-AJ178),"")</f>
        <v/>
      </c>
      <c r="CA178" s="106">
        <f>IF(AN178&gt;0,(O178-AN178),"")</f>
        <v/>
      </c>
      <c r="CB178" s="106">
        <f>COUNT(BV178:CA178)</f>
        <v/>
      </c>
      <c r="CC178" s="464">
        <f>IF(CB178=0,0,IF(CB178=1,0,1/(CB178*(CB178-1))))</f>
        <v/>
      </c>
      <c r="CD178" s="136">
        <f>IF(R178&gt;0,(BV178^2),"")</f>
        <v/>
      </c>
      <c r="CE178" s="136">
        <f>IF(X178&gt;0,(BW178^2),"")</f>
        <v/>
      </c>
      <c r="CF178" s="136">
        <f>IF(AB178&gt;0,(BX178^2),"")</f>
        <v/>
      </c>
      <c r="CG178" s="136">
        <f>IF(AF178&gt;0,(BY178^2),"")</f>
        <v/>
      </c>
      <c r="CH178" s="136">
        <f>IF(AJ178&gt;0,(BZ178^2),"")</f>
        <v/>
      </c>
      <c r="CI178" s="136">
        <f>IF(AN178&gt;0,(CA178^2),"")</f>
        <v/>
      </c>
    </row>
    <row r="179" ht="18.75" customHeight="1" s="444">
      <c r="A179" s="340" t="inlineStr">
        <is>
          <t>/</t>
        </is>
      </c>
      <c r="B179" s="65">
        <f>B178+1</f>
        <v/>
      </c>
      <c r="C179" s="78" t="n"/>
      <c r="D179" s="83" t="n"/>
      <c r="E179" s="83" t="n"/>
      <c r="F179" s="329" t="n"/>
      <c r="G179" s="71" t="n">
        <v>40725</v>
      </c>
      <c r="H179" s="77" t="inlineStr">
        <is>
          <t>Compito</t>
        </is>
      </c>
      <c r="I179" s="77">
        <f>IF((V179-R179)&gt;3,"SI","")</f>
        <v/>
      </c>
      <c r="J179" s="77">
        <f>IF((U179-R179)&gt;3,"SI","")</f>
        <v/>
      </c>
      <c r="K179" s="77" t="n"/>
      <c r="L179" s="77" t="n"/>
      <c r="M179" s="137">
        <f>IF(R179&gt;0,(SQRT(CC179*(SUM(CD179:CI179)))),"")</f>
        <v/>
      </c>
      <c r="N179" s="4">
        <f>IF(T179&gt;0,(MAX(T179,Z179,AD179,AH179,AL179,AP179))+SQRT(1.2^2+1^2),"")</f>
        <v/>
      </c>
      <c r="O179" s="3">
        <f>IF(R179="",0,10*LOG10(SUM(BP179:BU179)/(COUNT(R179,X179,AB179,AF179,AJ179,AN179))))</f>
        <v/>
      </c>
      <c r="P179" s="5">
        <f>IF(AND(Y179="",AC179="",AG179="",AK179="",AO179=""),S179,AVERAGE(S179,Y179,AC179,AG179,AK179,AO179)+STDEV(S179,Y179,AC179,AG179,AK179,AO179))</f>
        <v/>
      </c>
      <c r="Q179" s="14" t="n"/>
      <c r="R179" s="11" t="n"/>
      <c r="S179" s="12" t="n"/>
      <c r="T179" s="13" t="n"/>
      <c r="U179" s="79" t="n"/>
      <c r="V179" s="79" t="n"/>
      <c r="W179" s="10" t="n"/>
      <c r="X179" s="11" t="n"/>
      <c r="Y179" s="12" t="n"/>
      <c r="Z179" s="13" t="n"/>
      <c r="AA179" s="10" t="n"/>
      <c r="AB179" s="11" t="n"/>
      <c r="AC179" s="12" t="n"/>
      <c r="AD179" s="13" t="n"/>
      <c r="AE179" s="14" t="n"/>
      <c r="AF179" s="11" t="n"/>
      <c r="AG179" s="12" t="n"/>
      <c r="AH179" s="13" t="n"/>
      <c r="AI179" s="10" t="n"/>
      <c r="AJ179" s="11" t="n"/>
      <c r="AK179" s="12" t="n"/>
      <c r="AL179" s="13" t="n"/>
      <c r="AM179" s="10" t="n"/>
      <c r="AN179" s="11" t="n"/>
      <c r="AO179" s="12" t="n"/>
      <c r="AP179" s="13" t="n"/>
      <c r="AQ179" s="6">
        <f>IF(AND((O179)&lt;85,N179&lt;137),"NO","SI")</f>
        <v/>
      </c>
      <c r="AR179" s="7">
        <f>IF((480*(10^(7.95-(O179/10))))&lt;480,480*(10^(7.95-(O179/10))),480)</f>
        <v/>
      </c>
      <c r="AS179" s="8">
        <f>IF((480*(10^(8.45-(O179/10))))&lt;480,480*(10^(8.45-(O179/10))),480)</f>
        <v/>
      </c>
      <c r="AT179" s="9">
        <f>IF((480*(10^(8.65-(O179/10))))&lt;480,480*(10^(8.65-(O179/10))),480)</f>
        <v/>
      </c>
      <c r="AU179" s="111">
        <f>IF(O179&lt;80,"0",IF((P179-O179)&lt;=2,('DPI art.191'!$G$3-(('DPI art.191'!$F$3-'DPI art.191'!$G$3)/4)*(P179-O179-2)),('DPI art.191'!$G$3-(('DPI art.191'!$G$3-'DPI art.191'!$H$3)/8)*(P179-O179-2))))</f>
        <v/>
      </c>
      <c r="AV179" s="24">
        <f>O179-AU179</f>
        <v/>
      </c>
      <c r="AW179" s="24">
        <f>IF(N179&lt;135,N179,N179-'DPI art.191'!$I$3)</f>
        <v/>
      </c>
      <c r="AX179" s="111">
        <f>IF(I179&lt;80,"0",IF((J179-I179)&lt;=2,('DPI art.191'!$G$7-(('DPI art.191'!$F$7-'DPI art.191'!$G$7)/4)*(I179-J179-2)),('DPI art.191'!$G$7-(('DPI art.191'!$G$7-'DPI art.191'!$H$7)/8)*(J179-I179-2))))</f>
        <v/>
      </c>
      <c r="AY179" s="24">
        <f>I179-AX179</f>
        <v/>
      </c>
      <c r="AZ179" s="24">
        <f>IF(H179&lt;135,H179,H179-'DPI art.191'!$I$7)</f>
        <v/>
      </c>
      <c r="BA179" s="111">
        <f>IF(O179&lt;80,"0",IF((P179-O179)&lt;=2,('DPI art.191'!$G$5-(('DPI art.191'!$F$5-'DPI art.191'!$G$5)/4)*(P179-O179-2)),('DPI art.191'!$G$5-(('DPI art.191'!$G$5-'DPI art.191'!$H$5)/8)*(P179-O179-2))))</f>
        <v/>
      </c>
      <c r="BB179" s="24">
        <f>R179-BA179</f>
        <v/>
      </c>
      <c r="BC179" s="24">
        <f>IF(N179&lt;135,N179,N179-'DPI art.191'!$I$5)</f>
        <v/>
      </c>
      <c r="BD179" s="111">
        <f>IF(O179&lt;80,"0",IF((P179-O179)&lt;=2,('DPI art.191'!$G$7-(('DPI art.191'!$F$7-'DPI art.191'!$G$7)/4)*(O179-P179-2)),('DPI art.191'!$G$7-(('DPI art.191'!$G$7-'DPI art.191'!$H$7)/8)*(P179-O179-2))))</f>
        <v/>
      </c>
      <c r="BE179" s="24">
        <f>O179-BD179</f>
        <v/>
      </c>
      <c r="BF179" s="24">
        <f>IF(N179&lt;135,N179,N179-'DPI art.191'!$I$7)</f>
        <v/>
      </c>
      <c r="BG179" s="111">
        <f>IF(AA179&lt;80,"0",IF((AB179-AA179)&lt;=2,('DPI art.191'!$G$3-(('DPI art.191'!$F$3-'DPI art.191'!$G$3)/4)*(AB179-AA179-2)),('DPI art.191'!$G$3-(('DPI art.191'!$G$3-'DPI art.191'!$H$3)/8)*(AB179-AA179-2))))</f>
        <v/>
      </c>
      <c r="BH179" s="24">
        <f>AA179-BG179</f>
        <v/>
      </c>
      <c r="BI179" s="24">
        <f>IF(Z179&lt;135,Z179,Z179-'DPI art.191'!$I$3)</f>
        <v/>
      </c>
      <c r="BJ179" s="111">
        <f>IF(U179&lt;80,"0",IF((V179-U179)&lt;=2,('DPI art.191'!$G$7-(('DPI art.191'!$F$7-'DPI art.191'!$G$7)/4)*(U179-V179-2)),('DPI art.191'!$G$7-(('DPI art.191'!$G$7-'DPI art.191'!$H$7)/8)*(V179-U179-2))))</f>
        <v/>
      </c>
      <c r="BK179" s="24">
        <f>U179-BJ179</f>
        <v/>
      </c>
      <c r="BL179" s="24">
        <f>IF(T179&lt;135,T179,T179-'DPI art.191'!$I$7)</f>
        <v/>
      </c>
      <c r="BM179" s="111">
        <f>IF(AA179&lt;80,"0",IF((AB179-AA179)&lt;=2,('DPI art.191'!$G$5-(('DPI art.191'!$F$5-'DPI art.191'!$G$5)/4)*(AB179-AA179-2)),('DPI art.191'!$G$5-(('DPI art.191'!$G$5-'DPI art.191'!$H$5)/8)*(AB179-AA179-2))))</f>
        <v/>
      </c>
      <c r="BN179" s="24">
        <f>AD179-BM179</f>
        <v/>
      </c>
      <c r="BO179" s="24">
        <f>IF(Z179&lt;135,Z179,Z179-'DPI art.191'!$I$5)</f>
        <v/>
      </c>
      <c r="BP179" s="108">
        <f>10^(0.1*R179)</f>
        <v/>
      </c>
      <c r="BQ179" s="108">
        <f>10^(0.1*X179)</f>
        <v/>
      </c>
      <c r="BR179" s="108">
        <f>10^(0.1*AB179)</f>
        <v/>
      </c>
      <c r="BS179" s="108">
        <f>10^(0.1*AF179)</f>
        <v/>
      </c>
      <c r="BT179" s="108">
        <f>10^(0.1*AJ179)</f>
        <v/>
      </c>
      <c r="BU179" s="108">
        <f>10^(0.1*AN179)</f>
        <v/>
      </c>
      <c r="BV179" s="106">
        <f>IF(R179&gt;0,(O179-R179),"")</f>
        <v/>
      </c>
      <c r="BW179" s="106">
        <f>IF(X179&gt;0,(O179-X179),"")</f>
        <v/>
      </c>
      <c r="BX179" s="106">
        <f>IF(AB179&gt;0,(O179-AB179),"")</f>
        <v/>
      </c>
      <c r="BY179" s="106">
        <f>IF(AF179&gt;0,(O179-AF179),"")</f>
        <v/>
      </c>
      <c r="BZ179" s="106">
        <f>IF(AJ179&gt;0,(O179-AJ179),"")</f>
        <v/>
      </c>
      <c r="CA179" s="106">
        <f>IF(AN179&gt;0,(O179-AN179),"")</f>
        <v/>
      </c>
      <c r="CB179" s="106">
        <f>COUNT(BV179:CA179)</f>
        <v/>
      </c>
      <c r="CC179" s="464">
        <f>IF(CB179=0,0,IF(CB179=1,0,1/(CB179*(CB179-1))))</f>
        <v/>
      </c>
      <c r="CD179" s="136">
        <f>IF(R179&gt;0,(BV179^2),"")</f>
        <v/>
      </c>
      <c r="CE179" s="136">
        <f>IF(X179&gt;0,(BW179^2),"")</f>
        <v/>
      </c>
      <c r="CF179" s="136">
        <f>IF(AB179&gt;0,(BX179^2),"")</f>
        <v/>
      </c>
      <c r="CG179" s="136">
        <f>IF(AF179&gt;0,(BY179^2),"")</f>
        <v/>
      </c>
      <c r="CH179" s="136">
        <f>IF(AJ179&gt;0,(BZ179^2),"")</f>
        <v/>
      </c>
      <c r="CI179" s="136">
        <f>IF(AN179&gt;0,(CA179^2),"")</f>
        <v/>
      </c>
    </row>
    <row r="180" ht="18.75" customHeight="1" s="444">
      <c r="A180" s="340" t="inlineStr">
        <is>
          <t>/</t>
        </is>
      </c>
      <c r="B180" s="65">
        <f>B179+1</f>
        <v/>
      </c>
      <c r="C180" s="78" t="n"/>
      <c r="D180" s="83" t="n"/>
      <c r="E180" s="83" t="n"/>
      <c r="F180" s="329" t="n"/>
      <c r="G180" s="71" t="n">
        <v>40725</v>
      </c>
      <c r="H180" s="77" t="inlineStr">
        <is>
          <t>Compito</t>
        </is>
      </c>
      <c r="I180" s="77">
        <f>IF((V180-R180)&gt;3,"SI","")</f>
        <v/>
      </c>
      <c r="J180" s="77">
        <f>IF((U180-R180)&gt;3,"SI","")</f>
        <v/>
      </c>
      <c r="K180" s="77" t="n"/>
      <c r="L180" s="77" t="n"/>
      <c r="M180" s="137">
        <f>IF(R180&gt;0,(SQRT(CC180*(SUM(CD180:CI180)))),"")</f>
        <v/>
      </c>
      <c r="N180" s="4">
        <f>IF(T180&gt;0,(MAX(T180,Z180,AD180,AH180,AL180,AP180))+SQRT(1.2^2+1^2),"")</f>
        <v/>
      </c>
      <c r="O180" s="3">
        <f>IF(R180="",0,10*LOG10(SUM(BP180:BU180)/(COUNT(R180,X180,AB180,AF180,AJ180,AN180))))</f>
        <v/>
      </c>
      <c r="P180" s="5">
        <f>IF(AND(Y180="",AC180="",AG180="",AK180="",AO180=""),S180,AVERAGE(S180,Y180,AC180,AG180,AK180,AO180)+STDEV(S180,Y180,AC180,AG180,AK180,AO180))</f>
        <v/>
      </c>
      <c r="Q180" s="14" t="n"/>
      <c r="R180" s="11" t="n"/>
      <c r="S180" s="12" t="n"/>
      <c r="T180" s="13" t="n"/>
      <c r="U180" s="79" t="n"/>
      <c r="V180" s="79" t="n"/>
      <c r="W180" s="10" t="n"/>
      <c r="X180" s="11" t="n"/>
      <c r="Y180" s="12" t="n"/>
      <c r="Z180" s="13" t="n"/>
      <c r="AA180" s="10" t="n"/>
      <c r="AB180" s="11" t="n"/>
      <c r="AC180" s="12" t="n"/>
      <c r="AD180" s="13" t="n"/>
      <c r="AE180" s="14" t="n"/>
      <c r="AF180" s="11" t="n"/>
      <c r="AG180" s="12" t="n"/>
      <c r="AH180" s="13" t="n"/>
      <c r="AI180" s="10" t="n"/>
      <c r="AJ180" s="11" t="n"/>
      <c r="AK180" s="12" t="n"/>
      <c r="AL180" s="13" t="n"/>
      <c r="AM180" s="10" t="n"/>
      <c r="AN180" s="11" t="n"/>
      <c r="AO180" s="12" t="n"/>
      <c r="AP180" s="13" t="n"/>
      <c r="AQ180" s="6">
        <f>IF(AND((O180)&lt;85,N180&lt;137),"NO","SI")</f>
        <v/>
      </c>
      <c r="AR180" s="7">
        <f>IF((480*(10^(7.95-(O180/10))))&lt;480,480*(10^(7.95-(O180/10))),480)</f>
        <v/>
      </c>
      <c r="AS180" s="8">
        <f>IF((480*(10^(8.45-(O180/10))))&lt;480,480*(10^(8.45-(O180/10))),480)</f>
        <v/>
      </c>
      <c r="AT180" s="9">
        <f>IF((480*(10^(8.65-(O180/10))))&lt;480,480*(10^(8.65-(O180/10))),480)</f>
        <v/>
      </c>
      <c r="AU180" s="111">
        <f>IF(O180&lt;80,"0",IF((P180-O180)&lt;=2,('DPI art.191'!$G$3-(('DPI art.191'!$F$3-'DPI art.191'!$G$3)/4)*(P180-O180-2)),('DPI art.191'!$G$3-(('DPI art.191'!$G$3-'DPI art.191'!$H$3)/8)*(P180-O180-2))))</f>
        <v/>
      </c>
      <c r="AV180" s="24">
        <f>O180-AU180</f>
        <v/>
      </c>
      <c r="AW180" s="24">
        <f>IF(N180&lt;135,N180,N180-'DPI art.191'!$I$3)</f>
        <v/>
      </c>
      <c r="AX180" s="111">
        <f>IF(I180&lt;80,"0",IF((J180-I180)&lt;=2,('DPI art.191'!$G$7-(('DPI art.191'!$F$7-'DPI art.191'!$G$7)/4)*(I180-J180-2)),('DPI art.191'!$G$7-(('DPI art.191'!$G$7-'DPI art.191'!$H$7)/8)*(J180-I180-2))))</f>
        <v/>
      </c>
      <c r="AY180" s="24">
        <f>I180-AX180</f>
        <v/>
      </c>
      <c r="AZ180" s="24">
        <f>IF(H180&lt;135,H180,H180-'DPI art.191'!$I$7)</f>
        <v/>
      </c>
      <c r="BA180" s="111">
        <f>IF(O180&lt;80,"0",IF((P180-O180)&lt;=2,('DPI art.191'!$G$5-(('DPI art.191'!$F$5-'DPI art.191'!$G$5)/4)*(P180-O180-2)),('DPI art.191'!$G$5-(('DPI art.191'!$G$5-'DPI art.191'!$H$5)/8)*(P180-O180-2))))</f>
        <v/>
      </c>
      <c r="BB180" s="24">
        <f>R180-BA180</f>
        <v/>
      </c>
      <c r="BC180" s="24">
        <f>IF(N180&lt;135,N180,N180-'DPI art.191'!$I$5)</f>
        <v/>
      </c>
      <c r="BD180" s="111">
        <f>IF(O180&lt;80,"0",IF((P180-O180)&lt;=2,('DPI art.191'!$G$7-(('DPI art.191'!$F$7-'DPI art.191'!$G$7)/4)*(O180-P180-2)),('DPI art.191'!$G$7-(('DPI art.191'!$G$7-'DPI art.191'!$H$7)/8)*(P180-O180-2))))</f>
        <v/>
      </c>
      <c r="BE180" s="24">
        <f>O180-BD180</f>
        <v/>
      </c>
      <c r="BF180" s="24">
        <f>IF(N180&lt;135,N180,N180-'DPI art.191'!$I$7)</f>
        <v/>
      </c>
      <c r="BG180" s="111">
        <f>IF(AA180&lt;80,"0",IF((AB180-AA180)&lt;=2,('DPI art.191'!$G$3-(('DPI art.191'!$F$3-'DPI art.191'!$G$3)/4)*(AB180-AA180-2)),('DPI art.191'!$G$3-(('DPI art.191'!$G$3-'DPI art.191'!$H$3)/8)*(AB180-AA180-2))))</f>
        <v/>
      </c>
      <c r="BH180" s="24">
        <f>AA180-BG180</f>
        <v/>
      </c>
      <c r="BI180" s="24">
        <f>IF(Z180&lt;135,Z180,Z180-'DPI art.191'!$I$3)</f>
        <v/>
      </c>
      <c r="BJ180" s="111">
        <f>IF(U180&lt;80,"0",IF((V180-U180)&lt;=2,('DPI art.191'!$G$7-(('DPI art.191'!$F$7-'DPI art.191'!$G$7)/4)*(U180-V180-2)),('DPI art.191'!$G$7-(('DPI art.191'!$G$7-'DPI art.191'!$H$7)/8)*(V180-U180-2))))</f>
        <v/>
      </c>
      <c r="BK180" s="24">
        <f>U180-BJ180</f>
        <v/>
      </c>
      <c r="BL180" s="24">
        <f>IF(T180&lt;135,T180,T180-'DPI art.191'!$I$7)</f>
        <v/>
      </c>
      <c r="BM180" s="111">
        <f>IF(AA180&lt;80,"0",IF((AB180-AA180)&lt;=2,('DPI art.191'!$G$5-(('DPI art.191'!$F$5-'DPI art.191'!$G$5)/4)*(AB180-AA180-2)),('DPI art.191'!$G$5-(('DPI art.191'!$G$5-'DPI art.191'!$H$5)/8)*(AB180-AA180-2))))</f>
        <v/>
      </c>
      <c r="BN180" s="24">
        <f>AD180-BM180</f>
        <v/>
      </c>
      <c r="BO180" s="24">
        <f>IF(Z180&lt;135,Z180,Z180-'DPI art.191'!$I$5)</f>
        <v/>
      </c>
      <c r="BP180" s="108">
        <f>10^(0.1*R180)</f>
        <v/>
      </c>
      <c r="BQ180" s="108">
        <f>10^(0.1*X180)</f>
        <v/>
      </c>
      <c r="BR180" s="108">
        <f>10^(0.1*AB180)</f>
        <v/>
      </c>
      <c r="BS180" s="108">
        <f>10^(0.1*AF180)</f>
        <v/>
      </c>
      <c r="BT180" s="108">
        <f>10^(0.1*AJ180)</f>
        <v/>
      </c>
      <c r="BU180" s="108">
        <f>10^(0.1*AN180)</f>
        <v/>
      </c>
      <c r="BV180" s="106">
        <f>IF(R180&gt;0,(O180-R180),"")</f>
        <v/>
      </c>
      <c r="BW180" s="106">
        <f>IF(X180&gt;0,(O180-X180),"")</f>
        <v/>
      </c>
      <c r="BX180" s="106">
        <f>IF(AB180&gt;0,(O180-AB180),"")</f>
        <v/>
      </c>
      <c r="BY180" s="106">
        <f>IF(AF180&gt;0,(O180-AF180),"")</f>
        <v/>
      </c>
      <c r="BZ180" s="106">
        <f>IF(AJ180&gt;0,(O180-AJ180),"")</f>
        <v/>
      </c>
      <c r="CA180" s="106">
        <f>IF(AN180&gt;0,(O180-AN180),"")</f>
        <v/>
      </c>
      <c r="CB180" s="106">
        <f>COUNT(BV180:CA180)</f>
        <v/>
      </c>
      <c r="CC180" s="464">
        <f>IF(CB180=0,0,IF(CB180=1,0,1/(CB180*(CB180-1))))</f>
        <v/>
      </c>
      <c r="CD180" s="136">
        <f>IF(R180&gt;0,(BV180^2),"")</f>
        <v/>
      </c>
      <c r="CE180" s="136">
        <f>IF(X180&gt;0,(BW180^2),"")</f>
        <v/>
      </c>
      <c r="CF180" s="136">
        <f>IF(AB180&gt;0,(BX180^2),"")</f>
        <v/>
      </c>
      <c r="CG180" s="136">
        <f>IF(AF180&gt;0,(BY180^2),"")</f>
        <v/>
      </c>
      <c r="CH180" s="136">
        <f>IF(AJ180&gt;0,(BZ180^2),"")</f>
        <v/>
      </c>
      <c r="CI180" s="136">
        <f>IF(AN180&gt;0,(CA180^2),"")</f>
        <v/>
      </c>
    </row>
    <row r="181" ht="18.75" customHeight="1" s="444">
      <c r="A181" s="340" t="inlineStr">
        <is>
          <t>/</t>
        </is>
      </c>
      <c r="B181" s="65">
        <f>B180+1</f>
        <v/>
      </c>
      <c r="C181" s="78" t="n"/>
      <c r="D181" s="83" t="n"/>
      <c r="E181" s="83" t="n"/>
      <c r="F181" s="329" t="n"/>
      <c r="G181" s="71" t="n"/>
      <c r="H181" s="77" t="inlineStr">
        <is>
          <t>Compito</t>
        </is>
      </c>
      <c r="I181" s="77">
        <f>IF((V181-R181)&gt;3,"SI","")</f>
        <v/>
      </c>
      <c r="J181" s="77">
        <f>IF((U181-R181)&gt;3,"SI","")</f>
        <v/>
      </c>
      <c r="K181" s="77" t="n"/>
      <c r="L181" s="77" t="n"/>
      <c r="M181" s="137">
        <f>IF(R181&gt;0,(SQRT(CC181*(SUM(CD181:CI181)))),"")</f>
        <v/>
      </c>
      <c r="N181" s="4">
        <f>IF(T181&gt;0,(MAX(T181,Z181,AD181,AH181,AL181,AP181))+SQRT(1.2^2+1^2),"")</f>
        <v/>
      </c>
      <c r="O181" s="3">
        <f>IF(R181="",0,10*LOG10(SUM(BP181:BU181)/(COUNT(R181,X181,AB181,AF181,AJ181,AN181))))</f>
        <v/>
      </c>
      <c r="P181" s="5">
        <f>IF(AND(Y181="",AC181="",AG181="",AK181="",AO181=""),S181,AVERAGE(S181,Y181,AC181,AG181,AK181,AO181)+STDEV(S181,Y181,AC181,AG181,AK181,AO181))</f>
        <v/>
      </c>
      <c r="Q181" s="14" t="n"/>
      <c r="R181" s="11" t="n"/>
      <c r="S181" s="12" t="n"/>
      <c r="T181" s="13" t="n"/>
      <c r="U181" s="79" t="n"/>
      <c r="V181" s="79" t="n"/>
      <c r="W181" s="10" t="n"/>
      <c r="X181" s="11" t="n"/>
      <c r="Y181" s="12" t="n"/>
      <c r="Z181" s="13" t="n"/>
      <c r="AA181" s="10" t="n"/>
      <c r="AB181" s="11" t="n"/>
      <c r="AC181" s="12" t="n"/>
      <c r="AD181" s="13" t="n"/>
      <c r="AE181" s="14" t="n"/>
      <c r="AF181" s="11" t="n"/>
      <c r="AG181" s="12" t="n"/>
      <c r="AH181" s="13" t="n"/>
      <c r="AI181" s="10" t="n"/>
      <c r="AJ181" s="11" t="n"/>
      <c r="AK181" s="12" t="n"/>
      <c r="AL181" s="13" t="n"/>
      <c r="AM181" s="10" t="n"/>
      <c r="AN181" s="11" t="n"/>
      <c r="AO181" s="12" t="n"/>
      <c r="AP181" s="13" t="n"/>
      <c r="AQ181" s="6">
        <f>IF(AND((O181)&lt;85,N181&lt;137),"NO","SI")</f>
        <v/>
      </c>
      <c r="AR181" s="7">
        <f>IF((480*(10^(7.95-(O181/10))))&lt;480,480*(10^(7.95-(O181/10))),480)</f>
        <v/>
      </c>
      <c r="AS181" s="8">
        <f>IF((480*(10^(8.45-(O181/10))))&lt;480,480*(10^(8.45-(O181/10))),480)</f>
        <v/>
      </c>
      <c r="AT181" s="9">
        <f>IF((480*(10^(8.65-(O181/10))))&lt;480,480*(10^(8.65-(O181/10))),480)</f>
        <v/>
      </c>
      <c r="AU181" s="111">
        <f>IF(O181&lt;80,"0",IF((P181-O181)&lt;=2,('DPI art.191'!$G$3-(('DPI art.191'!$F$3-'DPI art.191'!$G$3)/4)*(P181-O181-2)),('DPI art.191'!$G$3-(('DPI art.191'!$G$3-'DPI art.191'!$H$3)/8)*(P181-O181-2))))</f>
        <v/>
      </c>
      <c r="AV181" s="24">
        <f>O181-AU181</f>
        <v/>
      </c>
      <c r="AW181" s="24">
        <f>IF(N181&lt;135,N181,N181-'DPI art.191'!$I$3)</f>
        <v/>
      </c>
      <c r="AX181" s="111">
        <f>IF(I181&lt;80,"0",IF((J181-I181)&lt;=2,('DPI art.191'!$G$7-(('DPI art.191'!$F$7-'DPI art.191'!$G$7)/4)*(I181-J181-2)),('DPI art.191'!$G$7-(('DPI art.191'!$G$7-'DPI art.191'!$H$7)/8)*(J181-I181-2))))</f>
        <v/>
      </c>
      <c r="AY181" s="24">
        <f>I181-AX181</f>
        <v/>
      </c>
      <c r="AZ181" s="24">
        <f>IF(H181&lt;135,H181,H181-'DPI art.191'!$I$7)</f>
        <v/>
      </c>
      <c r="BA181" s="111">
        <f>IF(O181&lt;80,"0",IF((P181-O181)&lt;=2,('DPI art.191'!$G$5-(('DPI art.191'!$F$5-'DPI art.191'!$G$5)/4)*(P181-O181-2)),('DPI art.191'!$G$5-(('DPI art.191'!$G$5-'DPI art.191'!$H$5)/8)*(P181-O181-2))))</f>
        <v/>
      </c>
      <c r="BB181" s="24">
        <f>R181-BA181</f>
        <v/>
      </c>
      <c r="BC181" s="24">
        <f>IF(N181&lt;135,N181,N181-'DPI art.191'!$I$5)</f>
        <v/>
      </c>
      <c r="BD181" s="111">
        <f>IF(O181&lt;80,"0",IF((P181-O181)&lt;=2,('DPI art.191'!$G$7-(('DPI art.191'!$F$7-'DPI art.191'!$G$7)/4)*(O181-P181-2)),('DPI art.191'!$G$7-(('DPI art.191'!$G$7-'DPI art.191'!$H$7)/8)*(P181-O181-2))))</f>
        <v/>
      </c>
      <c r="BE181" s="24">
        <f>O181-BD181</f>
        <v/>
      </c>
      <c r="BF181" s="24">
        <f>IF(N181&lt;135,N181,N181-'DPI art.191'!$I$7)</f>
        <v/>
      </c>
      <c r="BG181" s="111">
        <f>IF(AA181&lt;80,"0",IF((AB181-AA181)&lt;=2,('DPI art.191'!$G$3-(('DPI art.191'!$F$3-'DPI art.191'!$G$3)/4)*(AB181-AA181-2)),('DPI art.191'!$G$3-(('DPI art.191'!$G$3-'DPI art.191'!$H$3)/8)*(AB181-AA181-2))))</f>
        <v/>
      </c>
      <c r="BH181" s="24">
        <f>AA181-BG181</f>
        <v/>
      </c>
      <c r="BI181" s="24">
        <f>IF(Z181&lt;135,Z181,Z181-'DPI art.191'!$I$3)</f>
        <v/>
      </c>
      <c r="BJ181" s="111">
        <f>IF(U181&lt;80,"0",IF((V181-U181)&lt;=2,('DPI art.191'!$G$7-(('DPI art.191'!$F$7-'DPI art.191'!$G$7)/4)*(U181-V181-2)),('DPI art.191'!$G$7-(('DPI art.191'!$G$7-'DPI art.191'!$H$7)/8)*(V181-U181-2))))</f>
        <v/>
      </c>
      <c r="BK181" s="24">
        <f>U181-BJ181</f>
        <v/>
      </c>
      <c r="BL181" s="24">
        <f>IF(T181&lt;135,T181,T181-'DPI art.191'!$I$7)</f>
        <v/>
      </c>
      <c r="BM181" s="111">
        <f>IF(AA181&lt;80,"0",IF((AB181-AA181)&lt;=2,('DPI art.191'!$G$5-(('DPI art.191'!$F$5-'DPI art.191'!$G$5)/4)*(AB181-AA181-2)),('DPI art.191'!$G$5-(('DPI art.191'!$G$5-'DPI art.191'!$H$5)/8)*(AB181-AA181-2))))</f>
        <v/>
      </c>
      <c r="BN181" s="24">
        <f>AD181-BM181</f>
        <v/>
      </c>
      <c r="BO181" s="24">
        <f>IF(Z181&lt;135,Z181,Z181-'DPI art.191'!$I$5)</f>
        <v/>
      </c>
      <c r="BP181" s="108">
        <f>10^(0.1*R181)</f>
        <v/>
      </c>
      <c r="BQ181" s="108">
        <f>10^(0.1*X181)</f>
        <v/>
      </c>
      <c r="BR181" s="108">
        <f>10^(0.1*AB181)</f>
        <v/>
      </c>
      <c r="BS181" s="108">
        <f>10^(0.1*AF181)</f>
        <v/>
      </c>
      <c r="BT181" s="108">
        <f>10^(0.1*AJ181)</f>
        <v/>
      </c>
      <c r="BU181" s="108">
        <f>10^(0.1*AN181)</f>
        <v/>
      </c>
      <c r="BV181" s="106">
        <f>IF(R181&gt;0,(O181-R181),"")</f>
        <v/>
      </c>
      <c r="BW181" s="106">
        <f>IF(X181&gt;0,(O181-X181),"")</f>
        <v/>
      </c>
      <c r="BX181" s="106">
        <f>IF(AB181&gt;0,(O181-AB181),"")</f>
        <v/>
      </c>
      <c r="BY181" s="106">
        <f>IF(AF181&gt;0,(O181-AF181),"")</f>
        <v/>
      </c>
      <c r="BZ181" s="106">
        <f>IF(AJ181&gt;0,(O181-AJ181),"")</f>
        <v/>
      </c>
      <c r="CA181" s="106">
        <f>IF(AN181&gt;0,(O181-AN181),"")</f>
        <v/>
      </c>
      <c r="CB181" s="106">
        <f>COUNT(BV181:CA181)</f>
        <v/>
      </c>
      <c r="CC181" s="464">
        <f>IF(CB181=0,0,IF(CB181=1,0,1/(CB181*(CB181-1))))</f>
        <v/>
      </c>
      <c r="CD181" s="136">
        <f>IF(R181&gt;0,(BV181^2),"")</f>
        <v/>
      </c>
      <c r="CE181" s="136">
        <f>IF(X181&gt;0,(BW181^2),"")</f>
        <v/>
      </c>
      <c r="CF181" s="136">
        <f>IF(AB181&gt;0,(BX181^2),"")</f>
        <v/>
      </c>
      <c r="CG181" s="136">
        <f>IF(AF181&gt;0,(BY181^2),"")</f>
        <v/>
      </c>
      <c r="CH181" s="136">
        <f>IF(AJ181&gt;0,(BZ181^2),"")</f>
        <v/>
      </c>
      <c r="CI181" s="136">
        <f>IF(AN181&gt;0,(CA181^2),"")</f>
        <v/>
      </c>
    </row>
    <row r="182" ht="18.75" customHeight="1" s="444">
      <c r="A182" s="340" t="inlineStr">
        <is>
          <t>/</t>
        </is>
      </c>
      <c r="B182" s="65">
        <f>B181+1</f>
        <v/>
      </c>
      <c r="C182" s="78" t="n"/>
      <c r="D182" s="83" t="n"/>
      <c r="E182" s="83" t="n"/>
      <c r="F182" s="329" t="n"/>
      <c r="G182" s="71" t="n"/>
      <c r="H182" s="77" t="inlineStr">
        <is>
          <t>Compito</t>
        </is>
      </c>
      <c r="I182" s="77">
        <f>IF((V182-R182)&gt;3,"SI","")</f>
        <v/>
      </c>
      <c r="J182" s="77">
        <f>IF((U182-R182)&gt;3,"SI","")</f>
        <v/>
      </c>
      <c r="K182" s="77" t="n"/>
      <c r="L182" s="77" t="n"/>
      <c r="M182" s="137">
        <f>IF(R182&gt;0,(SQRT(CC182*(SUM(CD182:CI182)))),"")</f>
        <v/>
      </c>
      <c r="N182" s="4">
        <f>IF(T182&gt;0,(MAX(T182,Z182,AD182,AH182,AL182,AP182))+SQRT(1.2^2+1^2),"")</f>
        <v/>
      </c>
      <c r="O182" s="3">
        <f>IF(R182="",0,10*LOG10(SUM(BP182:BU182)/(COUNT(R182,X182,AB182,AF182,AJ182,AN182))))</f>
        <v/>
      </c>
      <c r="P182" s="5">
        <f>IF(AND(Y182="",AC182="",AG182="",AK182="",AO182=""),S182,AVERAGE(S182,Y182,AC182,AG182,AK182,AO182)+STDEV(S182,Y182,AC182,AG182,AK182,AO182))</f>
        <v/>
      </c>
      <c r="Q182" s="14" t="n"/>
      <c r="R182" s="11" t="n"/>
      <c r="S182" s="12" t="n"/>
      <c r="T182" s="13" t="n"/>
      <c r="U182" s="79" t="n"/>
      <c r="V182" s="79" t="n"/>
      <c r="W182" s="10" t="n"/>
      <c r="X182" s="11" t="n"/>
      <c r="Y182" s="12" t="n"/>
      <c r="Z182" s="13" t="n"/>
      <c r="AA182" s="10" t="n"/>
      <c r="AB182" s="11" t="n"/>
      <c r="AC182" s="12" t="n"/>
      <c r="AD182" s="13" t="n"/>
      <c r="AE182" s="14" t="n"/>
      <c r="AF182" s="11" t="n"/>
      <c r="AG182" s="12" t="n"/>
      <c r="AH182" s="13" t="n"/>
      <c r="AI182" s="10" t="n"/>
      <c r="AJ182" s="11" t="n"/>
      <c r="AK182" s="12" t="n"/>
      <c r="AL182" s="13" t="n"/>
      <c r="AM182" s="10" t="n"/>
      <c r="AN182" s="11" t="n"/>
      <c r="AO182" s="12" t="n"/>
      <c r="AP182" s="13" t="n"/>
      <c r="AQ182" s="6">
        <f>IF(AND((O182)&lt;85,N182&lt;137),"NO","SI")</f>
        <v/>
      </c>
      <c r="AR182" s="7">
        <f>IF((480*(10^(7.95-(O182/10))))&lt;480,480*(10^(7.95-(O182/10))),480)</f>
        <v/>
      </c>
      <c r="AS182" s="8">
        <f>IF((480*(10^(8.45-(O182/10))))&lt;480,480*(10^(8.45-(O182/10))),480)</f>
        <v/>
      </c>
      <c r="AT182" s="9">
        <f>IF((480*(10^(8.65-(O182/10))))&lt;480,480*(10^(8.65-(O182/10))),480)</f>
        <v/>
      </c>
      <c r="AU182" s="111">
        <f>IF(O182&lt;80,"0",IF((P182-O182)&lt;=2,('DPI art.191'!$G$3-(('DPI art.191'!$F$3-'DPI art.191'!$G$3)/4)*(P182-O182-2)),('DPI art.191'!$G$3-(('DPI art.191'!$G$3-'DPI art.191'!$H$3)/8)*(P182-O182-2))))</f>
        <v/>
      </c>
      <c r="AV182" s="24">
        <f>O182-AU182</f>
        <v/>
      </c>
      <c r="AW182" s="24">
        <f>IF(N182&lt;135,N182,N182-'DPI art.191'!$I$3)</f>
        <v/>
      </c>
      <c r="AX182" s="111">
        <f>IF(I182&lt;80,"0",IF((J182-I182)&lt;=2,('DPI art.191'!$G$7-(('DPI art.191'!$F$7-'DPI art.191'!$G$7)/4)*(I182-J182-2)),('DPI art.191'!$G$7-(('DPI art.191'!$G$7-'DPI art.191'!$H$7)/8)*(J182-I182-2))))</f>
        <v/>
      </c>
      <c r="AY182" s="24">
        <f>I182-AX182</f>
        <v/>
      </c>
      <c r="AZ182" s="24">
        <f>IF(H182&lt;135,H182,H182-'DPI art.191'!$I$7)</f>
        <v/>
      </c>
      <c r="BA182" s="111">
        <f>IF(O182&lt;80,"0",IF((P182-O182)&lt;=2,('DPI art.191'!$G$5-(('DPI art.191'!$F$5-'DPI art.191'!$G$5)/4)*(P182-O182-2)),('DPI art.191'!$G$5-(('DPI art.191'!$G$5-'DPI art.191'!$H$5)/8)*(P182-O182-2))))</f>
        <v/>
      </c>
      <c r="BB182" s="24">
        <f>R182-BA182</f>
        <v/>
      </c>
      <c r="BC182" s="24">
        <f>IF(N182&lt;135,N182,N182-'DPI art.191'!$I$5)</f>
        <v/>
      </c>
      <c r="BD182" s="111">
        <f>IF(O182&lt;80,"0",IF((P182-O182)&lt;=2,('DPI art.191'!$G$7-(('DPI art.191'!$F$7-'DPI art.191'!$G$7)/4)*(O182-P182-2)),('DPI art.191'!$G$7-(('DPI art.191'!$G$7-'DPI art.191'!$H$7)/8)*(P182-O182-2))))</f>
        <v/>
      </c>
      <c r="BE182" s="24">
        <f>O182-BD182</f>
        <v/>
      </c>
      <c r="BF182" s="24">
        <f>IF(N182&lt;135,N182,N182-'DPI art.191'!$I$7)</f>
        <v/>
      </c>
      <c r="BG182" s="111">
        <f>IF(AA182&lt;80,"0",IF((AB182-AA182)&lt;=2,('DPI art.191'!$G$3-(('DPI art.191'!$F$3-'DPI art.191'!$G$3)/4)*(AB182-AA182-2)),('DPI art.191'!$G$3-(('DPI art.191'!$G$3-'DPI art.191'!$H$3)/8)*(AB182-AA182-2))))</f>
        <v/>
      </c>
      <c r="BH182" s="24">
        <f>AA182-BG182</f>
        <v/>
      </c>
      <c r="BI182" s="24">
        <f>IF(Z182&lt;135,Z182,Z182-'DPI art.191'!$I$3)</f>
        <v/>
      </c>
      <c r="BJ182" s="111">
        <f>IF(U182&lt;80,"0",IF((V182-U182)&lt;=2,('DPI art.191'!$G$7-(('DPI art.191'!$F$7-'DPI art.191'!$G$7)/4)*(U182-V182-2)),('DPI art.191'!$G$7-(('DPI art.191'!$G$7-'DPI art.191'!$H$7)/8)*(V182-U182-2))))</f>
        <v/>
      </c>
      <c r="BK182" s="24">
        <f>U182-BJ182</f>
        <v/>
      </c>
      <c r="BL182" s="24">
        <f>IF(T182&lt;135,T182,T182-'DPI art.191'!$I$7)</f>
        <v/>
      </c>
      <c r="BM182" s="111">
        <f>IF(AA182&lt;80,"0",IF((AB182-AA182)&lt;=2,('DPI art.191'!$G$5-(('DPI art.191'!$F$5-'DPI art.191'!$G$5)/4)*(AB182-AA182-2)),('DPI art.191'!$G$5-(('DPI art.191'!$G$5-'DPI art.191'!$H$5)/8)*(AB182-AA182-2))))</f>
        <v/>
      </c>
      <c r="BN182" s="24">
        <f>AD182-BM182</f>
        <v/>
      </c>
      <c r="BO182" s="24">
        <f>IF(Z182&lt;135,Z182,Z182-'DPI art.191'!$I$5)</f>
        <v/>
      </c>
      <c r="BP182" s="108">
        <f>10^(0.1*R182)</f>
        <v/>
      </c>
      <c r="BQ182" s="108">
        <f>10^(0.1*X182)</f>
        <v/>
      </c>
      <c r="BR182" s="108">
        <f>10^(0.1*AB182)</f>
        <v/>
      </c>
      <c r="BS182" s="108">
        <f>10^(0.1*AF182)</f>
        <v/>
      </c>
      <c r="BT182" s="108">
        <f>10^(0.1*AJ182)</f>
        <v/>
      </c>
      <c r="BU182" s="108">
        <f>10^(0.1*AN182)</f>
        <v/>
      </c>
      <c r="BV182" s="106">
        <f>IF(R182&gt;0,(O182-R182),"")</f>
        <v/>
      </c>
      <c r="BW182" s="106">
        <f>IF(X182&gt;0,(O182-X182),"")</f>
        <v/>
      </c>
      <c r="BX182" s="106">
        <f>IF(AB182&gt;0,(O182-AB182),"")</f>
        <v/>
      </c>
      <c r="BY182" s="106">
        <f>IF(AF182&gt;0,(O182-AF182),"")</f>
        <v/>
      </c>
      <c r="BZ182" s="106">
        <f>IF(AJ182&gt;0,(O182-AJ182),"")</f>
        <v/>
      </c>
      <c r="CA182" s="106">
        <f>IF(AN182&gt;0,(O182-AN182),"")</f>
        <v/>
      </c>
      <c r="CB182" s="106">
        <f>COUNT(BV182:CA182)</f>
        <v/>
      </c>
      <c r="CC182" s="464">
        <f>IF(CB182=0,0,IF(CB182=1,0,1/(CB182*(CB182-1))))</f>
        <v/>
      </c>
      <c r="CD182" s="136">
        <f>IF(R182&gt;0,(BV182^2),"")</f>
        <v/>
      </c>
      <c r="CE182" s="136">
        <f>IF(X182&gt;0,(BW182^2),"")</f>
        <v/>
      </c>
      <c r="CF182" s="136">
        <f>IF(AB182&gt;0,(BX182^2),"")</f>
        <v/>
      </c>
      <c r="CG182" s="136">
        <f>IF(AF182&gt;0,(BY182^2),"")</f>
        <v/>
      </c>
      <c r="CH182" s="136">
        <f>IF(AJ182&gt;0,(BZ182^2),"")</f>
        <v/>
      </c>
      <c r="CI182" s="136">
        <f>IF(AN182&gt;0,(CA182^2),"")</f>
        <v/>
      </c>
    </row>
    <row r="183" ht="18.75" customHeight="1" s="444">
      <c r="A183" s="340" t="inlineStr">
        <is>
          <t>/</t>
        </is>
      </c>
      <c r="B183" s="65">
        <f>B182+1</f>
        <v/>
      </c>
      <c r="C183" s="78" t="n"/>
      <c r="D183" s="83" t="n"/>
      <c r="E183" s="83" t="n"/>
      <c r="F183" s="329" t="n"/>
      <c r="G183" s="71" t="n"/>
      <c r="H183" s="77" t="inlineStr">
        <is>
          <t>Compito</t>
        </is>
      </c>
      <c r="I183" s="77">
        <f>IF((V183-R183)&gt;3,"SI","")</f>
        <v/>
      </c>
      <c r="J183" s="77">
        <f>IF((U183-R183)&gt;3,"SI","")</f>
        <v/>
      </c>
      <c r="K183" s="77" t="n"/>
      <c r="L183" s="77" t="n"/>
      <c r="M183" s="137">
        <f>IF(R183&gt;0,(SQRT(CC183*(SUM(CD183:CI183)))),"")</f>
        <v/>
      </c>
      <c r="N183" s="4">
        <f>IF(T183&gt;0,(MAX(T183,Z183,AD183,AH183,AL183,AP183))+SQRT(1.2^2+1^2),"")</f>
        <v/>
      </c>
      <c r="O183" s="3">
        <f>IF(R183="",0,10*LOG10(SUM(BP183:BU183)/(COUNT(R183,X183,AB183,AF183,AJ183,AN183))))</f>
        <v/>
      </c>
      <c r="P183" s="5">
        <f>IF(AND(Y183="",AC183="",AG183="",AK183="",AO183=""),S183,AVERAGE(S183,Y183,AC183,AG183,AK183,AO183)+STDEV(S183,Y183,AC183,AG183,AK183,AO183))</f>
        <v/>
      </c>
      <c r="Q183" s="14" t="n"/>
      <c r="R183" s="11" t="n"/>
      <c r="S183" s="12" t="n"/>
      <c r="T183" s="13" t="n"/>
      <c r="U183" s="79" t="n"/>
      <c r="V183" s="79" t="n"/>
      <c r="W183" s="10" t="n"/>
      <c r="X183" s="11" t="n"/>
      <c r="Y183" s="12" t="n"/>
      <c r="Z183" s="13" t="n"/>
      <c r="AA183" s="10" t="n"/>
      <c r="AB183" s="11" t="n"/>
      <c r="AC183" s="12" t="n"/>
      <c r="AD183" s="13" t="n"/>
      <c r="AE183" s="14" t="n"/>
      <c r="AF183" s="11" t="n"/>
      <c r="AG183" s="12" t="n"/>
      <c r="AH183" s="13" t="n"/>
      <c r="AI183" s="10" t="n"/>
      <c r="AJ183" s="11" t="n"/>
      <c r="AK183" s="12" t="n"/>
      <c r="AL183" s="13" t="n"/>
      <c r="AM183" s="10" t="n"/>
      <c r="AN183" s="11" t="n"/>
      <c r="AO183" s="12" t="n"/>
      <c r="AP183" s="13" t="n"/>
      <c r="AQ183" s="6">
        <f>IF(AND((O183)&lt;85,N183&lt;137),"NO","SI")</f>
        <v/>
      </c>
      <c r="AR183" s="7">
        <f>IF((480*(10^(7.95-(O183/10))))&lt;480,480*(10^(7.95-(O183/10))),480)</f>
        <v/>
      </c>
      <c r="AS183" s="8">
        <f>IF((480*(10^(8.45-(O183/10))))&lt;480,480*(10^(8.45-(O183/10))),480)</f>
        <v/>
      </c>
      <c r="AT183" s="9">
        <f>IF((480*(10^(8.65-(O183/10))))&lt;480,480*(10^(8.65-(O183/10))),480)</f>
        <v/>
      </c>
      <c r="AU183" s="111">
        <f>IF(O183&lt;80,"0",IF((P183-O183)&lt;=2,('DPI art.191'!$G$3-(('DPI art.191'!$F$3-'DPI art.191'!$G$3)/4)*(P183-O183-2)),('DPI art.191'!$G$3-(('DPI art.191'!$G$3-'DPI art.191'!$H$3)/8)*(P183-O183-2))))</f>
        <v/>
      </c>
      <c r="AV183" s="24">
        <f>O183-AU183</f>
        <v/>
      </c>
      <c r="AW183" s="24">
        <f>IF(N183&lt;135,N183,N183-'DPI art.191'!$I$3)</f>
        <v/>
      </c>
      <c r="AX183" s="111">
        <f>IF(I183&lt;80,"0",IF((J183-I183)&lt;=2,('DPI art.191'!$G$7-(('DPI art.191'!$F$7-'DPI art.191'!$G$7)/4)*(I183-J183-2)),('DPI art.191'!$G$7-(('DPI art.191'!$G$7-'DPI art.191'!$H$7)/8)*(J183-I183-2))))</f>
        <v/>
      </c>
      <c r="AY183" s="24">
        <f>I183-AX183</f>
        <v/>
      </c>
      <c r="AZ183" s="24">
        <f>IF(H183&lt;135,H183,H183-'DPI art.191'!$I$7)</f>
        <v/>
      </c>
      <c r="BA183" s="111">
        <f>IF(O183&lt;80,"0",IF((P183-O183)&lt;=2,('DPI art.191'!$G$5-(('DPI art.191'!$F$5-'DPI art.191'!$G$5)/4)*(P183-O183-2)),('DPI art.191'!$G$5-(('DPI art.191'!$G$5-'DPI art.191'!$H$5)/8)*(P183-O183-2))))</f>
        <v/>
      </c>
      <c r="BB183" s="24">
        <f>R183-BA183</f>
        <v/>
      </c>
      <c r="BC183" s="24">
        <f>IF(N183&lt;135,N183,N183-'DPI art.191'!$I$5)</f>
        <v/>
      </c>
      <c r="BD183" s="111">
        <f>IF(O183&lt;80,"0",IF((P183-O183)&lt;=2,('DPI art.191'!$G$7-(('DPI art.191'!$F$7-'DPI art.191'!$G$7)/4)*(O183-P183-2)),('DPI art.191'!$G$7-(('DPI art.191'!$G$7-'DPI art.191'!$H$7)/8)*(P183-O183-2))))</f>
        <v/>
      </c>
      <c r="BE183" s="24">
        <f>O183-BD183</f>
        <v/>
      </c>
      <c r="BF183" s="24">
        <f>IF(N183&lt;135,N183,N183-'DPI art.191'!$I$7)</f>
        <v/>
      </c>
      <c r="BG183" s="111">
        <f>IF(AA183&lt;80,"0",IF((AB183-AA183)&lt;=2,('DPI art.191'!$G$3-(('DPI art.191'!$F$3-'DPI art.191'!$G$3)/4)*(AB183-AA183-2)),('DPI art.191'!$G$3-(('DPI art.191'!$G$3-'DPI art.191'!$H$3)/8)*(AB183-AA183-2))))</f>
        <v/>
      </c>
      <c r="BH183" s="24">
        <f>AA183-BG183</f>
        <v/>
      </c>
      <c r="BI183" s="24">
        <f>IF(Z183&lt;135,Z183,Z183-'DPI art.191'!$I$3)</f>
        <v/>
      </c>
      <c r="BJ183" s="111">
        <f>IF(U183&lt;80,"0",IF((V183-U183)&lt;=2,('DPI art.191'!$G$7-(('DPI art.191'!$F$7-'DPI art.191'!$G$7)/4)*(U183-V183-2)),('DPI art.191'!$G$7-(('DPI art.191'!$G$7-'DPI art.191'!$H$7)/8)*(V183-U183-2))))</f>
        <v/>
      </c>
      <c r="BK183" s="24">
        <f>U183-BJ183</f>
        <v/>
      </c>
      <c r="BL183" s="24">
        <f>IF(T183&lt;135,T183,T183-'DPI art.191'!$I$7)</f>
        <v/>
      </c>
      <c r="BM183" s="111">
        <f>IF(AA183&lt;80,"0",IF((AB183-AA183)&lt;=2,('DPI art.191'!$G$5-(('DPI art.191'!$F$5-'DPI art.191'!$G$5)/4)*(AB183-AA183-2)),('DPI art.191'!$G$5-(('DPI art.191'!$G$5-'DPI art.191'!$H$5)/8)*(AB183-AA183-2))))</f>
        <v/>
      </c>
      <c r="BN183" s="24">
        <f>AD183-BM183</f>
        <v/>
      </c>
      <c r="BO183" s="24">
        <f>IF(Z183&lt;135,Z183,Z183-'DPI art.191'!$I$5)</f>
        <v/>
      </c>
      <c r="BP183" s="108">
        <f>10^(0.1*R183)</f>
        <v/>
      </c>
      <c r="BQ183" s="108">
        <f>10^(0.1*X183)</f>
        <v/>
      </c>
      <c r="BR183" s="108">
        <f>10^(0.1*AB183)</f>
        <v/>
      </c>
      <c r="BS183" s="108">
        <f>10^(0.1*AF183)</f>
        <v/>
      </c>
      <c r="BT183" s="108">
        <f>10^(0.1*AJ183)</f>
        <v/>
      </c>
      <c r="BU183" s="108">
        <f>10^(0.1*AN183)</f>
        <v/>
      </c>
      <c r="BV183" s="106">
        <f>IF(R183&gt;0,(O183-R183),"")</f>
        <v/>
      </c>
      <c r="BW183" s="106">
        <f>IF(X183&gt;0,(O183-X183),"")</f>
        <v/>
      </c>
      <c r="BX183" s="106">
        <f>IF(AB183&gt;0,(O183-AB183),"")</f>
        <v/>
      </c>
      <c r="BY183" s="106">
        <f>IF(AF183&gt;0,(O183-AF183),"")</f>
        <v/>
      </c>
      <c r="BZ183" s="106">
        <f>IF(AJ183&gt;0,(O183-AJ183),"")</f>
        <v/>
      </c>
      <c r="CA183" s="106">
        <f>IF(AN183&gt;0,(O183-AN183),"")</f>
        <v/>
      </c>
      <c r="CB183" s="106">
        <f>COUNT(BV183:CA183)</f>
        <v/>
      </c>
      <c r="CC183" s="464">
        <f>IF(CB183=0,0,IF(CB183=1,0,1/(CB183*(CB183-1))))</f>
        <v/>
      </c>
      <c r="CD183" s="136">
        <f>IF(R183&gt;0,(BV183^2),"")</f>
        <v/>
      </c>
      <c r="CE183" s="136">
        <f>IF(X183&gt;0,(BW183^2),"")</f>
        <v/>
      </c>
      <c r="CF183" s="136">
        <f>IF(AB183&gt;0,(BX183^2),"")</f>
        <v/>
      </c>
      <c r="CG183" s="136">
        <f>IF(AF183&gt;0,(BY183^2),"")</f>
        <v/>
      </c>
      <c r="CH183" s="136">
        <f>IF(AJ183&gt;0,(BZ183^2),"")</f>
        <v/>
      </c>
      <c r="CI183" s="136">
        <f>IF(AN183&gt;0,(CA183^2),"")</f>
        <v/>
      </c>
    </row>
    <row r="184" ht="18.75" customHeight="1" s="444">
      <c r="A184" s="340" t="inlineStr">
        <is>
          <t>/</t>
        </is>
      </c>
      <c r="B184" s="65">
        <f>B183+1</f>
        <v/>
      </c>
      <c r="C184" s="78" t="n"/>
      <c r="D184" s="83" t="n"/>
      <c r="E184" s="83" t="n"/>
      <c r="F184" s="329" t="n"/>
      <c r="G184" s="71" t="n"/>
      <c r="H184" s="77" t="inlineStr">
        <is>
          <t>Compito</t>
        </is>
      </c>
      <c r="I184" s="77">
        <f>IF((V184-R184)&gt;3,"SI","")</f>
        <v/>
      </c>
      <c r="J184" s="77">
        <f>IF((U184-R184)&gt;3,"SI","")</f>
        <v/>
      </c>
      <c r="K184" s="77" t="n"/>
      <c r="L184" s="77" t="n"/>
      <c r="M184" s="137">
        <f>IF(R184&gt;0,(SQRT(CC184*(SUM(CD184:CI184)))),"")</f>
        <v/>
      </c>
      <c r="N184" s="4">
        <f>IF(T184&gt;0,(MAX(T184,Z184,AD184,AH184,AL184,AP184))+SQRT(1.2^2+1^2),"")</f>
        <v/>
      </c>
      <c r="O184" s="3">
        <f>IF(R184="",0,10*LOG10(SUM(BP184:BU184)/(COUNT(R184,X184,AB184,AF184,AJ184,AN184))))</f>
        <v/>
      </c>
      <c r="P184" s="5">
        <f>IF(AND(Y184="",AC184="",AG184="",AK184="",AO184=""),S184,AVERAGE(S184,Y184,AC184,AG184,AK184,AO184)+STDEV(S184,Y184,AC184,AG184,AK184,AO184))</f>
        <v/>
      </c>
      <c r="Q184" s="14" t="n"/>
      <c r="R184" s="11" t="n"/>
      <c r="S184" s="12" t="n"/>
      <c r="T184" s="13" t="n"/>
      <c r="U184" s="79" t="n"/>
      <c r="V184" s="79" t="n"/>
      <c r="W184" s="10" t="n"/>
      <c r="X184" s="11" t="n"/>
      <c r="Y184" s="12" t="n"/>
      <c r="Z184" s="13" t="n"/>
      <c r="AA184" s="10" t="n"/>
      <c r="AB184" s="11" t="n"/>
      <c r="AC184" s="12" t="n"/>
      <c r="AD184" s="13" t="n"/>
      <c r="AE184" s="14" t="n"/>
      <c r="AF184" s="11" t="n"/>
      <c r="AG184" s="12" t="n"/>
      <c r="AH184" s="13" t="n"/>
      <c r="AI184" s="10" t="n"/>
      <c r="AJ184" s="11" t="n"/>
      <c r="AK184" s="12" t="n"/>
      <c r="AL184" s="13" t="n"/>
      <c r="AM184" s="10" t="n"/>
      <c r="AN184" s="11" t="n"/>
      <c r="AO184" s="12" t="n"/>
      <c r="AP184" s="13" t="n"/>
      <c r="AQ184" s="6">
        <f>IF(AND((O184)&lt;85,N184&lt;137),"NO","SI")</f>
        <v/>
      </c>
      <c r="AR184" s="7">
        <f>IF((480*(10^(7.95-(O184/10))))&lt;480,480*(10^(7.95-(O184/10))),480)</f>
        <v/>
      </c>
      <c r="AS184" s="8">
        <f>IF((480*(10^(8.45-(O184/10))))&lt;480,480*(10^(8.45-(O184/10))),480)</f>
        <v/>
      </c>
      <c r="AT184" s="9">
        <f>IF((480*(10^(8.65-(O184/10))))&lt;480,480*(10^(8.65-(O184/10))),480)</f>
        <v/>
      </c>
      <c r="AU184" s="111">
        <f>IF(O184&lt;80,"0",IF((P184-O184)&lt;=2,('DPI art.191'!$G$3-(('DPI art.191'!$F$3-'DPI art.191'!$G$3)/4)*(P184-O184-2)),('DPI art.191'!$G$3-(('DPI art.191'!$G$3-'DPI art.191'!$H$3)/8)*(P184-O184-2))))</f>
        <v/>
      </c>
      <c r="AV184" s="24">
        <f>O184-AU184</f>
        <v/>
      </c>
      <c r="AW184" s="24">
        <f>IF(N184&lt;135,N184,N184-'DPI art.191'!$I$3)</f>
        <v/>
      </c>
      <c r="AX184" s="111">
        <f>IF(I184&lt;80,"0",IF((J184-I184)&lt;=2,('DPI art.191'!$G$7-(('DPI art.191'!$F$7-'DPI art.191'!$G$7)/4)*(I184-J184-2)),('DPI art.191'!$G$7-(('DPI art.191'!$G$7-'DPI art.191'!$H$7)/8)*(J184-I184-2))))</f>
        <v/>
      </c>
      <c r="AY184" s="24">
        <f>I184-AX184</f>
        <v/>
      </c>
      <c r="AZ184" s="24">
        <f>IF(H184&lt;135,H184,H184-'DPI art.191'!$I$7)</f>
        <v/>
      </c>
      <c r="BA184" s="111">
        <f>IF(O184&lt;80,"0",IF((P184-O184)&lt;=2,('DPI art.191'!$G$5-(('DPI art.191'!$F$5-'DPI art.191'!$G$5)/4)*(P184-O184-2)),('DPI art.191'!$G$5-(('DPI art.191'!$G$5-'DPI art.191'!$H$5)/8)*(P184-O184-2))))</f>
        <v/>
      </c>
      <c r="BB184" s="24">
        <f>R184-BA184</f>
        <v/>
      </c>
      <c r="BC184" s="24">
        <f>IF(N184&lt;135,N184,N184-'DPI art.191'!$I$5)</f>
        <v/>
      </c>
      <c r="BD184" s="111">
        <f>IF(O184&lt;80,"0",IF((P184-O184)&lt;=2,('DPI art.191'!$G$7-(('DPI art.191'!$F$7-'DPI art.191'!$G$7)/4)*(O184-P184-2)),('DPI art.191'!$G$7-(('DPI art.191'!$G$7-'DPI art.191'!$H$7)/8)*(P184-O184-2))))</f>
        <v/>
      </c>
      <c r="BE184" s="24">
        <f>O184-BD184</f>
        <v/>
      </c>
      <c r="BF184" s="24">
        <f>IF(N184&lt;135,N184,N184-'DPI art.191'!$I$7)</f>
        <v/>
      </c>
      <c r="BG184" s="111">
        <f>IF(AA184&lt;80,"0",IF((AB184-AA184)&lt;=2,('DPI art.191'!$G$3-(('DPI art.191'!$F$3-'DPI art.191'!$G$3)/4)*(AB184-AA184-2)),('DPI art.191'!$G$3-(('DPI art.191'!$G$3-'DPI art.191'!$H$3)/8)*(AB184-AA184-2))))</f>
        <v/>
      </c>
      <c r="BH184" s="24">
        <f>AA184-BG184</f>
        <v/>
      </c>
      <c r="BI184" s="24">
        <f>IF(Z184&lt;135,Z184,Z184-'DPI art.191'!$I$3)</f>
        <v/>
      </c>
      <c r="BJ184" s="111">
        <f>IF(U184&lt;80,"0",IF((V184-U184)&lt;=2,('DPI art.191'!$G$7-(('DPI art.191'!$F$7-'DPI art.191'!$G$7)/4)*(U184-V184-2)),('DPI art.191'!$G$7-(('DPI art.191'!$G$7-'DPI art.191'!$H$7)/8)*(V184-U184-2))))</f>
        <v/>
      </c>
      <c r="BK184" s="24">
        <f>U184-BJ184</f>
        <v/>
      </c>
      <c r="BL184" s="24">
        <f>IF(T184&lt;135,T184,T184-'DPI art.191'!$I$7)</f>
        <v/>
      </c>
      <c r="BM184" s="111">
        <f>IF(AA184&lt;80,"0",IF((AB184-AA184)&lt;=2,('DPI art.191'!$G$5-(('DPI art.191'!$F$5-'DPI art.191'!$G$5)/4)*(AB184-AA184-2)),('DPI art.191'!$G$5-(('DPI art.191'!$G$5-'DPI art.191'!$H$5)/8)*(AB184-AA184-2))))</f>
        <v/>
      </c>
      <c r="BN184" s="24">
        <f>AD184-BM184</f>
        <v/>
      </c>
      <c r="BO184" s="24">
        <f>IF(Z184&lt;135,Z184,Z184-'DPI art.191'!$I$5)</f>
        <v/>
      </c>
      <c r="BP184" s="108">
        <f>10^(0.1*R184)</f>
        <v/>
      </c>
      <c r="BQ184" s="108">
        <f>10^(0.1*X184)</f>
        <v/>
      </c>
      <c r="BR184" s="108">
        <f>10^(0.1*AB184)</f>
        <v/>
      </c>
      <c r="BS184" s="108">
        <f>10^(0.1*AF184)</f>
        <v/>
      </c>
      <c r="BT184" s="108">
        <f>10^(0.1*AJ184)</f>
        <v/>
      </c>
      <c r="BU184" s="108">
        <f>10^(0.1*AN184)</f>
        <v/>
      </c>
      <c r="BV184" s="106">
        <f>IF(R184&gt;0,(O184-R184),"")</f>
        <v/>
      </c>
      <c r="BW184" s="106">
        <f>IF(X184&gt;0,(O184-X184),"")</f>
        <v/>
      </c>
      <c r="BX184" s="106">
        <f>IF(AB184&gt;0,(O184-AB184),"")</f>
        <v/>
      </c>
      <c r="BY184" s="106">
        <f>IF(AF184&gt;0,(O184-AF184),"")</f>
        <v/>
      </c>
      <c r="BZ184" s="106">
        <f>IF(AJ184&gt;0,(O184-AJ184),"")</f>
        <v/>
      </c>
      <c r="CA184" s="106">
        <f>IF(AN184&gt;0,(O184-AN184),"")</f>
        <v/>
      </c>
      <c r="CB184" s="106">
        <f>COUNT(BV184:CA184)</f>
        <v/>
      </c>
      <c r="CC184" s="464">
        <f>IF(CB184=0,0,IF(CB184=1,0,1/(CB184*(CB184-1))))</f>
        <v/>
      </c>
      <c r="CD184" s="136">
        <f>IF(R184&gt;0,(BV184^2),"")</f>
        <v/>
      </c>
      <c r="CE184" s="136">
        <f>IF(X184&gt;0,(BW184^2),"")</f>
        <v/>
      </c>
      <c r="CF184" s="136">
        <f>IF(AB184&gt;0,(BX184^2),"")</f>
        <v/>
      </c>
      <c r="CG184" s="136">
        <f>IF(AF184&gt;0,(BY184^2),"")</f>
        <v/>
      </c>
      <c r="CH184" s="136">
        <f>IF(AJ184&gt;0,(BZ184^2),"")</f>
        <v/>
      </c>
      <c r="CI184" s="136">
        <f>IF(AN184&gt;0,(CA184^2),"")</f>
        <v/>
      </c>
    </row>
    <row r="185">
      <c r="B185" t="inlineStr">
        <is>
          <t>D1_3</t>
        </is>
      </c>
      <c r="G185" t="inlineStr">
        <is>
          <t>21-mag-26</t>
        </is>
      </c>
      <c r="M185">
        <f>IF(R185&gt;0,(SQRT(CC185*(SUM(CD185:CI185)))),"")</f>
        <v/>
      </c>
      <c r="N185" s="15">
        <f>IF(T185&gt;0,(MAX(T185,Z185,AD185,AH185,AL185,AP185))+SQRT(1.2^2+1^2),"")</f>
        <v/>
      </c>
      <c r="O185" s="15">
        <f>IF(R185="",0,10*LOG11(SUM(BP185:BU185)/(COUNT(R185,X185,AB185,AF185,AJ185,AN185))))</f>
        <v/>
      </c>
      <c r="P185" s="15">
        <f>IF(AND(Y185="",AC185="",AG185="",AK185="",AO185=""),S185,AVERAGE(S185,Y185,AC185,AG185,AK185,AO185)+STDEV(S185,Y185,AC185,AG185,AK185,AO185))</f>
        <v/>
      </c>
      <c r="Q185" t="n">
        <v>300</v>
      </c>
      <c r="R185" t="n">
        <v>91.90000000000001</v>
      </c>
      <c r="S185" t="n">
        <v>91.2</v>
      </c>
      <c r="T185" t="n">
        <v>107.6</v>
      </c>
      <c r="W185" t="n">
        <v>300</v>
      </c>
      <c r="X185" t="n">
        <v>81.8</v>
      </c>
      <c r="Y185" t="n">
        <v>81.90000000000001</v>
      </c>
      <c r="Z185" t="n">
        <v>99.5</v>
      </c>
      <c r="AA185" t="n">
        <v>300</v>
      </c>
      <c r="AB185" t="n">
        <v>85.3</v>
      </c>
      <c r="AC185" t="n">
        <v>85</v>
      </c>
      <c r="AD185" t="n">
        <v>102.5</v>
      </c>
      <c r="AE185" t="n">
        <v>300</v>
      </c>
      <c r="AF185" t="n">
        <v>86.40000000000001</v>
      </c>
      <c r="AG185" t="n">
        <v>86</v>
      </c>
      <c r="AH185" t="n">
        <v>102.4</v>
      </c>
      <c r="AI185" t="n">
        <v>300</v>
      </c>
      <c r="AJ185" t="n">
        <v>85.7</v>
      </c>
      <c r="AK185" t="n">
        <v>85.40000000000001</v>
      </c>
      <c r="AL185" t="n">
        <v>103.1</v>
      </c>
      <c r="AM185" t="n">
        <v>300</v>
      </c>
      <c r="AN185" t="n">
        <v>83.59999999999999</v>
      </c>
      <c r="AO185" t="n">
        <v>83.3</v>
      </c>
      <c r="AP185" t="n">
        <v>104.6</v>
      </c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</row>
    <row r="186">
      <c r="B186" t="inlineStr">
        <is>
          <t>D2_3</t>
        </is>
      </c>
      <c r="G186" t="inlineStr">
        <is>
          <t>21-mag-26</t>
        </is>
      </c>
      <c r="M186">
        <f>IF(R186&gt;0,(SQRT(CC186*(SUM(CD186:CI186)))),"")</f>
        <v/>
      </c>
      <c r="N186" s="15">
        <f>IF(T186&gt;0,(MAX(T186,Z186,AD186,AH186,AL186,AP186))+SQRT(1.2^2+1^2),"")</f>
        <v/>
      </c>
      <c r="O186" s="15">
        <f>IF(R186="",0,10*LOG12(SUM(BP186:BU186)/(COUNT(R186,X186,AB186,AF186,AJ186,AN186))))</f>
        <v/>
      </c>
      <c r="P186" s="15">
        <f>IF(AND(Y186="",AC186="",AG186="",AK186="",AO186=""),S186,AVERAGE(S186,Y186,AC186,AG186,AK186,AO186)+STDEV(S186,Y186,AC186,AG186,AK186,AO186))</f>
        <v/>
      </c>
      <c r="Q186" t="n">
        <v>300</v>
      </c>
      <c r="R186" t="n">
        <v>76.5</v>
      </c>
      <c r="S186" t="n">
        <v>78.59999999999999</v>
      </c>
      <c r="T186" t="n">
        <v>105.9</v>
      </c>
      <c r="W186" t="n">
        <v>300</v>
      </c>
      <c r="X186" t="n">
        <v>74.8</v>
      </c>
      <c r="Y186" t="n">
        <v>77.90000000000001</v>
      </c>
      <c r="Z186" t="n">
        <v>106.8</v>
      </c>
      <c r="AA186" t="n">
        <v>300</v>
      </c>
      <c r="AB186" t="n">
        <v>78.2</v>
      </c>
      <c r="AC186" t="n">
        <v>79.2</v>
      </c>
      <c r="AD186" t="n">
        <v>102.2</v>
      </c>
      <c r="AE186" t="n">
        <v>300</v>
      </c>
      <c r="AF186" t="n">
        <v>77.8</v>
      </c>
      <c r="AG186" t="n">
        <v>79</v>
      </c>
      <c r="AH186" t="n">
        <v>102.7</v>
      </c>
      <c r="AI186" t="n">
        <v>300</v>
      </c>
      <c r="AJ186" t="n">
        <v>79.8</v>
      </c>
      <c r="AK186" t="n">
        <v>81</v>
      </c>
      <c r="AL186" t="n">
        <v>102</v>
      </c>
      <c r="AM186" t="n">
        <v>300</v>
      </c>
      <c r="AN186" t="n">
        <v>76.90000000000001</v>
      </c>
      <c r="AO186" t="n">
        <v>78.7</v>
      </c>
      <c r="AP186" t="n">
        <v>99.90000000000001</v>
      </c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</row>
    <row r="187">
      <c r="B187" t="inlineStr">
        <is>
          <t>D3_3</t>
        </is>
      </c>
      <c r="G187" t="inlineStr">
        <is>
          <t>21-mag-26</t>
        </is>
      </c>
      <c r="M187">
        <f>IF(R187&gt;0,(SQRT(CC187*(SUM(CD187:CI187)))),"")</f>
        <v/>
      </c>
      <c r="N187" s="15">
        <f>IF(T187&gt;0,(MAX(T187,Z187,AD187,AH187,AL187,AP187))+SQRT(1.2^2+1^2),"")</f>
        <v/>
      </c>
      <c r="O187" s="15">
        <f>IF(R187="",0,10*LOG13(SUM(BP187:BU187)/(COUNT(R187,X187,AB187,AF187,AJ187,AN187))))</f>
        <v/>
      </c>
      <c r="P187" s="15">
        <f>IF(AND(Y187="",AC187="",AG187="",AK187="",AO187=""),S187,AVERAGE(S187,Y187,AC187,AG187,AK187,AO187)+STDEV(S187,Y187,AC187,AG187,AK187,AO187))</f>
        <v/>
      </c>
      <c r="Q187" t="n">
        <v>300</v>
      </c>
      <c r="R187" t="n">
        <v>78</v>
      </c>
      <c r="S187" t="n">
        <v>81.2</v>
      </c>
      <c r="T187" t="n">
        <v>113.8</v>
      </c>
      <c r="W187" t="n">
        <v>300</v>
      </c>
      <c r="X187" t="n">
        <v>77.59999999999999</v>
      </c>
      <c r="Y187" t="n">
        <v>80.8</v>
      </c>
      <c r="Z187" t="n">
        <v>110.9</v>
      </c>
      <c r="AA187" t="n">
        <v>300</v>
      </c>
      <c r="AB187" t="n">
        <v>80.09999999999999</v>
      </c>
      <c r="AC187" t="n">
        <v>83.3</v>
      </c>
      <c r="AD187" t="n">
        <v>113.1</v>
      </c>
      <c r="AE187" t="n">
        <v>300</v>
      </c>
      <c r="AF187" t="n">
        <v>82.09999999999999</v>
      </c>
      <c r="AG187" t="n">
        <v>85.09999999999999</v>
      </c>
      <c r="AH187" t="n">
        <v>115.6</v>
      </c>
      <c r="AI187" t="n">
        <v>300</v>
      </c>
      <c r="AJ187" t="n">
        <v>85.5</v>
      </c>
      <c r="AK187" t="n">
        <v>86.59999999999999</v>
      </c>
      <c r="AL187" t="n">
        <v>118</v>
      </c>
      <c r="AM187" t="n">
        <v>300</v>
      </c>
      <c r="AN187" t="n">
        <v>83.5</v>
      </c>
      <c r="AO187" t="n">
        <v>83.40000000000001</v>
      </c>
      <c r="AP187" t="n">
        <v>106</v>
      </c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</row>
    <row r="188">
      <c r="B188" t="inlineStr">
        <is>
          <t>D4_3</t>
        </is>
      </c>
      <c r="G188" t="inlineStr">
        <is>
          <t>21-mag-26</t>
        </is>
      </c>
      <c r="M188">
        <f>IF(R188&gt;0,(SQRT(CC188*(SUM(CD188:CI188)))),"")</f>
        <v/>
      </c>
      <c r="N188" s="15">
        <f>IF(T188&gt;0,(MAX(T188,Z188,AD188,AH188,AL188,AP188))+SQRT(1.2^2+1^2),"")</f>
        <v/>
      </c>
      <c r="O188" s="15">
        <f>IF(R188="",0,10*LOG14(SUM(BP188:BU188)/(COUNT(R188,X188,AB188,AF188,AJ188,AN188))))</f>
        <v/>
      </c>
      <c r="P188" s="15">
        <f>IF(AND(Y188="",AC188="",AG188="",AK188="",AO188=""),S188,AVERAGE(S188,Y188,AC188,AG188,AK188,AO188)+STDEV(S188,Y188,AC188,AG188,AK188,AO188))</f>
        <v/>
      </c>
      <c r="Q188" t="n">
        <v>300</v>
      </c>
      <c r="R188" t="n">
        <v>104.9</v>
      </c>
      <c r="S188" t="n">
        <v>103.4</v>
      </c>
      <c r="T188" t="n">
        <v>122</v>
      </c>
      <c r="W188" t="n">
        <v>300</v>
      </c>
      <c r="X188" t="n">
        <v>103.2</v>
      </c>
      <c r="Y188" t="n">
        <v>101.8</v>
      </c>
      <c r="Z188" t="n">
        <v>118.8</v>
      </c>
      <c r="AA188" t="n">
        <v>300</v>
      </c>
      <c r="AB188" t="n">
        <v>100.1</v>
      </c>
      <c r="AC188" t="n">
        <v>98.7</v>
      </c>
      <c r="AD188" t="n">
        <v>119.8</v>
      </c>
      <c r="AE188" t="n">
        <v>300</v>
      </c>
      <c r="AF188" t="n">
        <v>105.9</v>
      </c>
      <c r="AG188" t="n">
        <v>104.7</v>
      </c>
      <c r="AH188" t="n">
        <v>123.3</v>
      </c>
      <c r="AI188" t="n">
        <v>300</v>
      </c>
      <c r="AJ188" t="n">
        <v>107</v>
      </c>
      <c r="AK188" t="n">
        <v>105.5</v>
      </c>
      <c r="AL188" t="n">
        <v>124</v>
      </c>
      <c r="AM188" t="n">
        <v>300</v>
      </c>
      <c r="AN188" t="n">
        <v>105</v>
      </c>
      <c r="AO188" t="n">
        <v>103.4</v>
      </c>
      <c r="AP188" t="n">
        <v>124.8</v>
      </c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</row>
    <row r="189">
      <c r="B189" t="inlineStr">
        <is>
          <t>D5_3</t>
        </is>
      </c>
      <c r="G189" t="inlineStr">
        <is>
          <t>21-mag-26</t>
        </is>
      </c>
      <c r="M189">
        <f>IF(R189&gt;0,(SQRT(CC189*(SUM(CD189:CI189)))),"")</f>
        <v/>
      </c>
      <c r="N189" s="15">
        <f>IF(T189&gt;0,(MAX(T189,Z189,AD189,AH189,AL189,AP189))+SQRT(1.2^2+1^2),"")</f>
        <v/>
      </c>
      <c r="O189" s="15">
        <f>IF(R189="",0,10*LOG15(SUM(BP189:BU189)/(COUNT(R189,X189,AB189,AF189,AJ189,AN189))))</f>
        <v/>
      </c>
      <c r="P189" s="15">
        <f>IF(AND(Y189="",AC189="",AG189="",AK189="",AO189=""),S189,AVERAGE(S189,Y189,AC189,AG189,AK189,AO189)+STDEV(S189,Y189,AC189,AG189,AK189,AO189))</f>
        <v/>
      </c>
      <c r="Q189" t="n">
        <v>300</v>
      </c>
      <c r="R189" t="n">
        <v>102.2</v>
      </c>
      <c r="S189" t="n">
        <v>100.5</v>
      </c>
      <c r="T189" t="n">
        <v>118.3</v>
      </c>
      <c r="W189" t="n">
        <v>300</v>
      </c>
      <c r="X189" t="n">
        <v>90.3</v>
      </c>
      <c r="Y189" t="n">
        <v>89.3</v>
      </c>
      <c r="Z189" t="n">
        <v>112.3</v>
      </c>
      <c r="AA189" t="n">
        <v>300</v>
      </c>
      <c r="AB189" t="n">
        <v>84.2</v>
      </c>
      <c r="AC189" t="n">
        <v>84.3</v>
      </c>
      <c r="AD189" t="n">
        <v>99.09999999999999</v>
      </c>
      <c r="AE189" t="n">
        <v>300</v>
      </c>
      <c r="AF189" t="n">
        <v>95.90000000000001</v>
      </c>
      <c r="AG189" t="n">
        <v>94.40000000000001</v>
      </c>
      <c r="AH189" t="n">
        <v>113.4</v>
      </c>
      <c r="AI189" t="n">
        <v>300</v>
      </c>
      <c r="AJ189" t="n">
        <v>101.9</v>
      </c>
      <c r="AK189" t="n">
        <v>100.3</v>
      </c>
      <c r="AL189" t="n">
        <v>116.2</v>
      </c>
      <c r="AM189" t="n">
        <v>300</v>
      </c>
      <c r="AN189" t="n">
        <v>87.8</v>
      </c>
      <c r="AO189" t="n">
        <v>87.2</v>
      </c>
      <c r="AP189" t="n">
        <v>107.9</v>
      </c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</row>
    <row r="190">
      <c r="B190" t="inlineStr">
        <is>
          <t>D6_3</t>
        </is>
      </c>
      <c r="G190" t="inlineStr">
        <is>
          <t>21-mag-26</t>
        </is>
      </c>
      <c r="M190">
        <f>IF(R190&gt;0,(SQRT(CC190*(SUM(CD190:CI190)))),"")</f>
        <v/>
      </c>
      <c r="N190" s="15">
        <f>IF(T190&gt;0,(MAX(T190,Z190,AD190,AH190,AL190,AP190))+SQRT(1.2^2+1^2),"")</f>
        <v/>
      </c>
      <c r="O190" s="15">
        <f>IF(R190="",0,10*LOG16(SUM(BP190:BU190)/(COUNT(R190,X190,AB190,AF190,AJ190,AN190))))</f>
        <v/>
      </c>
      <c r="P190" s="15">
        <f>IF(AND(Y190="",AC190="",AG190="",AK190="",AO190=""),S190,AVERAGE(S190,Y190,AC190,AG190,AK190,AO190)+STDEV(S190,Y190,AC190,AG190,AK190,AO190))</f>
        <v/>
      </c>
      <c r="Q190" t="n">
        <v>300</v>
      </c>
      <c r="R190" t="n">
        <v>83.5</v>
      </c>
      <c r="S190" t="n">
        <v>84.90000000000001</v>
      </c>
      <c r="T190" t="n">
        <v>106.8</v>
      </c>
      <c r="W190" t="n">
        <v>300</v>
      </c>
      <c r="X190" t="n">
        <v>82.2</v>
      </c>
      <c r="Y190" t="n">
        <v>82.59999999999999</v>
      </c>
      <c r="Z190" t="n">
        <v>106.6</v>
      </c>
      <c r="AA190" t="n">
        <v>300</v>
      </c>
      <c r="AB190" t="n">
        <v>85.8</v>
      </c>
      <c r="AC190" t="n">
        <v>85.5</v>
      </c>
      <c r="AD190" t="n">
        <v>125.3</v>
      </c>
      <c r="AE190" t="n">
        <v>300</v>
      </c>
      <c r="AF190" t="n">
        <v>80.90000000000001</v>
      </c>
      <c r="AG190" t="n">
        <v>81.3</v>
      </c>
      <c r="AH190" t="n">
        <v>108.8</v>
      </c>
      <c r="AI190" t="n">
        <v>300</v>
      </c>
      <c r="AJ190" t="n">
        <v>77.7</v>
      </c>
      <c r="AK190" t="n">
        <v>78.59999999999999</v>
      </c>
      <c r="AL190" t="n">
        <v>103.3</v>
      </c>
      <c r="AM190" t="n">
        <v>300</v>
      </c>
      <c r="AN190" t="n">
        <v>74.90000000000001</v>
      </c>
      <c r="AO190" t="n">
        <v>77.7</v>
      </c>
      <c r="AP190" t="n">
        <v>98.2</v>
      </c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</row>
    <row r="191">
      <c r="B191" t="inlineStr">
        <is>
          <t>D7_3</t>
        </is>
      </c>
      <c r="G191" t="inlineStr">
        <is>
          <t>21-mag-26</t>
        </is>
      </c>
      <c r="M191">
        <f>IF(R191&gt;0,(SQRT(CC191*(SUM(CD191:CI191)))),"")</f>
        <v/>
      </c>
      <c r="N191" s="15">
        <f>IF(T191&gt;0,(MAX(T191,Z191,AD191,AH191,AL191,AP191))+SQRT(1.2^2+1^2),"")</f>
        <v/>
      </c>
      <c r="O191" s="15">
        <f>IF(R191="",0,10*LOG17(SUM(BP191:BU191)/(COUNT(R191,X191,AB191,AF191,AJ191,AN191))))</f>
        <v/>
      </c>
      <c r="P191" s="15">
        <f>IF(AND(Y191="",AC191="",AG191="",AK191="",AO191=""),S191,AVERAGE(S191,Y191,AC191,AG191,AK191,AO191)+STDEV(S191,Y191,AC191,AG191,AK191,AO191))</f>
        <v/>
      </c>
      <c r="Q191" t="n">
        <v>300</v>
      </c>
      <c r="R191" t="n">
        <v>83.5</v>
      </c>
      <c r="S191" t="n">
        <v>83.7</v>
      </c>
      <c r="T191" t="n">
        <v>107.3</v>
      </c>
      <c r="W191" t="n">
        <v>300</v>
      </c>
      <c r="X191" t="n">
        <v>84.59999999999999</v>
      </c>
      <c r="Y191" t="n">
        <v>84.7</v>
      </c>
      <c r="Z191" t="n">
        <v>104.1</v>
      </c>
      <c r="AA191" t="n">
        <v>300</v>
      </c>
      <c r="AB191" t="n">
        <v>88.59999999999999</v>
      </c>
      <c r="AC191" t="n">
        <v>88.40000000000001</v>
      </c>
      <c r="AD191" t="n">
        <v>125.7</v>
      </c>
      <c r="AE191" t="n">
        <v>300</v>
      </c>
      <c r="AF191" t="n">
        <v>90.90000000000001</v>
      </c>
      <c r="AG191" t="n">
        <v>91.2</v>
      </c>
      <c r="AH191" t="n">
        <v>122.8</v>
      </c>
      <c r="AI191" t="n">
        <v>300</v>
      </c>
      <c r="AJ191" t="n">
        <v>88.5</v>
      </c>
      <c r="AK191" t="n">
        <v>88.7</v>
      </c>
      <c r="AL191" t="n">
        <v>124.6</v>
      </c>
      <c r="AM191" t="n">
        <v>300</v>
      </c>
      <c r="AN191" t="n">
        <v>85.5</v>
      </c>
      <c r="AO191" t="n">
        <v>84.8</v>
      </c>
      <c r="AP191" t="n">
        <v>107.2</v>
      </c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</row>
    <row r="192">
      <c r="B192" t="inlineStr">
        <is>
          <t>D8_3</t>
        </is>
      </c>
      <c r="G192" t="inlineStr">
        <is>
          <t>21-mag-26</t>
        </is>
      </c>
      <c r="M192">
        <f>IF(R192&gt;0,(SQRT(CC192*(SUM(CD192:CI192)))),"")</f>
        <v/>
      </c>
      <c r="N192" s="15">
        <f>IF(T192&gt;0,(MAX(T192,Z192,AD192,AH192,AL192,AP192))+SQRT(1.2^2+1^2),"")</f>
        <v/>
      </c>
      <c r="O192" s="15">
        <f>IF(R192="",0,10*LOG18(SUM(BP192:BU192)/(COUNT(R192,X192,AB192,AF192,AJ192,AN192))))</f>
        <v/>
      </c>
      <c r="P192" s="15">
        <f>IF(AND(Y192="",AC192="",AG192="",AK192="",AO192=""),S192,AVERAGE(S192,Y192,AC192,AG192,AK192,AO192)+STDEV(S192,Y192,AC192,AG192,AK192,AO192))</f>
        <v/>
      </c>
      <c r="Q192" t="n">
        <v>300</v>
      </c>
      <c r="R192" t="n">
        <v>83.5</v>
      </c>
      <c r="S192" t="n">
        <v>83.90000000000001</v>
      </c>
      <c r="T192" t="n">
        <v>110.4</v>
      </c>
      <c r="W192" t="n">
        <v>300</v>
      </c>
      <c r="X192" t="n">
        <v>84</v>
      </c>
      <c r="Y192" t="n">
        <v>84.3</v>
      </c>
      <c r="Z192" t="n">
        <v>103.7</v>
      </c>
      <c r="AA192" t="n">
        <v>300</v>
      </c>
      <c r="AB192" t="n">
        <v>85</v>
      </c>
      <c r="AC192" t="n">
        <v>85.09999999999999</v>
      </c>
      <c r="AD192" t="n">
        <v>116.6</v>
      </c>
      <c r="AE192" t="n">
        <v>300</v>
      </c>
      <c r="AF192" t="n">
        <v>82.59999999999999</v>
      </c>
      <c r="AG192" t="n">
        <v>82.90000000000001</v>
      </c>
      <c r="AH192" t="n">
        <v>109.2</v>
      </c>
      <c r="AI192" t="n">
        <v>300</v>
      </c>
      <c r="AJ192" t="n">
        <v>84.7</v>
      </c>
      <c r="AK192" t="n">
        <v>84.3</v>
      </c>
      <c r="AL192" t="n">
        <v>108.9</v>
      </c>
      <c r="AM192" t="n">
        <v>300</v>
      </c>
      <c r="AN192" t="n">
        <v>84.59999999999999</v>
      </c>
      <c r="AO192" t="n">
        <v>84.3</v>
      </c>
      <c r="AP192" t="n">
        <v>108.2</v>
      </c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</row>
    <row r="193">
      <c r="B193" t="inlineStr">
        <is>
          <t>D9_3</t>
        </is>
      </c>
      <c r="G193" t="inlineStr">
        <is>
          <t>21-mag-26</t>
        </is>
      </c>
      <c r="M193">
        <f>IF(R193&gt;0,(SQRT(CC193*(SUM(CD193:CI193)))),"")</f>
        <v/>
      </c>
      <c r="N193" s="15">
        <f>IF(T193&gt;0,(MAX(T193,Z193,AD193,AH193,AL193,AP193))+SQRT(1.2^2+1^2),"")</f>
        <v/>
      </c>
      <c r="O193" s="15">
        <f>IF(R193="",0,10*LOG19(SUM(BP193:BU193)/(COUNT(R193,X193,AB193,AF193,AJ193,AN193))))</f>
        <v/>
      </c>
      <c r="P193" s="15">
        <f>IF(AND(Y193="",AC193="",AG193="",AK193="",AO193=""),S193,AVERAGE(S193,Y193,AC193,AG193,AK193,AO193)+STDEV(S193,Y193,AC193,AG193,AK193,AO193))</f>
        <v/>
      </c>
      <c r="Q193" t="n">
        <v>300</v>
      </c>
      <c r="R193" t="n">
        <v>68.5</v>
      </c>
      <c r="S193" t="n">
        <v>81.3</v>
      </c>
      <c r="T193" t="n">
        <v>98.09999999999999</v>
      </c>
      <c r="W193" t="n">
        <v>300</v>
      </c>
      <c r="X193" t="n">
        <v>71</v>
      </c>
      <c r="Y193" t="n">
        <v>82.09999999999999</v>
      </c>
      <c r="Z193" t="n">
        <v>111.1</v>
      </c>
      <c r="AA193" t="n">
        <v>300</v>
      </c>
      <c r="AB193" t="n">
        <v>69.40000000000001</v>
      </c>
      <c r="AC193" t="n">
        <v>81.09999999999999</v>
      </c>
      <c r="AD193" t="n">
        <v>104.1</v>
      </c>
      <c r="AE193" t="n">
        <v>300</v>
      </c>
      <c r="AF193" t="n">
        <v>66.7</v>
      </c>
      <c r="AG193" t="n">
        <v>76.90000000000001</v>
      </c>
      <c r="AH193" t="n">
        <v>99.2</v>
      </c>
      <c r="AI193" t="n">
        <v>300</v>
      </c>
      <c r="AJ193" t="n">
        <v>64.3</v>
      </c>
      <c r="AK193" t="n">
        <v>77.40000000000001</v>
      </c>
      <c r="AL193" t="n">
        <v>93.7</v>
      </c>
      <c r="AM193" t="n">
        <v>300</v>
      </c>
      <c r="AN193" t="n">
        <v>63.9</v>
      </c>
      <c r="AO193" t="n">
        <v>78.09999999999999</v>
      </c>
      <c r="AP193" t="n">
        <v>99.59999999999999</v>
      </c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</row>
    <row r="194">
      <c r="B194" t="inlineStr">
        <is>
          <t>D10_3</t>
        </is>
      </c>
      <c r="G194" t="inlineStr">
        <is>
          <t>21-mag-26</t>
        </is>
      </c>
      <c r="M194">
        <f>IF(R194&gt;0,(SQRT(CC194*(SUM(CD194:CI194)))),"")</f>
        <v/>
      </c>
      <c r="N194" s="15">
        <f>IF(T194&gt;0,(MAX(T194,Z194,AD194,AH194,AL194,AP194))+SQRT(1.2^2+1^2),"")</f>
        <v/>
      </c>
      <c r="O194" s="15">
        <f>IF(R194="",0,10*LOG20(SUM(BP194:BU194)/(COUNT(R194,X194,AB194,AF194,AJ194,AN194))))</f>
        <v/>
      </c>
      <c r="P194" s="15">
        <f>IF(AND(Y194="",AC194="",AG194="",AK194="",AO194=""),S194,AVERAGE(S194,Y194,AC194,AG194,AK194,AO194)+STDEV(S194,Y194,AC194,AG194,AK194,AO194))</f>
        <v/>
      </c>
      <c r="Q194" t="n">
        <v>300</v>
      </c>
      <c r="R194" t="n">
        <v>59.4</v>
      </c>
      <c r="S194" t="n">
        <v>65.59999999999999</v>
      </c>
      <c r="T194" t="n">
        <v>98.59999999999999</v>
      </c>
      <c r="W194" t="n">
        <v>300</v>
      </c>
      <c r="X194" t="n">
        <v>49.7</v>
      </c>
      <c r="Y194" t="n">
        <v>60.1</v>
      </c>
      <c r="Z194" t="n">
        <v>89.40000000000001</v>
      </c>
      <c r="AA194" t="n">
        <v>300</v>
      </c>
      <c r="AB194" t="n">
        <v>54.6</v>
      </c>
      <c r="AC194" t="n">
        <v>61.7</v>
      </c>
      <c r="AD194" t="n">
        <v>97.09999999999999</v>
      </c>
      <c r="AE194" t="n">
        <v>300</v>
      </c>
      <c r="AF194" t="n">
        <v>54.4</v>
      </c>
      <c r="AG194" t="n">
        <v>59.3</v>
      </c>
      <c r="AH194" t="n">
        <v>82.5</v>
      </c>
      <c r="AI194" t="n">
        <v>300</v>
      </c>
      <c r="AJ194" t="n">
        <v>49.1</v>
      </c>
      <c r="AK194" t="n">
        <v>62.9</v>
      </c>
      <c r="AL194" t="n">
        <v>89.8</v>
      </c>
      <c r="AM194" t="n">
        <v>300</v>
      </c>
      <c r="AN194" t="n">
        <v>57.5</v>
      </c>
      <c r="AO194" t="n">
        <v>63.9</v>
      </c>
      <c r="AP194" t="n">
        <v>95.09999999999999</v>
      </c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</row>
    <row r="195">
      <c r="B195" t="inlineStr">
        <is>
          <t>D11_3</t>
        </is>
      </c>
      <c r="G195" t="inlineStr">
        <is>
          <t>21-mag-26</t>
        </is>
      </c>
      <c r="M195">
        <f>IF(R195&gt;0,(SQRT(CC195*(SUM(CD195:CI195)))),"")</f>
        <v/>
      </c>
      <c r="N195" s="15">
        <f>IF(T195&gt;0,(MAX(T195,Z195,AD195,AH195,AL195,AP195))+SQRT(1.2^2+1^2),"")</f>
        <v/>
      </c>
      <c r="O195" s="15">
        <f>IF(R195="",0,10*LOG21(SUM(BP195:BU195)/(COUNT(R195,X195,AB195,AF195,AJ195,AN195))))</f>
        <v/>
      </c>
      <c r="P195" s="15">
        <f>IF(AND(Y195="",AC195="",AG195="",AK195="",AO195=""),S195,AVERAGE(S195,Y195,AC195,AG195,AK195,AO195)+STDEV(S195,Y195,AC195,AG195,AK195,AO195))</f>
        <v/>
      </c>
      <c r="Q195" t="n">
        <v>300</v>
      </c>
      <c r="R195" t="n">
        <v>73.40000000000001</v>
      </c>
      <c r="S195" t="n">
        <v>75.5</v>
      </c>
      <c r="T195" t="n">
        <v>94.5</v>
      </c>
      <c r="W195" t="n">
        <v>300</v>
      </c>
      <c r="X195" t="n">
        <v>70.3</v>
      </c>
      <c r="Y195" t="n">
        <v>72.90000000000001</v>
      </c>
      <c r="Z195" t="n">
        <v>89.09999999999999</v>
      </c>
      <c r="AA195" t="n">
        <v>300</v>
      </c>
      <c r="AB195" t="n">
        <v>73.2</v>
      </c>
      <c r="AC195" t="n">
        <v>74.59999999999999</v>
      </c>
      <c r="AD195" t="n">
        <v>95.5</v>
      </c>
      <c r="AE195" t="n">
        <v>300</v>
      </c>
      <c r="AF195" t="n">
        <v>70.3</v>
      </c>
      <c r="AG195" t="n">
        <v>74.8</v>
      </c>
      <c r="AH195" t="n">
        <v>96.90000000000001</v>
      </c>
      <c r="AI195" t="n">
        <v>300</v>
      </c>
      <c r="AJ195" t="n">
        <v>73.2</v>
      </c>
      <c r="AK195" t="n">
        <v>75.3</v>
      </c>
      <c r="AL195" t="n">
        <v>94.3</v>
      </c>
      <c r="AM195" t="n">
        <v>300</v>
      </c>
      <c r="AN195" t="n">
        <v>71.90000000000001</v>
      </c>
      <c r="AO195" t="n">
        <v>74.59999999999999</v>
      </c>
      <c r="AP195" t="n">
        <v>104.1</v>
      </c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</row>
    <row r="196">
      <c r="B196" t="inlineStr">
        <is>
          <t>D12_3</t>
        </is>
      </c>
      <c r="G196" t="inlineStr">
        <is>
          <t>21-mag-26</t>
        </is>
      </c>
      <c r="M196">
        <f>IF(R196&gt;0,(SQRT(CC196*(SUM(CD196:CI196)))),"")</f>
        <v/>
      </c>
      <c r="N196" s="15">
        <f>IF(T196&gt;0,(MAX(T196,Z196,AD196,AH196,AL196,AP196))+SQRT(1.2^2+1^2),"")</f>
        <v/>
      </c>
      <c r="O196" s="15">
        <f>IF(R196="",0,10*LOG22(SUM(BP196:BU196)/(COUNT(R196,X196,AB196,AF196,AJ196,AN196))))</f>
        <v/>
      </c>
      <c r="P196" s="15">
        <f>IF(AND(Y196="",AC196="",AG196="",AK196="",AO196=""),S196,AVERAGE(S196,Y196,AC196,AG196,AK196,AO196)+STDEV(S196,Y196,AC196,AG196,AK196,AO196))</f>
        <v/>
      </c>
      <c r="Q196" t="n">
        <v>300</v>
      </c>
      <c r="R196" t="n">
        <v>59.2</v>
      </c>
      <c r="S196" t="n">
        <v>58.7</v>
      </c>
      <c r="T196" t="n">
        <v>85.7</v>
      </c>
      <c r="W196" t="n">
        <v>300</v>
      </c>
      <c r="X196" t="n">
        <v>62.2</v>
      </c>
      <c r="Y196" t="n">
        <v>62</v>
      </c>
      <c r="Z196" t="n">
        <v>98.3</v>
      </c>
      <c r="AA196" t="n">
        <v>300</v>
      </c>
      <c r="AB196" t="n">
        <v>61.2</v>
      </c>
      <c r="AC196" t="n">
        <v>62</v>
      </c>
      <c r="AD196" t="n">
        <v>96.59999999999999</v>
      </c>
      <c r="AE196" t="n">
        <v>300</v>
      </c>
      <c r="AF196" t="n">
        <v>59.2</v>
      </c>
      <c r="AG196" t="n">
        <v>60.4</v>
      </c>
      <c r="AH196" t="n">
        <v>93.59999999999999</v>
      </c>
      <c r="AI196" t="n">
        <v>300</v>
      </c>
      <c r="AJ196" t="n">
        <v>60.2</v>
      </c>
      <c r="AK196" t="n">
        <v>61.1</v>
      </c>
      <c r="AL196" t="n">
        <v>89.40000000000001</v>
      </c>
      <c r="AM196" t="n">
        <v>300</v>
      </c>
      <c r="AN196" t="n">
        <v>50</v>
      </c>
      <c r="AO196" t="n">
        <v>57.2</v>
      </c>
      <c r="AP196" t="n">
        <v>94.90000000000001</v>
      </c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</row>
    <row r="197">
      <c r="B197" t="inlineStr">
        <is>
          <t>D13_3</t>
        </is>
      </c>
      <c r="G197" t="inlineStr">
        <is>
          <t>21-mag-26</t>
        </is>
      </c>
      <c r="M197">
        <f>IF(R197&gt;0,(SQRT(CC197*(SUM(CD197:CI197)))),"")</f>
        <v/>
      </c>
      <c r="N197" s="15">
        <f>IF(T197&gt;0,(MAX(T197,Z197,AD197,AH197,AL197,AP197))+SQRT(1.2^2+1^2),"")</f>
        <v/>
      </c>
      <c r="O197" s="15">
        <f>IF(R197="",0,10*LOG23(SUM(BP197:BU197)/(COUNT(R197,X197,AB197,AF197,AJ197,AN197))))</f>
        <v/>
      </c>
      <c r="P197" s="15">
        <f>IF(AND(Y197="",AC197="",AG197="",AK197="",AO197=""),S197,AVERAGE(S197,Y197,AC197,AG197,AK197,AO197)+STDEV(S197,Y197,AC197,AG197,AK197,AO197))</f>
        <v/>
      </c>
      <c r="Q197" t="n">
        <v>300</v>
      </c>
      <c r="R197" t="n">
        <v>47</v>
      </c>
      <c r="S197" t="n">
        <v>61.3</v>
      </c>
      <c r="T197" t="n">
        <v>93.09999999999999</v>
      </c>
      <c r="W197" t="n">
        <v>300</v>
      </c>
      <c r="X197" t="n">
        <v>47</v>
      </c>
      <c r="Y197" t="n">
        <v>54.8</v>
      </c>
      <c r="Z197" t="n">
        <v>88.09999999999999</v>
      </c>
      <c r="AA197" t="n">
        <v>300</v>
      </c>
      <c r="AB197" t="n">
        <v>50.7</v>
      </c>
      <c r="AC197" t="n">
        <v>54.9</v>
      </c>
      <c r="AD197" t="n">
        <v>86.2</v>
      </c>
      <c r="AE197" t="n">
        <v>300</v>
      </c>
      <c r="AF197" t="n">
        <v>47.9</v>
      </c>
      <c r="AG197" t="n">
        <v>58.6</v>
      </c>
      <c r="AH197" t="n">
        <v>85.3</v>
      </c>
      <c r="AI197" t="n">
        <v>300</v>
      </c>
      <c r="AJ197" t="n">
        <v>45.1</v>
      </c>
      <c r="AK197" t="n">
        <v>55.8</v>
      </c>
      <c r="AL197" t="n">
        <v>82.7</v>
      </c>
      <c r="AM197" t="n">
        <v>300</v>
      </c>
      <c r="AN197" t="n">
        <v>39.5</v>
      </c>
      <c r="AO197" t="n">
        <v>50.3</v>
      </c>
      <c r="AP197" t="n">
        <v>68.90000000000001</v>
      </c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</row>
    <row r="198">
      <c r="B198" t="inlineStr">
        <is>
          <t>D14_3</t>
        </is>
      </c>
      <c r="G198" t="inlineStr">
        <is>
          <t>21-mag-26</t>
        </is>
      </c>
      <c r="M198">
        <f>IF(R198&gt;0,(SQRT(CC198*(SUM(CD198:CI198)))),"")</f>
        <v/>
      </c>
      <c r="N198" s="15">
        <f>IF(T198&gt;0,(MAX(T198,Z198,AD198,AH198,AL198,AP198))+SQRT(1.2^2+1^2),"")</f>
        <v/>
      </c>
      <c r="O198" s="15">
        <f>IF(R198="",0,10*LOG24(SUM(BP198:BU198)/(COUNT(R198,X198,AB198,AF198,AJ198,AN198))))</f>
        <v/>
      </c>
      <c r="P198" s="15">
        <f>IF(AND(Y198="",AC198="",AG198="",AK198="",AO198=""),S198,AVERAGE(S198,Y198,AC198,AG198,AK198,AO198)+STDEV(S198,Y198,AC198,AG198,AK198,AO198))</f>
        <v/>
      </c>
      <c r="Q198" t="n">
        <v>300</v>
      </c>
      <c r="R198" t="n">
        <v>41.4</v>
      </c>
      <c r="S198" t="n">
        <v>52.3</v>
      </c>
      <c r="T198" t="n">
        <v>83.2</v>
      </c>
      <c r="W198" t="n">
        <v>300</v>
      </c>
      <c r="X198" t="n">
        <v>39</v>
      </c>
      <c r="Y198" t="n">
        <v>53.2</v>
      </c>
      <c r="Z198" t="n">
        <v>88</v>
      </c>
      <c r="AA198" t="n">
        <v>300</v>
      </c>
      <c r="AB198" t="n">
        <v>40.2</v>
      </c>
      <c r="AC198" t="n">
        <v>50.8</v>
      </c>
      <c r="AD198" t="n">
        <v>79.3</v>
      </c>
      <c r="AE198" t="n">
        <v>300</v>
      </c>
      <c r="AF198" t="n">
        <v>57</v>
      </c>
      <c r="AG198" t="n">
        <v>59.9</v>
      </c>
      <c r="AH198" t="n">
        <v>91</v>
      </c>
      <c r="AI198" t="n">
        <v>300</v>
      </c>
      <c r="AJ198" t="n">
        <v>55.3</v>
      </c>
      <c r="AK198" t="n">
        <v>58.2</v>
      </c>
      <c r="AL198" t="n">
        <v>92.40000000000001</v>
      </c>
      <c r="AM198" t="n">
        <v>300</v>
      </c>
      <c r="AN198" t="n">
        <v>61.8</v>
      </c>
      <c r="AO198" t="n">
        <v>62.7</v>
      </c>
      <c r="AP198" t="n">
        <v>91.90000000000001</v>
      </c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</row>
    <row r="199">
      <c r="B199" t="inlineStr">
        <is>
          <t>D15_3</t>
        </is>
      </c>
      <c r="G199" t="inlineStr">
        <is>
          <t>21-mag-26</t>
        </is>
      </c>
      <c r="M199">
        <f>IF(R199&gt;0,(SQRT(CC199*(SUM(CD199:CI199)))),"")</f>
        <v/>
      </c>
      <c r="N199" s="15">
        <f>IF(T199&gt;0,(MAX(T199,Z199,AD199,AH199,AL199,AP199))+SQRT(1.2^2+1^2),"")</f>
        <v/>
      </c>
      <c r="O199" s="15">
        <f>IF(R199="",0,10*LOG25(SUM(BP199:BU199)/(COUNT(R199,X199,AB199,AF199,AJ199,AN199))))</f>
        <v/>
      </c>
      <c r="P199" s="15">
        <f>IF(AND(Y199="",AC199="",AG199="",AK199="",AO199=""),S199,AVERAGE(S199,Y199,AC199,AG199,AK199,AO199)+STDEV(S199,Y199,AC199,AG199,AK199,AO199))</f>
        <v/>
      </c>
      <c r="Q199" t="n">
        <v>300</v>
      </c>
      <c r="R199" t="n">
        <v>81</v>
      </c>
      <c r="S199" t="n">
        <v>82.2</v>
      </c>
      <c r="T199" t="n">
        <v>120.2</v>
      </c>
      <c r="W199" t="n">
        <v>300</v>
      </c>
      <c r="X199" t="n">
        <v>84.3</v>
      </c>
      <c r="Y199" t="n">
        <v>84.09999999999999</v>
      </c>
      <c r="Z199" t="n">
        <v>125.5</v>
      </c>
      <c r="AA199" t="n">
        <v>300</v>
      </c>
      <c r="AB199" t="n">
        <v>85.40000000000001</v>
      </c>
      <c r="AC199" t="n">
        <v>85</v>
      </c>
      <c r="AD199" t="n">
        <v>122.4</v>
      </c>
      <c r="AE199" t="n">
        <v>300</v>
      </c>
      <c r="AF199" t="n">
        <v>83.40000000000001</v>
      </c>
      <c r="AG199" t="n">
        <v>83.59999999999999</v>
      </c>
      <c r="AH199" t="n">
        <v>117.7</v>
      </c>
      <c r="AI199" t="n">
        <v>300</v>
      </c>
      <c r="AJ199" t="n">
        <v>82.90000000000001</v>
      </c>
      <c r="AK199" t="n">
        <v>83.09999999999999</v>
      </c>
      <c r="AL199" t="n">
        <v>118.6</v>
      </c>
      <c r="AM199" t="n">
        <v>300</v>
      </c>
      <c r="AN199" t="n">
        <v>81.40000000000001</v>
      </c>
      <c r="AO199" t="n">
        <v>81.90000000000001</v>
      </c>
      <c r="AP199" t="n">
        <v>121.9</v>
      </c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</row>
    <row r="200">
      <c r="B200" t="inlineStr">
        <is>
          <t>D16_3</t>
        </is>
      </c>
      <c r="G200" t="inlineStr">
        <is>
          <t>21-mag-26</t>
        </is>
      </c>
      <c r="M200">
        <f>IF(R200&gt;0,(SQRT(CC200*(SUM(CD200:CI200)))),"")</f>
        <v/>
      </c>
      <c r="N200" s="15">
        <f>IF(T200&gt;0,(MAX(T200,Z200,AD200,AH200,AL200,AP200))+SQRT(1.2^2+1^2),"")</f>
        <v/>
      </c>
      <c r="O200" s="15">
        <f>IF(R200="",0,10*LOG26(SUM(BP200:BU200)/(COUNT(R200,X200,AB200,AF200,AJ200,AN200))))</f>
        <v/>
      </c>
      <c r="P200" s="15">
        <f>IF(AND(Y200="",AC200="",AG200="",AK200="",AO200=""),S200,AVERAGE(S200,Y200,AC200,AG200,AK200,AO200)+STDEV(S200,Y200,AC200,AG200,AK200,AO200))</f>
        <v/>
      </c>
      <c r="Q200" t="n">
        <v>300</v>
      </c>
      <c r="R200" t="n">
        <v>84.3</v>
      </c>
      <c r="S200" t="n">
        <v>84.5</v>
      </c>
      <c r="T200" t="n">
        <v>112.6</v>
      </c>
      <c r="W200" t="n">
        <v>300</v>
      </c>
      <c r="X200" t="n">
        <v>82.2</v>
      </c>
      <c r="Y200" t="n">
        <v>83.09999999999999</v>
      </c>
      <c r="Z200" t="n">
        <v>117.7</v>
      </c>
      <c r="AA200" t="n">
        <v>300</v>
      </c>
      <c r="AB200" t="n">
        <v>82.7</v>
      </c>
      <c r="AC200" t="n">
        <v>83.59999999999999</v>
      </c>
      <c r="AD200" t="n">
        <v>113.7</v>
      </c>
      <c r="AE200" t="n">
        <v>300</v>
      </c>
      <c r="AF200" t="n">
        <v>85.40000000000001</v>
      </c>
      <c r="AG200" t="n">
        <v>85.5</v>
      </c>
      <c r="AH200" t="n">
        <v>119.2</v>
      </c>
      <c r="AI200" t="n">
        <v>300</v>
      </c>
      <c r="AJ200" t="n">
        <v>85.90000000000001</v>
      </c>
      <c r="AK200" t="n">
        <v>86</v>
      </c>
      <c r="AL200" t="n">
        <v>112</v>
      </c>
      <c r="AM200" t="n">
        <v>300</v>
      </c>
      <c r="AN200" t="n">
        <v>79.09999999999999</v>
      </c>
      <c r="AO200" t="n">
        <v>82.40000000000001</v>
      </c>
      <c r="AP200" t="n">
        <v>113.2</v>
      </c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</row>
    <row r="201">
      <c r="B201" t="inlineStr">
        <is>
          <t>D17_3</t>
        </is>
      </c>
      <c r="G201" t="inlineStr">
        <is>
          <t>21-mag-26</t>
        </is>
      </c>
      <c r="M201">
        <f>IF(R201&gt;0,(SQRT(CC201*(SUM(CD201:CI201)))),"")</f>
        <v/>
      </c>
      <c r="N201" s="15">
        <f>IF(T201&gt;0,(MAX(T201,Z201,AD201,AH201,AL201,AP201))+SQRT(1.2^2+1^2),"")</f>
        <v/>
      </c>
      <c r="O201" s="15">
        <f>IF(R201="",0,10*LOG27(SUM(BP201:BU201)/(COUNT(R201,X201,AB201,AF201,AJ201,AN201))))</f>
        <v/>
      </c>
      <c r="P201" s="15">
        <f>IF(AND(Y201="",AC201="",AG201="",AK201="",AO201=""),S201,AVERAGE(S201,Y201,AC201,AG201,AK201,AO201)+STDEV(S201,Y201,AC201,AG201,AK201,AO201))</f>
        <v/>
      </c>
      <c r="Q201" t="n">
        <v>300</v>
      </c>
      <c r="R201" t="n">
        <v>77.09999999999999</v>
      </c>
      <c r="S201" t="n">
        <v>77.8</v>
      </c>
      <c r="T201" t="n">
        <v>94.40000000000001</v>
      </c>
      <c r="W201" t="n">
        <v>300</v>
      </c>
      <c r="X201" t="n">
        <v>76.5</v>
      </c>
      <c r="Y201" t="n">
        <v>77.2</v>
      </c>
      <c r="Z201" t="n">
        <v>92.5</v>
      </c>
      <c r="AA201" t="n">
        <v>300</v>
      </c>
      <c r="AB201" t="n">
        <v>77.40000000000001</v>
      </c>
      <c r="AC201" t="n">
        <v>77.5</v>
      </c>
      <c r="AD201" t="n">
        <v>94.40000000000001</v>
      </c>
      <c r="AE201" t="n">
        <v>300</v>
      </c>
      <c r="AF201" t="n">
        <v>75.2</v>
      </c>
      <c r="AG201" t="n">
        <v>75.8</v>
      </c>
      <c r="AH201" t="n">
        <v>97.59999999999999</v>
      </c>
      <c r="AI201" t="n">
        <v>300</v>
      </c>
      <c r="AJ201" t="n">
        <v>63.4</v>
      </c>
      <c r="AK201" t="n">
        <v>71.40000000000001</v>
      </c>
      <c r="AL201" t="n">
        <v>87.59999999999999</v>
      </c>
      <c r="AM201" t="n">
        <v>300</v>
      </c>
      <c r="AN201" t="n">
        <v>65.59999999999999</v>
      </c>
      <c r="AO201" t="n">
        <v>73.8</v>
      </c>
      <c r="AP201" t="n">
        <v>96.09999999999999</v>
      </c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</row>
    <row r="202">
      <c r="B202" t="inlineStr">
        <is>
          <t>D18_3</t>
        </is>
      </c>
      <c r="G202" t="inlineStr">
        <is>
          <t>21-mag-26</t>
        </is>
      </c>
      <c r="M202">
        <f>IF(R202&gt;0,(SQRT(CC202*(SUM(CD202:CI202)))),"")</f>
        <v/>
      </c>
      <c r="N202" s="15">
        <f>IF(T202&gt;0,(MAX(T202,Z202,AD202,AH202,AL202,AP202))+SQRT(1.2^2+1^2),"")</f>
        <v/>
      </c>
      <c r="O202" s="15">
        <f>IF(R202="",0,10*LOG28(SUM(BP202:BU202)/(COUNT(R202,X202,AB202,AF202,AJ202,AN202))))</f>
        <v/>
      </c>
      <c r="P202" s="15">
        <f>IF(AND(Y202="",AC202="",AG202="",AK202="",AO202=""),S202,AVERAGE(S202,Y202,AC202,AG202,AK202,AO202)+STDEV(S202,Y202,AC202,AG202,AK202,AO202))</f>
        <v/>
      </c>
      <c r="Q202" t="n">
        <v>300</v>
      </c>
      <c r="R202" t="n">
        <v>81.09999999999999</v>
      </c>
      <c r="S202" t="n">
        <v>83.09999999999999</v>
      </c>
      <c r="T202" t="n">
        <v>98.7</v>
      </c>
      <c r="W202" t="n">
        <v>300</v>
      </c>
      <c r="X202" t="n">
        <v>83.5</v>
      </c>
      <c r="Y202" t="n">
        <v>85.7</v>
      </c>
      <c r="Z202" t="n">
        <v>100.3</v>
      </c>
      <c r="AA202" t="n">
        <v>300</v>
      </c>
      <c r="AB202" t="n">
        <v>78.90000000000001</v>
      </c>
      <c r="AC202" t="n">
        <v>80.3</v>
      </c>
      <c r="AD202" t="n">
        <v>97.7</v>
      </c>
      <c r="AE202" t="n">
        <v>300</v>
      </c>
      <c r="AF202" t="n">
        <v>78.5</v>
      </c>
      <c r="AG202" t="n">
        <v>79.5</v>
      </c>
      <c r="AH202" t="n">
        <v>94.2</v>
      </c>
      <c r="AI202" t="n">
        <v>300</v>
      </c>
      <c r="AJ202" t="n">
        <v>73.5</v>
      </c>
      <c r="AK202" t="n">
        <v>76</v>
      </c>
      <c r="AL202" t="n">
        <v>92</v>
      </c>
      <c r="AM202" t="n">
        <v>300</v>
      </c>
      <c r="AN202" t="n">
        <v>68.7</v>
      </c>
      <c r="AO202" t="n">
        <v>75.2</v>
      </c>
      <c r="AP202" t="n">
        <v>96.90000000000001</v>
      </c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</row>
    <row r="203">
      <c r="B203" t="inlineStr">
        <is>
          <t>D19_3</t>
        </is>
      </c>
      <c r="G203" t="inlineStr">
        <is>
          <t>21-mag-26</t>
        </is>
      </c>
      <c r="M203">
        <f>IF(R203&gt;0,(SQRT(CC203*(SUM(CD203:CI203)))),"")</f>
        <v/>
      </c>
      <c r="N203">
        <f>IF(T203&gt;0,(MAX(T203,Z203,AD203,AH203,AL203,AP203))+SQRT(1.2^2+1^2),"")</f>
        <v/>
      </c>
      <c r="O203">
        <f>IF(R203="",0,10*LOG29(SUM(BP203:BU203)/(COUNT(R203,X203,AB203,AF203,AJ203,AN203))))</f>
        <v/>
      </c>
      <c r="P203">
        <f>IF(AND(Y203="",AC203="",AG203="",AK203="",AO203=""),S203,AVERAGE(S203,Y203,AC203,AG203,AK203,AO203)+STDEV(S203,Y203,AC203,AG203,AK203,AO203))</f>
        <v/>
      </c>
      <c r="Q203" t="n">
        <v>300</v>
      </c>
      <c r="R203" t="n">
        <v>66.90000000000001</v>
      </c>
      <c r="S203" t="n">
        <v>75</v>
      </c>
      <c r="T203" t="n">
        <v>99.59999999999999</v>
      </c>
      <c r="W203" t="n">
        <v>300</v>
      </c>
      <c r="X203" t="n">
        <v>69.5</v>
      </c>
      <c r="Y203" t="n">
        <v>77.09999999999999</v>
      </c>
      <c r="Z203" t="n">
        <v>101.5</v>
      </c>
      <c r="AA203" t="n">
        <v>300</v>
      </c>
      <c r="AB203" t="n">
        <v>62.3</v>
      </c>
      <c r="AC203" t="n">
        <v>74.40000000000001</v>
      </c>
      <c r="AD203" t="n">
        <v>100.6</v>
      </c>
      <c r="AE203" t="n">
        <v>300</v>
      </c>
      <c r="AF203" t="n">
        <v>63</v>
      </c>
      <c r="AG203" t="n">
        <v>75.7</v>
      </c>
      <c r="AH203" t="n">
        <v>103.6</v>
      </c>
      <c r="AI203" t="n">
        <v>300</v>
      </c>
      <c r="AJ203" t="n">
        <v>58.9</v>
      </c>
      <c r="AK203" t="n">
        <v>72.8</v>
      </c>
      <c r="AL203" t="n">
        <v>102.1</v>
      </c>
      <c r="AM203" t="n">
        <v>300</v>
      </c>
      <c r="AN203" t="n">
        <v>58.9</v>
      </c>
      <c r="AO203" t="n">
        <v>72.59999999999999</v>
      </c>
      <c r="AP203" t="n">
        <v>89.8</v>
      </c>
    </row>
    <row r="204">
      <c r="B204" t="inlineStr">
        <is>
          <t>E1_3</t>
        </is>
      </c>
      <c r="G204" t="inlineStr">
        <is>
          <t>21-mag-26</t>
        </is>
      </c>
      <c r="M204">
        <f>IF(R204&gt;0,(SQRT(CC204*(SUM(CD204:CI204)))),"")</f>
        <v/>
      </c>
      <c r="N204">
        <f>IF(T204&gt;0,(MAX(T204,Z204,AD204,AH204,AL204,AP204))+SQRT(1.2^2+1^2),"")</f>
        <v/>
      </c>
      <c r="O204">
        <f>IF(R204="",0,10*LOG30(SUM(BP204:BU204)/(COUNT(R204,X204,AB204,AF204,AJ204,AN204))))</f>
        <v/>
      </c>
      <c r="P204">
        <f>IF(AND(Y204="",AC204="",AG204="",AK204="",AO204=""),S204,AVERAGE(S204,Y204,AC204,AG204,AK204,AO204)+STDEV(S204,Y204,AC204,AG204,AK204,AO204))</f>
        <v/>
      </c>
      <c r="Q204" t="n">
        <v>300</v>
      </c>
      <c r="R204" t="n">
        <v>86</v>
      </c>
      <c r="S204" t="n">
        <v>84.90000000000001</v>
      </c>
      <c r="T204" t="n">
        <v>116.8</v>
      </c>
      <c r="W204" t="n">
        <v>300</v>
      </c>
      <c r="X204" t="n">
        <v>79.90000000000001</v>
      </c>
      <c r="Y204" t="n">
        <v>80.2</v>
      </c>
      <c r="Z204" t="n">
        <v>109.9</v>
      </c>
      <c r="AA204" t="n">
        <v>300</v>
      </c>
      <c r="AB204" t="n">
        <v>77.59999999999999</v>
      </c>
      <c r="AC204" t="n">
        <v>79.3</v>
      </c>
      <c r="AD204" t="n">
        <v>101.9</v>
      </c>
      <c r="AE204" t="n">
        <v>300</v>
      </c>
      <c r="AF204" t="n">
        <v>74.40000000000001</v>
      </c>
      <c r="AG204" t="n">
        <v>75.5</v>
      </c>
      <c r="AH204" t="n">
        <v>101.7</v>
      </c>
      <c r="AI204" t="n">
        <v>300</v>
      </c>
      <c r="AJ204" t="n">
        <v>73.09999999999999</v>
      </c>
      <c r="AK204" t="n">
        <v>75.40000000000001</v>
      </c>
      <c r="AL204" t="n">
        <v>103.8</v>
      </c>
      <c r="AM204" t="n">
        <v>300</v>
      </c>
      <c r="AN204" t="n">
        <v>75.7</v>
      </c>
      <c r="AO204" t="n">
        <v>77.59999999999999</v>
      </c>
      <c r="AP204" t="n">
        <v>114.9</v>
      </c>
    </row>
    <row r="205">
      <c r="B205" t="inlineStr">
        <is>
          <t>E2_3</t>
        </is>
      </c>
      <c r="G205" t="inlineStr">
        <is>
          <t>21-mag-26</t>
        </is>
      </c>
      <c r="M205">
        <f>IF(R205&gt;0,(SQRT(CC205*(SUM(CD205:CI205)))),"")</f>
        <v/>
      </c>
      <c r="N205">
        <f>IF(T205&gt;0,(MAX(T205,Z205,AD205,AH205,AL205,AP205))+SQRT(1.2^2+1^2),"")</f>
        <v/>
      </c>
      <c r="O205">
        <f>IF(R205="",0,10*LOG31(SUM(BP205:BU205)/(COUNT(R205,X205,AB205,AF205,AJ205,AN205))))</f>
        <v/>
      </c>
      <c r="P205">
        <f>IF(AND(Y205="",AC205="",AG205="",AK205="",AO205=""),S205,AVERAGE(S205,Y205,AC205,AG205,AK205,AO205)+STDEV(S205,Y205,AC205,AG205,AK205,AO205))</f>
        <v/>
      </c>
      <c r="Q205" t="n">
        <v>300</v>
      </c>
      <c r="R205" t="n">
        <v>63</v>
      </c>
      <c r="S205" t="n">
        <v>69.09999999999999</v>
      </c>
      <c r="T205" t="n">
        <v>105.1</v>
      </c>
      <c r="W205" t="n">
        <v>300</v>
      </c>
      <c r="X205" t="n">
        <v>68</v>
      </c>
      <c r="Y205" t="n">
        <v>70.90000000000001</v>
      </c>
      <c r="Z205" t="n">
        <v>104.4</v>
      </c>
      <c r="AA205" t="n">
        <v>300</v>
      </c>
      <c r="AB205" t="n">
        <v>64.09999999999999</v>
      </c>
      <c r="AC205" t="n">
        <v>68.09999999999999</v>
      </c>
      <c r="AD205" t="n">
        <v>101.2</v>
      </c>
      <c r="AE205" t="n">
        <v>300</v>
      </c>
      <c r="AF205" t="n">
        <v>62.9</v>
      </c>
      <c r="AG205" t="n">
        <v>67.40000000000001</v>
      </c>
      <c r="AH205" t="n">
        <v>102.6</v>
      </c>
      <c r="AI205" t="n">
        <v>300</v>
      </c>
      <c r="AJ205" t="n">
        <v>62</v>
      </c>
      <c r="AK205" t="n">
        <v>67.09999999999999</v>
      </c>
      <c r="AL205" t="n">
        <v>104.4</v>
      </c>
      <c r="AM205" t="n">
        <v>300</v>
      </c>
      <c r="AN205" t="n">
        <v>64.09999999999999</v>
      </c>
      <c r="AO205" t="n">
        <v>69.40000000000001</v>
      </c>
      <c r="AP205" t="n">
        <v>103.1</v>
      </c>
    </row>
    <row r="206">
      <c r="B206" t="inlineStr">
        <is>
          <t>E3_3</t>
        </is>
      </c>
      <c r="G206" t="inlineStr">
        <is>
          <t>21-mag-26</t>
        </is>
      </c>
      <c r="M206">
        <f>IF(R206&gt;0,(SQRT(CC206*(SUM(CD206:CI206)))),"")</f>
        <v/>
      </c>
      <c r="N206">
        <f>IF(T206&gt;0,(MAX(T206,Z206,AD206,AH206,AL206,AP206))+SQRT(1.2^2+1^2),"")</f>
        <v/>
      </c>
      <c r="O206">
        <f>IF(R206="",0,10*LOG32(SUM(BP206:BU206)/(COUNT(R206,X206,AB206,AF206,AJ206,AN206))))</f>
        <v/>
      </c>
      <c r="P206">
        <f>IF(AND(Y206="",AC206="",AG206="",AK206="",AO206=""),S206,AVERAGE(S206,Y206,AC206,AG206,AK206,AO206)+STDEV(S206,Y206,AC206,AG206,AK206,AO206))</f>
        <v/>
      </c>
      <c r="Q206" t="n">
        <v>300</v>
      </c>
      <c r="R206" t="n">
        <v>78.5</v>
      </c>
      <c r="S206" t="n">
        <v>80.09999999999999</v>
      </c>
      <c r="T206" t="n">
        <v>106.8</v>
      </c>
      <c r="W206" t="n">
        <v>300</v>
      </c>
      <c r="X206" t="n">
        <v>77.90000000000001</v>
      </c>
      <c r="Y206" t="n">
        <v>80</v>
      </c>
      <c r="Z206" t="n">
        <v>96.2</v>
      </c>
      <c r="AA206" t="n">
        <v>300</v>
      </c>
      <c r="AB206" t="n">
        <v>77.5</v>
      </c>
      <c r="AC206" t="n">
        <v>79.5</v>
      </c>
      <c r="AD206" t="n">
        <v>104.5</v>
      </c>
      <c r="AE206" t="n">
        <v>300</v>
      </c>
      <c r="AF206" t="n">
        <v>77.90000000000001</v>
      </c>
      <c r="AG206" t="n">
        <v>80</v>
      </c>
      <c r="AH206" t="n">
        <v>97.2</v>
      </c>
      <c r="AI206" t="n">
        <v>300</v>
      </c>
      <c r="AJ206" t="n">
        <v>79</v>
      </c>
      <c r="AK206" t="n">
        <v>80.5</v>
      </c>
      <c r="AL206" t="n">
        <v>109.6</v>
      </c>
      <c r="AM206" t="n">
        <v>300</v>
      </c>
      <c r="AN206" t="n">
        <v>78.7</v>
      </c>
      <c r="AO206" t="n">
        <v>81.8</v>
      </c>
      <c r="AP206" t="n">
        <v>102.2</v>
      </c>
    </row>
    <row r="207">
      <c r="B207" t="inlineStr">
        <is>
          <t>E4_3</t>
        </is>
      </c>
      <c r="G207" t="inlineStr">
        <is>
          <t>21-mag-26</t>
        </is>
      </c>
      <c r="M207">
        <f>IF(R207&gt;0,(SQRT(CC207*(SUM(CD207:CI207)))),"")</f>
        <v/>
      </c>
      <c r="N207">
        <f>IF(T207&gt;0,(MAX(T207,Z207,AD207,AH207,AL207,AP207))+SQRT(1.2^2+1^2),"")</f>
        <v/>
      </c>
      <c r="O207">
        <f>IF(R207="",0,10*LOG33(SUM(BP207:BU207)/(COUNT(R207,X207,AB207,AF207,AJ207,AN207))))</f>
        <v/>
      </c>
      <c r="P207">
        <f>IF(AND(Y207="",AC207="",AG207="",AK207="",AO207=""),S207,AVERAGE(S207,Y207,AC207,AG207,AK207,AO207)+STDEV(S207,Y207,AC207,AG207,AK207,AO207))</f>
        <v/>
      </c>
      <c r="Q207" t="n">
        <v>300</v>
      </c>
      <c r="R207" t="n">
        <v>86.09999999999999</v>
      </c>
      <c r="S207" t="n">
        <v>85.8</v>
      </c>
      <c r="T207" t="n">
        <v>108.9</v>
      </c>
      <c r="W207" t="n">
        <v>300</v>
      </c>
      <c r="X207" t="n">
        <v>90.2</v>
      </c>
      <c r="Y207" t="n">
        <v>89.2</v>
      </c>
      <c r="Z207" t="n">
        <v>111.1</v>
      </c>
      <c r="AA207" t="n">
        <v>300</v>
      </c>
      <c r="AB207" t="n">
        <v>85.2</v>
      </c>
      <c r="AC207" t="n">
        <v>85.2</v>
      </c>
      <c r="AD207" t="n">
        <v>105.9</v>
      </c>
      <c r="AE207" t="n">
        <v>300</v>
      </c>
      <c r="AF207" t="n">
        <v>85.7</v>
      </c>
      <c r="AG207" t="n">
        <v>86.2</v>
      </c>
      <c r="AH207" t="n">
        <v>107.5</v>
      </c>
      <c r="AI207" t="n">
        <v>300</v>
      </c>
      <c r="AJ207" t="n">
        <v>89.2</v>
      </c>
      <c r="AK207" t="n">
        <v>89</v>
      </c>
      <c r="AL207" t="n">
        <v>109.1</v>
      </c>
      <c r="AM207" t="n">
        <v>300</v>
      </c>
      <c r="AN207" t="n">
        <v>89.40000000000001</v>
      </c>
      <c r="AO207" t="n">
        <v>89.2</v>
      </c>
      <c r="AP207" t="n">
        <v>112</v>
      </c>
    </row>
    <row r="208">
      <c r="B208" t="inlineStr">
        <is>
          <t>E5_3</t>
        </is>
      </c>
      <c r="G208" t="inlineStr">
        <is>
          <t>21-mag-26</t>
        </is>
      </c>
      <c r="M208">
        <f>IF(R208&gt;0,(SQRT(CC208*(SUM(CD208:CI208)))),"")</f>
        <v/>
      </c>
      <c r="N208">
        <f>IF(T208&gt;0,(MAX(T208,Z208,AD208,AH208,AL208,AP208))+SQRT(1.2^2+1^2),"")</f>
        <v/>
      </c>
      <c r="O208">
        <f>IF(R208="",0,10*LOG34(SUM(BP208:BU208)/(COUNT(R208,X208,AB208,AF208,AJ208,AN208))))</f>
        <v/>
      </c>
      <c r="P208">
        <f>IF(AND(Y208="",AC208="",AG208="",AK208="",AO208=""),S208,AVERAGE(S208,Y208,AC208,AG208,AK208,AO208)+STDEV(S208,Y208,AC208,AG208,AK208,AO208))</f>
        <v/>
      </c>
      <c r="Q208" t="n">
        <v>300</v>
      </c>
      <c r="R208" t="n">
        <v>83.2</v>
      </c>
      <c r="S208" t="n">
        <v>83.5</v>
      </c>
      <c r="T208" t="n">
        <v>108.9</v>
      </c>
      <c r="W208" t="n">
        <v>300</v>
      </c>
      <c r="X208" t="n">
        <v>82.90000000000001</v>
      </c>
      <c r="Y208" t="n">
        <v>82.8</v>
      </c>
      <c r="Z208" t="n">
        <v>109.5</v>
      </c>
      <c r="AA208" t="n">
        <v>300</v>
      </c>
      <c r="AB208" t="n">
        <v>80.5</v>
      </c>
      <c r="AC208" t="n">
        <v>80.8</v>
      </c>
      <c r="AD208" t="n">
        <v>109.3</v>
      </c>
      <c r="AE208" t="n">
        <v>300</v>
      </c>
      <c r="AF208" t="n">
        <v>80.7</v>
      </c>
      <c r="AG208" t="n">
        <v>81.7</v>
      </c>
      <c r="AH208" t="n">
        <v>105.4</v>
      </c>
      <c r="AI208" t="n">
        <v>300</v>
      </c>
      <c r="AJ208" t="n">
        <v>84.59999999999999</v>
      </c>
      <c r="AK208" t="n">
        <v>85</v>
      </c>
      <c r="AL208" t="n">
        <v>117.1</v>
      </c>
      <c r="AM208" t="n">
        <v>300</v>
      </c>
      <c r="AN208" t="n">
        <v>78.3</v>
      </c>
      <c r="AO208" t="n">
        <v>79.59999999999999</v>
      </c>
      <c r="AP208" t="n">
        <v>103</v>
      </c>
    </row>
    <row r="209">
      <c r="B209" t="inlineStr">
        <is>
          <t>E6_3</t>
        </is>
      </c>
      <c r="G209" t="inlineStr">
        <is>
          <t>21-mag-26</t>
        </is>
      </c>
      <c r="M209">
        <f>IF(R209&gt;0,(SQRT(CC209*(SUM(CD209:CI209)))),"")</f>
        <v/>
      </c>
      <c r="N209">
        <f>IF(T209&gt;0,(MAX(T209,Z209,AD209,AH209,AL209,AP209))+SQRT(1.2^2+1^2),"")</f>
        <v/>
      </c>
      <c r="O209">
        <f>IF(R209="",0,10*LOG35(SUM(BP209:BU209)/(COUNT(R209,X209,AB209,AF209,AJ209,AN209))))</f>
        <v/>
      </c>
      <c r="P209">
        <f>IF(AND(Y209="",AC209="",AG209="",AK209="",AO209=""),S209,AVERAGE(S209,Y209,AC209,AG209,AK209,AO209)+STDEV(S209,Y209,AC209,AG209,AK209,AO209))</f>
        <v/>
      </c>
      <c r="Q209" t="n">
        <v>300</v>
      </c>
      <c r="R209" t="n">
        <v>88.8</v>
      </c>
      <c r="S209" t="n">
        <v>87.90000000000001</v>
      </c>
      <c r="T209" t="n">
        <v>106.9</v>
      </c>
      <c r="W209" t="n">
        <v>300</v>
      </c>
      <c r="X209" t="n">
        <v>91.09999999999999</v>
      </c>
      <c r="Y209" t="n">
        <v>89.90000000000001</v>
      </c>
      <c r="Z209" t="n">
        <v>110.3</v>
      </c>
      <c r="AA209" t="n">
        <v>300</v>
      </c>
      <c r="AB209" t="n">
        <v>87.2</v>
      </c>
      <c r="AC209" t="n">
        <v>86.59999999999999</v>
      </c>
      <c r="AD209" t="n">
        <v>106.4</v>
      </c>
      <c r="AE209" t="n">
        <v>300</v>
      </c>
      <c r="AF209" t="n">
        <v>89.5</v>
      </c>
      <c r="AG209" t="n">
        <v>88.5</v>
      </c>
      <c r="AH209" t="n">
        <v>106.3</v>
      </c>
      <c r="AI209" t="n">
        <v>300</v>
      </c>
      <c r="AJ209" t="n">
        <v>88.90000000000001</v>
      </c>
      <c r="AK209" t="n">
        <v>88</v>
      </c>
      <c r="AL209" t="n">
        <v>106.8</v>
      </c>
      <c r="AM209" t="n">
        <v>300</v>
      </c>
      <c r="AN209" t="n">
        <v>86.59999999999999</v>
      </c>
      <c r="AO209" t="n">
        <v>85.90000000000001</v>
      </c>
      <c r="AP209" t="n">
        <v>105.5</v>
      </c>
    </row>
    <row r="210">
      <c r="B210" t="inlineStr">
        <is>
          <t>E7_3</t>
        </is>
      </c>
      <c r="G210" t="inlineStr">
        <is>
          <t>21-mag-26</t>
        </is>
      </c>
      <c r="M210">
        <f>IF(R210&gt;0,(SQRT(CC210*(SUM(CD210:CI210)))),"")</f>
        <v/>
      </c>
      <c r="N210">
        <f>IF(T210&gt;0,(MAX(T210,Z210,AD210,AH210,AL210,AP210))+SQRT(1.2^2+1^2),"")</f>
        <v/>
      </c>
      <c r="O210">
        <f>IF(R210="",0,10*LOG36(SUM(BP210:BU210)/(COUNT(R210,X210,AB210,AF210,AJ210,AN210))))</f>
        <v/>
      </c>
      <c r="P210">
        <f>IF(AND(Y210="",AC210="",AG210="",AK210="",AO210=""),S210,AVERAGE(S210,Y210,AC210,AG210,AK210,AO210)+STDEV(S210,Y210,AC210,AG210,AK210,AO210))</f>
        <v/>
      </c>
      <c r="Q210" t="n">
        <v>300</v>
      </c>
      <c r="R210" t="n">
        <v>85.5</v>
      </c>
      <c r="S210" t="n">
        <v>85.3</v>
      </c>
      <c r="T210" t="n">
        <v>101.9</v>
      </c>
      <c r="W210" t="n">
        <v>300</v>
      </c>
      <c r="X210" t="n">
        <v>80.90000000000001</v>
      </c>
      <c r="Y210" t="n">
        <v>81.8</v>
      </c>
      <c r="Z210" t="n">
        <v>99.5</v>
      </c>
      <c r="AA210" t="n">
        <v>300</v>
      </c>
      <c r="AB210" t="n">
        <v>85.2</v>
      </c>
      <c r="AC210" t="n">
        <v>85.09999999999999</v>
      </c>
      <c r="AD210" t="n">
        <v>105.3</v>
      </c>
      <c r="AE210" t="n">
        <v>300</v>
      </c>
      <c r="AF210" t="n">
        <v>85.7</v>
      </c>
      <c r="AG210" t="n">
        <v>85.2</v>
      </c>
      <c r="AH210" t="n">
        <v>102.5</v>
      </c>
      <c r="AI210" t="n">
        <v>300</v>
      </c>
      <c r="AJ210" t="n">
        <v>84.90000000000001</v>
      </c>
      <c r="AK210" t="n">
        <v>84.59999999999999</v>
      </c>
      <c r="AL210" t="n">
        <v>99.5</v>
      </c>
      <c r="AM210" t="n">
        <v>300</v>
      </c>
      <c r="AN210" t="n">
        <v>83.09999999999999</v>
      </c>
      <c r="AO210" t="n">
        <v>83.59999999999999</v>
      </c>
      <c r="AP210" t="n">
        <v>107.8</v>
      </c>
    </row>
    <row r="211">
      <c r="B211" t="inlineStr">
        <is>
          <t>E8_3</t>
        </is>
      </c>
      <c r="G211" t="inlineStr">
        <is>
          <t>21-mag-26</t>
        </is>
      </c>
      <c r="M211">
        <f>IF(R211&gt;0,(SQRT(CC211*(SUM(CD211:CI211)))),"")</f>
        <v/>
      </c>
      <c r="N211">
        <f>IF(T211&gt;0,(MAX(T211,Z211,AD211,AH211,AL211,AP211))+SQRT(1.2^2+1^2),"")</f>
        <v/>
      </c>
      <c r="O211">
        <f>IF(R211="",0,10*LOG37(SUM(BP211:BU211)/(COUNT(R211,X211,AB211,AF211,AJ211,AN211))))</f>
        <v/>
      </c>
      <c r="P211">
        <f>IF(AND(Y211="",AC211="",AG211="",AK211="",AO211=""),S211,AVERAGE(S211,Y211,AC211,AG211,AK211,AO211)+STDEV(S211,Y211,AC211,AG211,AK211,AO211))</f>
        <v/>
      </c>
      <c r="Q211" t="n">
        <v>300</v>
      </c>
      <c r="R211" t="n">
        <v>66.59999999999999</v>
      </c>
      <c r="S211" t="n">
        <v>78.8</v>
      </c>
      <c r="T211" t="n">
        <v>101.7</v>
      </c>
      <c r="W211" t="n">
        <v>300</v>
      </c>
      <c r="X211" t="n">
        <v>62.9</v>
      </c>
      <c r="Y211" t="n">
        <v>74.09999999999999</v>
      </c>
      <c r="Z211" t="n">
        <v>95.40000000000001</v>
      </c>
      <c r="AA211" t="n">
        <v>300</v>
      </c>
      <c r="AB211" t="n">
        <v>60.5</v>
      </c>
      <c r="AC211" t="n">
        <v>71.59999999999999</v>
      </c>
      <c r="AD211" t="n">
        <v>93.8</v>
      </c>
      <c r="AE211" t="n">
        <v>300</v>
      </c>
      <c r="AF211" t="n">
        <v>61.8</v>
      </c>
      <c r="AG211" t="n">
        <v>74.7</v>
      </c>
      <c r="AH211" t="n">
        <v>96.09999999999999</v>
      </c>
      <c r="AI211" t="n">
        <v>300</v>
      </c>
      <c r="AJ211" t="n">
        <v>59.5</v>
      </c>
      <c r="AK211" t="n">
        <v>73.2</v>
      </c>
      <c r="AL211" t="n">
        <v>92.8</v>
      </c>
      <c r="AM211" t="n">
        <v>300</v>
      </c>
      <c r="AN211" t="n">
        <v>61.3</v>
      </c>
      <c r="AO211" t="n">
        <v>75.40000000000001</v>
      </c>
      <c r="AP211" t="n">
        <v>95.90000000000001</v>
      </c>
    </row>
    <row r="212">
      <c r="B212" t="inlineStr">
        <is>
          <t>E9_3</t>
        </is>
      </c>
      <c r="G212" t="inlineStr">
        <is>
          <t>21-mag-26</t>
        </is>
      </c>
      <c r="M212">
        <f>IF(R212&gt;0,(SQRT(CC212*(SUM(CD212:CI212)))),"")</f>
        <v/>
      </c>
      <c r="N212">
        <f>IF(T212&gt;0,(MAX(T212,Z212,AD212,AH212,AL212,AP212))+SQRT(1.2^2+1^2),"")</f>
        <v/>
      </c>
      <c r="O212">
        <f>IF(R212="",0,10*LOG38(SUM(BP212:BU212)/(COUNT(R212,X212,AB212,AF212,AJ212,AN212))))</f>
        <v/>
      </c>
      <c r="P212">
        <f>IF(AND(Y212="",AC212="",AG212="",AK212="",AO212=""),S212,AVERAGE(S212,Y212,AC212,AG212,AK212,AO212)+STDEV(S212,Y212,AC212,AG212,AK212,AO212))</f>
        <v/>
      </c>
      <c r="Q212" t="n">
        <v>300</v>
      </c>
      <c r="R212" t="n">
        <v>61.3</v>
      </c>
      <c r="S212" t="n">
        <v>65.59999999999999</v>
      </c>
      <c r="T212" t="n">
        <v>95</v>
      </c>
      <c r="W212" t="n">
        <v>300</v>
      </c>
      <c r="X212" t="n">
        <v>53</v>
      </c>
      <c r="Y212" t="n">
        <v>62</v>
      </c>
      <c r="Z212" t="n">
        <v>90.5</v>
      </c>
      <c r="AA212" t="n">
        <v>300</v>
      </c>
      <c r="AB212" t="n">
        <v>46.2</v>
      </c>
      <c r="AC212" t="n">
        <v>58.2</v>
      </c>
      <c r="AD212" t="n">
        <v>81.90000000000001</v>
      </c>
      <c r="AE212" t="n">
        <v>300</v>
      </c>
      <c r="AF212" t="n">
        <v>50.1</v>
      </c>
      <c r="AG212" t="n">
        <v>57.5</v>
      </c>
      <c r="AH212" t="n">
        <v>85.90000000000001</v>
      </c>
      <c r="AI212" t="n">
        <v>300</v>
      </c>
      <c r="AJ212" t="n">
        <v>53</v>
      </c>
      <c r="AK212" t="n">
        <v>59.8</v>
      </c>
      <c r="AL212" t="n">
        <v>88.40000000000001</v>
      </c>
      <c r="AM212" t="n">
        <v>300</v>
      </c>
      <c r="AN212" t="n">
        <v>53.2</v>
      </c>
      <c r="AO212" t="n">
        <v>63.2</v>
      </c>
      <c r="AP212" t="n">
        <v>93.5</v>
      </c>
    </row>
    <row r="213">
      <c r="B213" t="inlineStr">
        <is>
          <t>E10_3</t>
        </is>
      </c>
      <c r="G213" t="inlineStr">
        <is>
          <t>21-mag-26</t>
        </is>
      </c>
      <c r="M213">
        <f>IF(R213&gt;0,(SQRT(CC213*(SUM(CD213:CI213)))),"")</f>
        <v/>
      </c>
      <c r="N213">
        <f>IF(T213&gt;0,(MAX(T213,Z213,AD213,AH213,AL213,AP213))+SQRT(1.2^2+1^2),"")</f>
        <v/>
      </c>
      <c r="O213">
        <f>IF(R213="",0,10*LOG39(SUM(BP213:BU213)/(COUNT(R213,X213,AB213,AF213,AJ213,AN213))))</f>
        <v/>
      </c>
      <c r="P213">
        <f>IF(AND(Y213="",AC213="",AG213="",AK213="",AO213=""),S213,AVERAGE(S213,Y213,AC213,AG213,AK213,AO213)+STDEV(S213,Y213,AC213,AG213,AK213,AO213))</f>
        <v/>
      </c>
      <c r="Q213" t="n">
        <v>300</v>
      </c>
      <c r="R213" t="n">
        <v>74.90000000000001</v>
      </c>
      <c r="S213" t="n">
        <v>79.40000000000001</v>
      </c>
      <c r="T213" t="n">
        <v>94.8</v>
      </c>
      <c r="W213" t="n">
        <v>300</v>
      </c>
      <c r="X213" t="n">
        <v>74.8</v>
      </c>
      <c r="Y213" t="n">
        <v>79.3</v>
      </c>
      <c r="Z213" t="n">
        <v>93.5</v>
      </c>
      <c r="AA213" t="n">
        <v>300</v>
      </c>
      <c r="AB213" t="n">
        <v>76.2</v>
      </c>
      <c r="AC213" t="n">
        <v>79.8</v>
      </c>
      <c r="AD213" t="n">
        <v>95.5</v>
      </c>
      <c r="AE213" t="n">
        <v>300</v>
      </c>
      <c r="AF213" t="n">
        <v>75.5</v>
      </c>
      <c r="AG213" t="n">
        <v>79.8</v>
      </c>
      <c r="AH213" t="n">
        <v>98.59999999999999</v>
      </c>
      <c r="AI213" t="n">
        <v>300</v>
      </c>
      <c r="AJ213" t="n">
        <v>75</v>
      </c>
      <c r="AK213" t="n">
        <v>79.7</v>
      </c>
      <c r="AL213" t="n">
        <v>94.5</v>
      </c>
      <c r="AM213" t="n">
        <v>300</v>
      </c>
      <c r="AN213" t="n">
        <v>75.2</v>
      </c>
      <c r="AO213" t="n">
        <v>79.5</v>
      </c>
      <c r="AP213" t="n">
        <v>95.2</v>
      </c>
    </row>
    <row r="214">
      <c r="B214" t="inlineStr">
        <is>
          <t>E11_3</t>
        </is>
      </c>
      <c r="G214" t="inlineStr">
        <is>
          <t>21-mag-26</t>
        </is>
      </c>
      <c r="M214">
        <f>IF(R214&gt;0,(SQRT(CC214*(SUM(CD214:CI214)))),"")</f>
        <v/>
      </c>
      <c r="N214">
        <f>IF(T214&gt;0,(MAX(T214,Z214,AD214,AH214,AL214,AP214))+SQRT(1.2^2+1^2),"")</f>
        <v/>
      </c>
      <c r="O214">
        <f>IF(R214="",0,10*LOG40(SUM(BP214:BU214)/(COUNT(R214,X214,AB214,AF214,AJ214,AN214))))</f>
        <v/>
      </c>
      <c r="P214">
        <f>IF(AND(Y214="",AC214="",AG214="",AK214="",AO214=""),S214,AVERAGE(S214,Y214,AC214,AG214,AK214,AO214)+STDEV(S214,Y214,AC214,AG214,AK214,AO214))</f>
        <v/>
      </c>
      <c r="Q214" t="n">
        <v>300</v>
      </c>
      <c r="R214" t="n">
        <v>80</v>
      </c>
      <c r="S214" t="n">
        <v>78.8</v>
      </c>
      <c r="T214" t="n">
        <v>102.8</v>
      </c>
      <c r="W214" t="n">
        <v>300</v>
      </c>
      <c r="X214" t="n">
        <v>80.3</v>
      </c>
      <c r="Y214" t="n">
        <v>79</v>
      </c>
      <c r="Z214" t="n">
        <v>101.5</v>
      </c>
      <c r="AA214" t="n">
        <v>300</v>
      </c>
      <c r="AB214" t="n">
        <v>79.40000000000001</v>
      </c>
      <c r="AC214" t="n">
        <v>78</v>
      </c>
      <c r="AD214" t="n">
        <v>101.2</v>
      </c>
      <c r="AE214" t="n">
        <v>300</v>
      </c>
      <c r="AF214" t="n">
        <v>76.5</v>
      </c>
      <c r="AG214" t="n">
        <v>75.2</v>
      </c>
      <c r="AH214" t="n">
        <v>101.8</v>
      </c>
      <c r="AI214" t="n">
        <v>300</v>
      </c>
      <c r="AJ214" t="n">
        <v>77</v>
      </c>
      <c r="AK214" t="n">
        <v>75.59999999999999</v>
      </c>
      <c r="AL214" t="n">
        <v>98.3</v>
      </c>
      <c r="AM214" t="n">
        <v>300</v>
      </c>
      <c r="AN214" t="n">
        <v>65.8</v>
      </c>
      <c r="AO214" t="n">
        <v>66.2</v>
      </c>
      <c r="AP214" t="n">
        <v>97.09999999999999</v>
      </c>
    </row>
    <row r="215">
      <c r="B215" t="inlineStr">
        <is>
          <t>E12_3</t>
        </is>
      </c>
      <c r="G215" t="inlineStr">
        <is>
          <t>21-mag-26</t>
        </is>
      </c>
      <c r="M215">
        <f>IF(R215&gt;0,(SQRT(CC215*(SUM(CD215:CI215)))),"")</f>
        <v/>
      </c>
      <c r="N215">
        <f>IF(T215&gt;0,(MAX(T215,Z215,AD215,AH215,AL215,AP215))+SQRT(1.2^2+1^2),"")</f>
        <v/>
      </c>
      <c r="O215">
        <f>IF(R215="",0,10*LOG41(SUM(BP215:BU215)/(COUNT(R215,X215,AB215,AF215,AJ215,AN215))))</f>
        <v/>
      </c>
      <c r="P215">
        <f>IF(AND(Y215="",AC215="",AG215="",AK215="",AO215=""),S215,AVERAGE(S215,Y215,AC215,AG215,AK215,AO215)+STDEV(S215,Y215,AC215,AG215,AK215,AO215))</f>
        <v/>
      </c>
      <c r="Q215" t="n">
        <v>300</v>
      </c>
      <c r="R215" t="n">
        <v>67.40000000000001</v>
      </c>
      <c r="S215" t="n">
        <v>75.7</v>
      </c>
      <c r="T215" t="n">
        <v>96.3</v>
      </c>
      <c r="W215" t="n">
        <v>300</v>
      </c>
      <c r="X215" t="n">
        <v>66.59999999999999</v>
      </c>
      <c r="Y215" t="n">
        <v>69.7</v>
      </c>
      <c r="Z215" t="n">
        <v>95.09999999999999</v>
      </c>
      <c r="AA215" t="n">
        <v>300</v>
      </c>
      <c r="AB215" t="n">
        <v>73</v>
      </c>
      <c r="AC215" t="n">
        <v>73.40000000000001</v>
      </c>
      <c r="AD215" t="n">
        <v>99.59999999999999</v>
      </c>
      <c r="AE215" t="n">
        <v>300</v>
      </c>
      <c r="AF215" t="n">
        <v>68.59999999999999</v>
      </c>
      <c r="AG215" t="n">
        <v>77.7</v>
      </c>
      <c r="AH215" t="n">
        <v>92.8</v>
      </c>
      <c r="AI215" t="n">
        <v>300</v>
      </c>
      <c r="AJ215" t="n">
        <v>68.59999999999999</v>
      </c>
      <c r="AK215" t="n">
        <v>74.7</v>
      </c>
      <c r="AL215" t="n">
        <v>99.2</v>
      </c>
      <c r="AM215" t="n">
        <v>300</v>
      </c>
      <c r="AN215" t="n">
        <v>68.7</v>
      </c>
      <c r="AO215" t="n">
        <v>68.09999999999999</v>
      </c>
      <c r="AP215" t="n">
        <v>113.7</v>
      </c>
    </row>
    <row r="216">
      <c r="B216" t="inlineStr">
        <is>
          <t>E13_3</t>
        </is>
      </c>
      <c r="G216" t="inlineStr">
        <is>
          <t>21-mag-26</t>
        </is>
      </c>
      <c r="M216">
        <f>IF(R216&gt;0,(SQRT(CC216*(SUM(CD216:CI216)))),"")</f>
        <v/>
      </c>
      <c r="N216">
        <f>IF(T216&gt;0,(MAX(T216,Z216,AD216,AH216,AL216,AP216))+SQRT(1.2^2+1^2),"")</f>
        <v/>
      </c>
      <c r="O216">
        <f>IF(R216="",0,10*LOG42(SUM(BP216:BU216)/(COUNT(R216,X216,AB216,AF216,AJ216,AN216))))</f>
        <v/>
      </c>
      <c r="P216">
        <f>IF(AND(Y216="",AC216="",AG216="",AK216="",AO216=""),S216,AVERAGE(S216,Y216,AC216,AG216,AK216,AO216)+STDEV(S216,Y216,AC216,AG216,AK216,AO216))</f>
        <v/>
      </c>
      <c r="Q216" t="n">
        <v>300</v>
      </c>
      <c r="R216" t="n">
        <v>56.2</v>
      </c>
      <c r="S216" t="n">
        <v>61.5</v>
      </c>
      <c r="T216" t="n">
        <v>86.8</v>
      </c>
      <c r="W216" t="n">
        <v>300</v>
      </c>
      <c r="X216" t="n">
        <v>57.7</v>
      </c>
      <c r="Y216" t="n">
        <v>62.6</v>
      </c>
      <c r="Z216" t="n">
        <v>91.8</v>
      </c>
      <c r="AA216" t="n">
        <v>300</v>
      </c>
      <c r="AB216" t="n">
        <v>56.3</v>
      </c>
      <c r="AC216" t="n">
        <v>61.8</v>
      </c>
      <c r="AD216" t="n">
        <v>82.3</v>
      </c>
      <c r="AE216" t="n">
        <v>300</v>
      </c>
      <c r="AF216" t="n">
        <v>58.8</v>
      </c>
      <c r="AG216" t="n">
        <v>62.6</v>
      </c>
      <c r="AH216" t="n">
        <v>88.7</v>
      </c>
      <c r="AI216" t="n">
        <v>300</v>
      </c>
      <c r="AJ216" t="n">
        <v>53.7</v>
      </c>
      <c r="AK216" t="n">
        <v>60.6</v>
      </c>
      <c r="AL216" t="n">
        <v>77</v>
      </c>
      <c r="AM216" t="n">
        <v>300</v>
      </c>
      <c r="AN216" t="n">
        <v>64.40000000000001</v>
      </c>
      <c r="AO216" t="n">
        <v>64.5</v>
      </c>
      <c r="AP216" t="n">
        <v>90.8</v>
      </c>
    </row>
    <row r="217">
      <c r="B217" t="inlineStr">
        <is>
          <t>E14_3</t>
        </is>
      </c>
      <c r="G217" t="inlineStr">
        <is>
          <t>21-mag-26</t>
        </is>
      </c>
      <c r="M217">
        <f>IF(R217&gt;0,(SQRT(CC217*(SUM(CD217:CI217)))),"")</f>
        <v/>
      </c>
      <c r="N217">
        <f>IF(T217&gt;0,(MAX(T217,Z217,AD217,AH217,AL217,AP217))+SQRT(1.2^2+1^2),"")</f>
        <v/>
      </c>
      <c r="O217">
        <f>IF(R217="",0,10*LOG43(SUM(BP217:BU217)/(COUNT(R217,X217,AB217,AF217,AJ217,AN217))))</f>
        <v/>
      </c>
      <c r="P217">
        <f>IF(AND(Y217="",AC217="",AG217="",AK217="",AO217=""),S217,AVERAGE(S217,Y217,AC217,AG217,AK217,AO217)+STDEV(S217,Y217,AC217,AG217,AK217,AO217))</f>
        <v/>
      </c>
      <c r="Q217" t="n">
        <v>300</v>
      </c>
      <c r="R217" t="n">
        <v>76.90000000000001</v>
      </c>
      <c r="S217" t="n">
        <v>79.8</v>
      </c>
      <c r="T217" t="n">
        <v>101.9</v>
      </c>
      <c r="W217" t="n">
        <v>300</v>
      </c>
      <c r="X217" t="n">
        <v>78.7</v>
      </c>
      <c r="Y217" t="n">
        <v>80.59999999999999</v>
      </c>
      <c r="Z217" t="n">
        <v>107.3</v>
      </c>
      <c r="AA217" t="n">
        <v>300</v>
      </c>
      <c r="AB217" t="n">
        <v>75.7</v>
      </c>
      <c r="AC217" t="n">
        <v>77.2</v>
      </c>
      <c r="AD217" t="n">
        <v>104.6</v>
      </c>
      <c r="AE217" t="n">
        <v>300</v>
      </c>
      <c r="AF217" t="n">
        <v>85.2</v>
      </c>
      <c r="AG217" t="n">
        <v>85.5</v>
      </c>
      <c r="AH217" t="n">
        <v>116.6</v>
      </c>
      <c r="AI217" t="n">
        <v>300</v>
      </c>
      <c r="AJ217" t="n">
        <v>86.8</v>
      </c>
      <c r="AK217" t="n">
        <v>86.2</v>
      </c>
      <c r="AL217" t="n">
        <v>121.3</v>
      </c>
      <c r="AM217" t="n">
        <v>300</v>
      </c>
      <c r="AN217" t="n">
        <v>85.5</v>
      </c>
      <c r="AO217" t="n">
        <v>84.8</v>
      </c>
      <c r="AP217" t="n">
        <v>109</v>
      </c>
    </row>
    <row r="218">
      <c r="B218" t="inlineStr">
        <is>
          <t>E15_3</t>
        </is>
      </c>
      <c r="G218" t="inlineStr">
        <is>
          <t>21-mag-26</t>
        </is>
      </c>
      <c r="M218">
        <f>IF(R218&gt;0,(SQRT(CC218*(SUM(CD218:CI218)))),"")</f>
        <v/>
      </c>
      <c r="N218">
        <f>IF(T218&gt;0,(MAX(T218,Z218,AD218,AH218,AL218,AP218))+SQRT(1.2^2+1^2),"")</f>
        <v/>
      </c>
      <c r="O218">
        <f>IF(R218="",0,10*LOG44(SUM(BP218:BU218)/(COUNT(R218,X218,AB218,AF218,AJ218,AN218))))</f>
        <v/>
      </c>
      <c r="P218">
        <f>IF(AND(Y218="",AC218="",AG218="",AK218="",AO218=""),S218,AVERAGE(S218,Y218,AC218,AG218,AK218,AO218)+STDEV(S218,Y218,AC218,AG218,AK218,AO218))</f>
        <v/>
      </c>
      <c r="Q218" t="n">
        <v>300</v>
      </c>
      <c r="R218" t="n">
        <v>94</v>
      </c>
      <c r="S218" t="n">
        <v>92.90000000000001</v>
      </c>
      <c r="T218" t="n">
        <v>126.6</v>
      </c>
      <c r="W218" t="n">
        <v>300</v>
      </c>
      <c r="X218" t="n">
        <v>92.3</v>
      </c>
      <c r="Y218" t="n">
        <v>91.09999999999999</v>
      </c>
      <c r="Z218" t="n">
        <v>121.4</v>
      </c>
      <c r="AA218" t="n">
        <v>300</v>
      </c>
      <c r="AB218" t="n">
        <v>89.5</v>
      </c>
      <c r="AC218" t="n">
        <v>88.40000000000001</v>
      </c>
      <c r="AD218" t="n">
        <v>119.8</v>
      </c>
      <c r="AE218" t="n">
        <v>300</v>
      </c>
      <c r="AF218" t="n">
        <v>94.3</v>
      </c>
      <c r="AG218" t="n">
        <v>93.3</v>
      </c>
      <c r="AH218" t="n">
        <v>127.2</v>
      </c>
      <c r="AI218" t="n">
        <v>300</v>
      </c>
      <c r="AJ218" t="n">
        <v>92.5</v>
      </c>
      <c r="AK218" t="n">
        <v>91.40000000000001</v>
      </c>
      <c r="AL218" t="n">
        <v>122.1</v>
      </c>
      <c r="AM218" t="n">
        <v>300</v>
      </c>
      <c r="AN218" t="n">
        <v>93.40000000000001</v>
      </c>
      <c r="AO218" t="n">
        <v>92.5</v>
      </c>
      <c r="AP218" t="n">
        <v>132.5</v>
      </c>
    </row>
    <row r="219">
      <c r="B219" t="inlineStr">
        <is>
          <t>E16_3</t>
        </is>
      </c>
      <c r="G219" t="inlineStr">
        <is>
          <t>21-mag-26</t>
        </is>
      </c>
      <c r="M219">
        <f>IF(R219&gt;0,(SQRT(CC219*(SUM(CD219:CI219)))),"")</f>
        <v/>
      </c>
      <c r="N219">
        <f>IF(T219&gt;0,(MAX(T219,Z219,AD219,AH219,AL219,AP219))+SQRT(1.2^2+1^2),"")</f>
        <v/>
      </c>
      <c r="O219">
        <f>IF(R219="",0,10*LOG45(SUM(BP219:BU219)/(COUNT(R219,X219,AB219,AF219,AJ219,AN219))))</f>
        <v/>
      </c>
      <c r="P219">
        <f>IF(AND(Y219="",AC219="",AG219="",AK219="",AO219=""),S219,AVERAGE(S219,Y219,AC219,AG219,AK219,AO219)+STDEV(S219,Y219,AC219,AG219,AK219,AO219))</f>
        <v/>
      </c>
      <c r="Q219" t="n">
        <v>300</v>
      </c>
      <c r="R219" t="n">
        <v>97.40000000000001</v>
      </c>
      <c r="S219" t="n">
        <v>95.8</v>
      </c>
      <c r="T219" t="n">
        <v>121.1</v>
      </c>
      <c r="W219" t="n">
        <v>300</v>
      </c>
      <c r="X219" t="n">
        <v>94.59999999999999</v>
      </c>
      <c r="Y219" t="n">
        <v>93.09999999999999</v>
      </c>
      <c r="Z219" t="n">
        <v>121.4</v>
      </c>
      <c r="AA219" t="n">
        <v>300</v>
      </c>
      <c r="AB219" t="n">
        <v>78.5</v>
      </c>
      <c r="AC219" t="n">
        <v>80.5</v>
      </c>
      <c r="AD219" t="n">
        <v>112.8</v>
      </c>
      <c r="AE219" t="n">
        <v>300</v>
      </c>
      <c r="AF219" t="n">
        <v>93.40000000000001</v>
      </c>
      <c r="AG219" t="n">
        <v>91.90000000000001</v>
      </c>
      <c r="AH219" t="n">
        <v>116.9</v>
      </c>
      <c r="AI219" t="n">
        <v>300</v>
      </c>
      <c r="AJ219" t="n">
        <v>90.90000000000001</v>
      </c>
      <c r="AK219" t="n">
        <v>89.7</v>
      </c>
      <c r="AL219" t="n">
        <v>113</v>
      </c>
      <c r="AM219" t="n">
        <v>300</v>
      </c>
      <c r="AN219" t="n">
        <v>85.3</v>
      </c>
      <c r="AO219" t="n">
        <v>85.09999999999999</v>
      </c>
      <c r="AP219" t="n">
        <v>118.2</v>
      </c>
    </row>
    <row r="220">
      <c r="B220" t="inlineStr">
        <is>
          <t>E17_3</t>
        </is>
      </c>
      <c r="G220" t="inlineStr">
        <is>
          <t>21-mag-26</t>
        </is>
      </c>
      <c r="M220">
        <f>IF(R220&gt;0,(SQRT(CC220*(SUM(CD220:CI220)))),"")</f>
        <v/>
      </c>
      <c r="N220">
        <f>IF(T220&gt;0,(MAX(T220,Z220,AD220,AH220,AL220,AP220))+SQRT(1.2^2+1^2),"")</f>
        <v/>
      </c>
      <c r="O220">
        <f>IF(R220="",0,10*LOG46(SUM(BP220:BU220)/(COUNT(R220,X220,AB220,AF220,AJ220,AN220))))</f>
        <v/>
      </c>
      <c r="P220">
        <f>IF(AND(Y220="",AC220="",AG220="",AK220="",AO220=""),S220,AVERAGE(S220,Y220,AC220,AG220,AK220,AO220)+STDEV(S220,Y220,AC220,AG220,AK220,AO220))</f>
        <v/>
      </c>
      <c r="Q220" t="n">
        <v>300</v>
      </c>
      <c r="R220" t="n">
        <v>77.3</v>
      </c>
      <c r="S220" t="n">
        <v>77.59999999999999</v>
      </c>
      <c r="T220" t="n">
        <v>96.09999999999999</v>
      </c>
      <c r="W220" t="n">
        <v>300</v>
      </c>
      <c r="X220" t="n">
        <v>79.7</v>
      </c>
      <c r="Y220" t="n">
        <v>79.7</v>
      </c>
      <c r="Z220" t="n">
        <v>97.3</v>
      </c>
      <c r="AA220" t="n">
        <v>300</v>
      </c>
      <c r="AB220" t="n">
        <v>80.3</v>
      </c>
      <c r="AC220" t="n">
        <v>80.09999999999999</v>
      </c>
      <c r="AD220" t="n">
        <v>97.2</v>
      </c>
      <c r="AE220" t="n">
        <v>300</v>
      </c>
      <c r="AF220" t="n">
        <v>77.09999999999999</v>
      </c>
      <c r="AG220" t="n">
        <v>78.5</v>
      </c>
      <c r="AH220" t="n">
        <v>105.5</v>
      </c>
      <c r="AI220" t="n">
        <v>300</v>
      </c>
      <c r="AJ220" t="n">
        <v>72.7</v>
      </c>
      <c r="AK220" t="n">
        <v>74.90000000000001</v>
      </c>
      <c r="AL220" t="n">
        <v>92.2</v>
      </c>
      <c r="AM220" t="n">
        <v>300</v>
      </c>
      <c r="AN220" t="n">
        <v>78</v>
      </c>
      <c r="AO220" t="n">
        <v>80</v>
      </c>
      <c r="AP220" t="n">
        <v>98.8</v>
      </c>
    </row>
    <row r="221">
      <c r="B221" t="inlineStr">
        <is>
          <t>E18_3</t>
        </is>
      </c>
      <c r="G221" t="inlineStr">
        <is>
          <t>21-mag-26</t>
        </is>
      </c>
      <c r="M221">
        <f>IF(R221&gt;0,(SQRT(CC221*(SUM(CD221:CI221)))),"")</f>
        <v/>
      </c>
      <c r="N221">
        <f>IF(T221&gt;0,(MAX(T221,Z221,AD221,AH221,AL221,AP221))+SQRT(1.2^2+1^2),"")</f>
        <v/>
      </c>
      <c r="O221">
        <f>IF(R221="",0,10*LOG47(SUM(BP221:BU221)/(COUNT(R221,X221,AB221,AF221,AJ221,AN221))))</f>
        <v/>
      </c>
      <c r="P221">
        <f>IF(AND(Y221="",AC221="",AG221="",AK221="",AO221=""),S221,AVERAGE(S221,Y221,AC221,AG221,AK221,AO221)+STDEV(S221,Y221,AC221,AG221,AK221,AO221))</f>
        <v/>
      </c>
      <c r="Q221" t="n">
        <v>300</v>
      </c>
      <c r="R221" t="n">
        <v>62</v>
      </c>
      <c r="S221" t="n">
        <v>72.2</v>
      </c>
      <c r="T221" t="n">
        <v>107.9</v>
      </c>
      <c r="W221" t="n">
        <v>300</v>
      </c>
      <c r="X221" t="n">
        <v>62.8</v>
      </c>
      <c r="Y221" t="n">
        <v>78.09999999999999</v>
      </c>
      <c r="Z221" t="n">
        <v>110.6</v>
      </c>
      <c r="AA221" t="n">
        <v>300</v>
      </c>
      <c r="AB221" t="n">
        <v>61.1</v>
      </c>
      <c r="AC221" t="n">
        <v>73.09999999999999</v>
      </c>
      <c r="AD221" t="n">
        <v>106.9</v>
      </c>
      <c r="AE221" t="n">
        <v>300</v>
      </c>
      <c r="AF221" t="n">
        <v>65.09999999999999</v>
      </c>
      <c r="AG221" t="n">
        <v>74.8</v>
      </c>
      <c r="AH221" t="n">
        <v>108.7</v>
      </c>
      <c r="AI221" t="n">
        <v>300</v>
      </c>
      <c r="AJ221" t="n">
        <v>59.6</v>
      </c>
      <c r="AK221" t="n">
        <v>72.7</v>
      </c>
      <c r="AL221" t="n">
        <v>108.6</v>
      </c>
      <c r="AM221" t="n">
        <v>300</v>
      </c>
      <c r="AN221" t="n">
        <v>57.8</v>
      </c>
      <c r="AO221" t="n">
        <v>73.2</v>
      </c>
      <c r="AP221" t="n">
        <v>103.3</v>
      </c>
    </row>
    <row r="222">
      <c r="B222" t="inlineStr">
        <is>
          <t>F1_3</t>
        </is>
      </c>
      <c r="G222" t="inlineStr">
        <is>
          <t>21-mag-26</t>
        </is>
      </c>
      <c r="M222">
        <f>IF(R222&gt;0,(SQRT(CC222*(SUM(CD222:CI222)))),"")</f>
        <v/>
      </c>
      <c r="N222">
        <f>IF(T222&gt;0,(MAX(T222,Z222,AD222,AH222,AL222,AP222))+SQRT(1.2^2+1^2),"")</f>
        <v/>
      </c>
      <c r="O222">
        <f>IF(R222="",0,10*LOG48(SUM(BP222:BU222)/(COUNT(R222,X222,AB222,AF222,AJ222,AN222))))</f>
        <v/>
      </c>
      <c r="P222">
        <f>IF(AND(Y222="",AC222="",AG222="",AK222="",AO222=""),S222,AVERAGE(S222,Y222,AC222,AG222,AK222,AO222)+STDEV(S222,Y222,AC222,AG222,AK222,AO222))</f>
        <v/>
      </c>
      <c r="Q222" t="n">
        <v>300</v>
      </c>
      <c r="R222" t="n">
        <v>86.59999999999999</v>
      </c>
      <c r="S222" t="n">
        <v>86.2</v>
      </c>
      <c r="T222" t="n">
        <v>103.7</v>
      </c>
      <c r="W222" t="n">
        <v>300</v>
      </c>
      <c r="X222" t="n">
        <v>87</v>
      </c>
      <c r="Y222" t="n">
        <v>86.5</v>
      </c>
      <c r="Z222" t="n">
        <v>103.1</v>
      </c>
      <c r="AA222" t="n">
        <v>300</v>
      </c>
      <c r="AB222" t="n">
        <v>86.8</v>
      </c>
      <c r="AC222" t="n">
        <v>86.2</v>
      </c>
      <c r="AD222" t="n">
        <v>111.1</v>
      </c>
      <c r="AE222" t="n">
        <v>300</v>
      </c>
      <c r="AF222" t="n">
        <v>74.09999999999999</v>
      </c>
      <c r="AG222" t="n">
        <v>77.2</v>
      </c>
      <c r="AH222" t="n">
        <v>98.59999999999999</v>
      </c>
      <c r="AI222" t="n">
        <v>300</v>
      </c>
      <c r="AJ222" t="n">
        <v>71.40000000000001</v>
      </c>
      <c r="AK222" t="n">
        <v>75.3</v>
      </c>
      <c r="AL222" t="n">
        <v>96.09999999999999</v>
      </c>
      <c r="AM222" t="n">
        <v>300</v>
      </c>
      <c r="AN222" t="n">
        <v>75.90000000000001</v>
      </c>
      <c r="AO222" t="n">
        <v>77.7</v>
      </c>
      <c r="AP222" t="n">
        <v>97.7</v>
      </c>
    </row>
    <row r="223">
      <c r="B223" t="inlineStr">
        <is>
          <t>F2_3</t>
        </is>
      </c>
      <c r="G223" t="inlineStr">
        <is>
          <t>21-mag-26</t>
        </is>
      </c>
      <c r="M223">
        <f>IF(R223&gt;0,(SQRT(CC223*(SUM(CD223:CI223)))),"")</f>
        <v/>
      </c>
      <c r="N223">
        <f>IF(T223&gt;0,(MAX(T223,Z223,AD223,AH223,AL223,AP223))+SQRT(1.2^2+1^2),"")</f>
        <v/>
      </c>
      <c r="O223">
        <f>IF(R223="",0,10*LOG49(SUM(BP223:BU223)/(COUNT(R223,X223,AB223,AF223,AJ223,AN223))))</f>
        <v/>
      </c>
      <c r="P223">
        <f>IF(AND(Y223="",AC223="",AG223="",AK223="",AO223=""),S223,AVERAGE(S223,Y223,AC223,AG223,AK223,AO223)+STDEV(S223,Y223,AC223,AG223,AK223,AO223))</f>
        <v/>
      </c>
      <c r="Q223" t="n">
        <v>300</v>
      </c>
      <c r="R223" t="n">
        <v>84.40000000000001</v>
      </c>
      <c r="S223" t="n">
        <v>83.7</v>
      </c>
      <c r="T223" t="n">
        <v>103.3</v>
      </c>
      <c r="W223" t="n">
        <v>300</v>
      </c>
      <c r="X223" t="n">
        <v>85.40000000000001</v>
      </c>
      <c r="Y223" t="n">
        <v>84.7</v>
      </c>
      <c r="Z223" t="n">
        <v>117.8</v>
      </c>
      <c r="AA223" t="n">
        <v>300</v>
      </c>
      <c r="AB223" t="n">
        <v>84.59999999999999</v>
      </c>
      <c r="AC223" t="n">
        <v>84</v>
      </c>
      <c r="AD223" t="n">
        <v>104.4</v>
      </c>
      <c r="AE223" t="n">
        <v>300</v>
      </c>
      <c r="AF223" t="n">
        <v>84.09999999999999</v>
      </c>
      <c r="AG223" t="n">
        <v>84.8</v>
      </c>
      <c r="AH223" t="n">
        <v>117.4</v>
      </c>
      <c r="AI223" t="n">
        <v>300</v>
      </c>
      <c r="AJ223" t="n">
        <v>80.3</v>
      </c>
      <c r="AK223" t="n">
        <v>79.90000000000001</v>
      </c>
      <c r="AL223" t="n">
        <v>103.2</v>
      </c>
      <c r="AM223" t="n">
        <v>300</v>
      </c>
      <c r="AN223" t="n">
        <v>78.8</v>
      </c>
      <c r="AO223" t="n">
        <v>78.2</v>
      </c>
      <c r="AP223" t="n">
        <v>103.8</v>
      </c>
    </row>
    <row r="224">
      <c r="B224" t="inlineStr">
        <is>
          <t>F3_3</t>
        </is>
      </c>
      <c r="G224" t="inlineStr">
        <is>
          <t>21-mag-26</t>
        </is>
      </c>
      <c r="M224">
        <f>IF(R224&gt;0,(SQRT(CC224*(SUM(CD224:CI224)))),"")</f>
        <v/>
      </c>
      <c r="N224">
        <f>IF(T224&gt;0,(MAX(T224,Z224,AD224,AH224,AL224,AP224))+SQRT(1.2^2+1^2),"")</f>
        <v/>
      </c>
      <c r="O224">
        <f>IF(R224="",0,10*LOG50(SUM(BP224:BU224)/(COUNT(R224,X224,AB224,AF224,AJ224,AN224))))</f>
        <v/>
      </c>
      <c r="P224">
        <f>IF(AND(Y224="",AC224="",AG224="",AK224="",AO224=""),S224,AVERAGE(S224,Y224,AC224,AG224,AK224,AO224)+STDEV(S224,Y224,AC224,AG224,AK224,AO224))</f>
        <v/>
      </c>
      <c r="Q224" t="n">
        <v>300</v>
      </c>
      <c r="R224" t="n">
        <v>81.09999999999999</v>
      </c>
      <c r="S224" t="n">
        <v>83.90000000000001</v>
      </c>
      <c r="T224" t="n">
        <v>109.9</v>
      </c>
      <c r="W224" t="n">
        <v>300</v>
      </c>
      <c r="X224" t="n">
        <v>80.09999999999999</v>
      </c>
      <c r="Y224" t="n">
        <v>81.2</v>
      </c>
      <c r="Z224" t="n">
        <v>103.1</v>
      </c>
      <c r="AA224" t="n">
        <v>300</v>
      </c>
      <c r="AB224" t="n">
        <v>83.09999999999999</v>
      </c>
      <c r="AC224" t="n">
        <v>84.2</v>
      </c>
      <c r="AD224" t="n">
        <v>107.9</v>
      </c>
      <c r="AE224" t="n">
        <v>300</v>
      </c>
      <c r="AF224" t="n">
        <v>83.40000000000001</v>
      </c>
      <c r="AG224" t="n">
        <v>84.5</v>
      </c>
      <c r="AH224" t="n">
        <v>109.1</v>
      </c>
      <c r="AI224" t="n">
        <v>300</v>
      </c>
      <c r="AJ224" t="n">
        <v>81.2</v>
      </c>
      <c r="AK224" t="n">
        <v>81.8</v>
      </c>
      <c r="AL224" t="n">
        <v>108.5</v>
      </c>
      <c r="AM224" t="n">
        <v>300</v>
      </c>
      <c r="AN224" t="n">
        <v>82.59999999999999</v>
      </c>
      <c r="AO224" t="n">
        <v>83.8</v>
      </c>
      <c r="AP224" t="n">
        <v>111.2</v>
      </c>
    </row>
    <row r="225">
      <c r="B225" t="inlineStr">
        <is>
          <t>F4_3</t>
        </is>
      </c>
      <c r="G225" t="inlineStr">
        <is>
          <t>21-mag-26</t>
        </is>
      </c>
      <c r="M225">
        <f>IF(R225&gt;0,(SQRT(CC225*(SUM(CD225:CI225)))),"")</f>
        <v/>
      </c>
      <c r="N225">
        <f>IF(T225&gt;0,(MAX(T225,Z225,AD225,AH225,AL225,AP225))+SQRT(1.2^2+1^2),"")</f>
        <v/>
      </c>
      <c r="O225">
        <f>IF(R225="",0,10*LOG51(SUM(BP225:BU225)/(COUNT(R225,X225,AB225,AF225,AJ225,AN225))))</f>
        <v/>
      </c>
      <c r="P225">
        <f>IF(AND(Y225="",AC225="",AG225="",AK225="",AO225=""),S225,AVERAGE(S225,Y225,AC225,AG225,AK225,AO225)+STDEV(S225,Y225,AC225,AG225,AK225,AO225))</f>
        <v/>
      </c>
      <c r="Q225" t="n">
        <v>300</v>
      </c>
      <c r="R225" t="n">
        <v>83.5</v>
      </c>
      <c r="S225" t="n">
        <v>83.8</v>
      </c>
      <c r="T225" t="n">
        <v>105.2</v>
      </c>
      <c r="W225" t="n">
        <v>300</v>
      </c>
      <c r="X225" t="n">
        <v>82.40000000000001</v>
      </c>
      <c r="Y225" t="n">
        <v>84.90000000000001</v>
      </c>
      <c r="Z225" t="n">
        <v>112</v>
      </c>
      <c r="AA225" t="n">
        <v>300</v>
      </c>
      <c r="AB225" t="n">
        <v>83.5</v>
      </c>
      <c r="AC225" t="n">
        <v>86</v>
      </c>
      <c r="AD225" t="n">
        <v>115.9</v>
      </c>
      <c r="AE225" t="n">
        <v>300</v>
      </c>
      <c r="AF225" t="n">
        <v>86.09999999999999</v>
      </c>
      <c r="AG225" t="n">
        <v>88.40000000000001</v>
      </c>
      <c r="AH225" t="n">
        <v>120.8</v>
      </c>
      <c r="AI225" t="n">
        <v>300</v>
      </c>
      <c r="AJ225" t="n">
        <v>87.09999999999999</v>
      </c>
      <c r="AK225" t="n">
        <v>87.2</v>
      </c>
      <c r="AL225" t="n">
        <v>110.9</v>
      </c>
      <c r="AM225" t="n">
        <v>300</v>
      </c>
      <c r="AN225" t="n">
        <v>87.09999999999999</v>
      </c>
      <c r="AO225" t="n">
        <v>87.40000000000001</v>
      </c>
      <c r="AP225" t="n">
        <v>111.2</v>
      </c>
    </row>
    <row r="226">
      <c r="B226" t="inlineStr">
        <is>
          <t>F5_3</t>
        </is>
      </c>
      <c r="G226" t="inlineStr">
        <is>
          <t>21-mag-26</t>
        </is>
      </c>
      <c r="M226">
        <f>IF(R226&gt;0,(SQRT(CC226*(SUM(CD226:CI226)))),"")</f>
        <v/>
      </c>
      <c r="N226">
        <f>IF(T226&gt;0,(MAX(T226,Z226,AD226,AH226,AL226,AP226))+SQRT(1.2^2+1^2),"")</f>
        <v/>
      </c>
      <c r="O226">
        <f>IF(R226="",0,10*LOG52(SUM(BP226:BU226)/(COUNT(R226,X226,AB226,AF226,AJ226,AN226))))</f>
        <v/>
      </c>
      <c r="P226">
        <f>IF(AND(Y226="",AC226="",AG226="",AK226="",AO226=""),S226,AVERAGE(S226,Y226,AC226,AG226,AK226,AO226)+STDEV(S226,Y226,AC226,AG226,AK226,AO226))</f>
        <v/>
      </c>
      <c r="Q226" t="n">
        <v>300</v>
      </c>
      <c r="R226" t="n">
        <v>48.9</v>
      </c>
      <c r="S226" t="n">
        <v>69.2</v>
      </c>
      <c r="T226" t="n">
        <v>90.5</v>
      </c>
      <c r="W226" t="n">
        <v>300</v>
      </c>
      <c r="X226" t="n">
        <v>48.1</v>
      </c>
      <c r="Y226" t="n">
        <v>65.90000000000001</v>
      </c>
      <c r="Z226" t="n">
        <v>87.40000000000001</v>
      </c>
      <c r="AA226" t="n">
        <v>300</v>
      </c>
      <c r="AB226" t="n">
        <v>46.5</v>
      </c>
      <c r="AC226" t="n">
        <v>66.59999999999999</v>
      </c>
      <c r="AD226" t="n">
        <v>87.09999999999999</v>
      </c>
      <c r="AE226" t="n">
        <v>300</v>
      </c>
      <c r="AF226" t="n">
        <v>47.6</v>
      </c>
      <c r="AG226" t="n">
        <v>64.2</v>
      </c>
      <c r="AH226" t="n">
        <v>83.90000000000001</v>
      </c>
      <c r="AI226" t="n">
        <v>300</v>
      </c>
      <c r="AJ226" t="n">
        <v>49.2</v>
      </c>
      <c r="AK226" t="n">
        <v>66.09999999999999</v>
      </c>
      <c r="AL226" t="n">
        <v>84.3</v>
      </c>
      <c r="AM226" t="n">
        <v>300</v>
      </c>
      <c r="AN226" t="n">
        <v>66.90000000000001</v>
      </c>
      <c r="AO226" t="n">
        <v>76.8</v>
      </c>
      <c r="AP226" t="n">
        <v>110.1</v>
      </c>
    </row>
    <row r="227">
      <c r="B227" t="inlineStr">
        <is>
          <t>F6_3</t>
        </is>
      </c>
      <c r="G227" t="inlineStr">
        <is>
          <t>21-mag-26</t>
        </is>
      </c>
      <c r="M227">
        <f>IF(R227&gt;0,(SQRT(CC227*(SUM(CD227:CI227)))),"")</f>
        <v/>
      </c>
      <c r="N227">
        <f>IF(T227&gt;0,(MAX(T227,Z227,AD227,AH227,AL227,AP227))+SQRT(1.2^2+1^2),"")</f>
        <v/>
      </c>
      <c r="O227">
        <f>IF(R227="",0,10*LOG53(SUM(BP227:BU227)/(COUNT(R227,X227,AB227,AF227,AJ227,AN227))))</f>
        <v/>
      </c>
      <c r="P227">
        <f>IF(AND(Y227="",AC227="",AG227="",AK227="",AO227=""),S227,AVERAGE(S227,Y227,AC227,AG227,AK227,AO227)+STDEV(S227,Y227,AC227,AG227,AK227,AO227))</f>
        <v/>
      </c>
      <c r="Q227" t="n">
        <v>300</v>
      </c>
      <c r="R227" t="n">
        <v>82.40000000000001</v>
      </c>
      <c r="S227" t="n">
        <v>83.90000000000001</v>
      </c>
      <c r="T227" t="n">
        <v>112.4</v>
      </c>
      <c r="W227" t="n">
        <v>300</v>
      </c>
      <c r="X227" t="n">
        <v>78.2</v>
      </c>
      <c r="Y227" t="n">
        <v>80.7</v>
      </c>
      <c r="Z227" t="n">
        <v>103</v>
      </c>
      <c r="AA227" t="n">
        <v>300</v>
      </c>
      <c r="AB227" t="n">
        <v>75.59999999999999</v>
      </c>
      <c r="AC227" t="n">
        <v>79.3</v>
      </c>
      <c r="AD227" t="n">
        <v>104.4</v>
      </c>
      <c r="AE227" t="n">
        <v>300</v>
      </c>
      <c r="AF227" t="n">
        <v>78.90000000000001</v>
      </c>
      <c r="AG227" t="n">
        <v>81.5</v>
      </c>
      <c r="AH227" t="n">
        <v>103.1</v>
      </c>
      <c r="AI227" t="n">
        <v>300</v>
      </c>
      <c r="AJ227" t="n">
        <v>79.7</v>
      </c>
      <c r="AK227" t="n">
        <v>82.09999999999999</v>
      </c>
      <c r="AL227" t="n">
        <v>103.7</v>
      </c>
      <c r="AM227" t="n">
        <v>300</v>
      </c>
      <c r="AN227" t="n">
        <v>78.09999999999999</v>
      </c>
      <c r="AO227" t="n">
        <v>80.59999999999999</v>
      </c>
      <c r="AP227" t="n">
        <v>103.5</v>
      </c>
    </row>
    <row r="228">
      <c r="B228" t="inlineStr">
        <is>
          <t>F7_3</t>
        </is>
      </c>
      <c r="G228" t="inlineStr">
        <is>
          <t>21-mag-26</t>
        </is>
      </c>
      <c r="M228">
        <f>IF(R228&gt;0,(SQRT(CC228*(SUM(CD228:CI228)))),"")</f>
        <v/>
      </c>
      <c r="N228">
        <f>IF(T228&gt;0,(MAX(T228,Z228,AD228,AH228,AL228,AP228))+SQRT(1.2^2+1^2),"")</f>
        <v/>
      </c>
      <c r="O228">
        <f>IF(R228="",0,10*LOG54(SUM(BP228:BU228)/(COUNT(R228,X228,AB228,AF228,AJ228,AN228))))</f>
        <v/>
      </c>
      <c r="P228">
        <f>IF(AND(Y228="",AC228="",AG228="",AK228="",AO228=""),S228,AVERAGE(S228,Y228,AC228,AG228,AK228,AO228)+STDEV(S228,Y228,AC228,AG228,AK228,AO228))</f>
        <v/>
      </c>
      <c r="Q228" t="n">
        <v>300</v>
      </c>
      <c r="R228" t="n">
        <v>82.40000000000001</v>
      </c>
      <c r="S228" t="n">
        <v>82.5</v>
      </c>
      <c r="T228" t="n">
        <v>99.8</v>
      </c>
      <c r="W228" t="n">
        <v>300</v>
      </c>
      <c r="X228" t="n">
        <v>81.7</v>
      </c>
      <c r="Y228" t="n">
        <v>83.09999999999999</v>
      </c>
      <c r="Z228" t="n">
        <v>106.8</v>
      </c>
      <c r="AA228" t="n">
        <v>300</v>
      </c>
      <c r="AB228" t="n">
        <v>83.40000000000001</v>
      </c>
      <c r="AC228" t="n">
        <v>84</v>
      </c>
      <c r="AD228" t="n">
        <v>105</v>
      </c>
      <c r="AE228" t="n">
        <v>300</v>
      </c>
      <c r="AF228" t="n">
        <v>83.59999999999999</v>
      </c>
      <c r="AG228" t="n">
        <v>84</v>
      </c>
      <c r="AH228" t="n">
        <v>109.5</v>
      </c>
      <c r="AI228" t="n">
        <v>300</v>
      </c>
      <c r="AJ228" t="n">
        <v>84</v>
      </c>
      <c r="AK228" t="n">
        <v>84.5</v>
      </c>
      <c r="AL228" t="n">
        <v>115.1</v>
      </c>
      <c r="AM228" t="n">
        <v>300</v>
      </c>
      <c r="AN228" t="n">
        <v>83.3</v>
      </c>
      <c r="AO228" t="n">
        <v>83.5</v>
      </c>
      <c r="AP228" t="n">
        <v>108.8</v>
      </c>
    </row>
    <row r="229">
      <c r="B229" t="inlineStr">
        <is>
          <t>F8_3</t>
        </is>
      </c>
      <c r="G229" t="inlineStr">
        <is>
          <t>21-mag-26</t>
        </is>
      </c>
      <c r="M229">
        <f>IF(R229&gt;0,(SQRT(CC229*(SUM(CD229:CI229)))),"")</f>
        <v/>
      </c>
      <c r="N229">
        <f>IF(T229&gt;0,(MAX(T229,Z229,AD229,AH229,AL229,AP229))+SQRT(1.2^2+1^2),"")</f>
        <v/>
      </c>
      <c r="O229">
        <f>IF(R229="",0,10*LOG55(SUM(BP229:BU229)/(COUNT(R229,X229,AB229,AF229,AJ229,AN229))))</f>
        <v/>
      </c>
      <c r="P229">
        <f>IF(AND(Y229="",AC229="",AG229="",AK229="",AO229=""),S229,AVERAGE(S229,Y229,AC229,AG229,AK229,AO229)+STDEV(S229,Y229,AC229,AG229,AK229,AO229))</f>
        <v/>
      </c>
      <c r="Q229" t="n">
        <v>300</v>
      </c>
      <c r="R229" t="n">
        <v>89.3</v>
      </c>
      <c r="S229" t="n">
        <v>88.5</v>
      </c>
      <c r="T229" t="n">
        <v>126.1</v>
      </c>
      <c r="W229" t="n">
        <v>300</v>
      </c>
      <c r="X229" t="n">
        <v>96.59999999999999</v>
      </c>
      <c r="Y229" t="n">
        <v>95.8</v>
      </c>
      <c r="Z229" t="n">
        <v>134.8</v>
      </c>
      <c r="AA229" t="n">
        <v>300</v>
      </c>
      <c r="AB229" t="n">
        <v>82.5</v>
      </c>
      <c r="AC229" t="n">
        <v>83.2</v>
      </c>
      <c r="AD229" t="n">
        <v>116.1</v>
      </c>
      <c r="AE229" t="n">
        <v>300</v>
      </c>
      <c r="AF229" t="n">
        <v>82.59999999999999</v>
      </c>
      <c r="AG229" t="n">
        <v>82.90000000000001</v>
      </c>
      <c r="AH229" t="n">
        <v>112.9</v>
      </c>
      <c r="AI229" t="n">
        <v>300</v>
      </c>
      <c r="AJ229" t="n">
        <v>92.09999999999999</v>
      </c>
      <c r="AK229" t="n">
        <v>91.3</v>
      </c>
      <c r="AL229" t="n">
        <v>128.4</v>
      </c>
      <c r="AM229" t="n">
        <v>300</v>
      </c>
      <c r="AN229" t="n">
        <v>82</v>
      </c>
      <c r="AO229" t="n">
        <v>82.90000000000001</v>
      </c>
      <c r="AP229" t="n">
        <v>114</v>
      </c>
    </row>
    <row r="230">
      <c r="B230" t="inlineStr">
        <is>
          <t>F9_3</t>
        </is>
      </c>
      <c r="G230" t="inlineStr">
        <is>
          <t>21-mag-26</t>
        </is>
      </c>
      <c r="M230">
        <f>IF(R230&gt;0,(SQRT(CC230*(SUM(CD230:CI230)))),"")</f>
        <v/>
      </c>
      <c r="N230">
        <f>IF(T230&gt;0,(MAX(T230,Z230,AD230,AH230,AL230,AP230))+SQRT(1.2^2+1^2),"")</f>
        <v/>
      </c>
      <c r="O230">
        <f>IF(R230="",0,10*LOG56(SUM(BP230:BU230)/(COUNT(R230,X230,AB230,AF230,AJ230,AN230))))</f>
        <v/>
      </c>
      <c r="P230">
        <f>IF(AND(Y230="",AC230="",AG230="",AK230="",AO230=""),S230,AVERAGE(S230,Y230,AC230,AG230,AK230,AO230)+STDEV(S230,Y230,AC230,AG230,AK230,AO230))</f>
        <v/>
      </c>
      <c r="Q230" t="n">
        <v>300</v>
      </c>
      <c r="R230" t="n">
        <v>66.09999999999999</v>
      </c>
      <c r="S230" t="n">
        <v>75.59999999999999</v>
      </c>
      <c r="T230" t="n">
        <v>95.5</v>
      </c>
      <c r="W230" t="n">
        <v>300</v>
      </c>
      <c r="X230" t="n">
        <v>78.5</v>
      </c>
      <c r="Y230" t="n">
        <v>87.8</v>
      </c>
      <c r="Z230" t="n">
        <v>119.4</v>
      </c>
      <c r="AA230" t="n">
        <v>300</v>
      </c>
      <c r="AB230" t="n">
        <v>83</v>
      </c>
      <c r="AC230" t="n">
        <v>92.59999999999999</v>
      </c>
      <c r="AD230" t="n">
        <v>109.9</v>
      </c>
      <c r="AE230" t="n">
        <v>300</v>
      </c>
      <c r="AF230" t="n">
        <v>81.8</v>
      </c>
      <c r="AG230" t="n">
        <v>91.8</v>
      </c>
      <c r="AH230" t="n">
        <v>113.1</v>
      </c>
      <c r="AI230" t="n">
        <v>300</v>
      </c>
      <c r="AJ230" t="n">
        <v>83.7</v>
      </c>
      <c r="AK230" t="n">
        <v>93.5</v>
      </c>
      <c r="AL230" t="n">
        <v>107.8</v>
      </c>
      <c r="AM230" t="n">
        <v>300</v>
      </c>
      <c r="AN230" t="n">
        <v>84</v>
      </c>
      <c r="AO230" t="n">
        <v>94.09999999999999</v>
      </c>
      <c r="AP230" t="n">
        <v>115.4</v>
      </c>
    </row>
    <row r="231">
      <c r="B231" t="inlineStr">
        <is>
          <t>F10_3</t>
        </is>
      </c>
      <c r="G231" t="inlineStr">
        <is>
          <t>21-mag-26</t>
        </is>
      </c>
      <c r="M231">
        <f>IF(R231&gt;0,(SQRT(CC231*(SUM(CD231:CI231)))),"")</f>
        <v/>
      </c>
      <c r="N231">
        <f>IF(T231&gt;0,(MAX(T231,Z231,AD231,AH231,AL231,AP231))+SQRT(1.2^2+1^2),"")</f>
        <v/>
      </c>
      <c r="O231">
        <f>IF(R231="",0,10*LOG57(SUM(BP231:BU231)/(COUNT(R231,X231,AB231,AF231,AJ231,AN231))))</f>
        <v/>
      </c>
      <c r="P231">
        <f>IF(AND(Y231="",AC231="",AG231="",AK231="",AO231=""),S231,AVERAGE(S231,Y231,AC231,AG231,AK231,AO231)+STDEV(S231,Y231,AC231,AG231,AK231,AO231))</f>
        <v/>
      </c>
      <c r="Q231" t="n">
        <v>300</v>
      </c>
      <c r="R231" t="n">
        <v>79.7</v>
      </c>
      <c r="S231" t="n">
        <v>82.5</v>
      </c>
      <c r="T231" t="n">
        <v>107.8</v>
      </c>
      <c r="W231" t="n">
        <v>300</v>
      </c>
      <c r="X231" t="n">
        <v>72.2</v>
      </c>
      <c r="Y231" t="n">
        <v>78</v>
      </c>
      <c r="Z231" t="n">
        <v>100.2</v>
      </c>
      <c r="AA231" t="n">
        <v>300</v>
      </c>
      <c r="AB231" t="n">
        <v>70.09999999999999</v>
      </c>
      <c r="AC231" t="n">
        <v>74.40000000000001</v>
      </c>
      <c r="AD231" t="n">
        <v>99.40000000000001</v>
      </c>
      <c r="AE231" t="n">
        <v>300</v>
      </c>
      <c r="AF231" t="n">
        <v>71</v>
      </c>
      <c r="AG231" t="n">
        <v>75.09999999999999</v>
      </c>
      <c r="AH231" t="n">
        <v>104.2</v>
      </c>
      <c r="AI231" t="n">
        <v>300</v>
      </c>
      <c r="AJ231" t="n">
        <v>74.59999999999999</v>
      </c>
      <c r="AK231" t="n">
        <v>77.7</v>
      </c>
      <c r="AL231" t="n">
        <v>108.4</v>
      </c>
      <c r="AM231" t="n">
        <v>300</v>
      </c>
      <c r="AN231" t="n">
        <v>71.2</v>
      </c>
      <c r="AO231" t="n">
        <v>74.90000000000001</v>
      </c>
      <c r="AP231" t="n">
        <v>97.59999999999999</v>
      </c>
    </row>
    <row r="232">
      <c r="B232" t="inlineStr">
        <is>
          <t>F11_3</t>
        </is>
      </c>
      <c r="G232" t="inlineStr">
        <is>
          <t>21-mag-26</t>
        </is>
      </c>
      <c r="M232">
        <f>IF(R232&gt;0,(SQRT(CC232*(SUM(CD232:CI232)))),"")</f>
        <v/>
      </c>
      <c r="N232">
        <f>IF(T232&gt;0,(MAX(T232,Z232,AD232,AH232,AL232,AP232))+SQRT(1.2^2+1^2),"")</f>
        <v/>
      </c>
      <c r="O232">
        <f>IF(R232="",0,10*LOG58(SUM(BP232:BU232)/(COUNT(R232,X232,AB232,AF232,AJ232,AN232))))</f>
        <v/>
      </c>
      <c r="P232">
        <f>IF(AND(Y232="",AC232="",AG232="",AK232="",AO232=""),S232,AVERAGE(S232,Y232,AC232,AG232,AK232,AO232)+STDEV(S232,Y232,AC232,AG232,AK232,AO232))</f>
        <v/>
      </c>
      <c r="Q232" t="n">
        <v>300</v>
      </c>
      <c r="R232" t="n">
        <v>62.8</v>
      </c>
      <c r="S232" t="n">
        <v>70.5</v>
      </c>
      <c r="T232" t="n">
        <v>98.2</v>
      </c>
      <c r="W232" t="n">
        <v>300</v>
      </c>
      <c r="X232" t="n">
        <v>64.2</v>
      </c>
      <c r="Y232" t="n">
        <v>71.90000000000001</v>
      </c>
      <c r="Z232" t="n">
        <v>91.7</v>
      </c>
      <c r="AA232" t="n">
        <v>300</v>
      </c>
      <c r="AB232" t="n">
        <v>59.9</v>
      </c>
      <c r="AC232" t="n">
        <v>67.7</v>
      </c>
      <c r="AD232" t="n">
        <v>91.2</v>
      </c>
      <c r="AE232" t="n">
        <v>300</v>
      </c>
      <c r="AF232" t="n">
        <v>57.9</v>
      </c>
      <c r="AG232" t="n">
        <v>64.7</v>
      </c>
      <c r="AH232" t="n">
        <v>90.09999999999999</v>
      </c>
      <c r="AI232" t="n">
        <v>300</v>
      </c>
      <c r="AJ232" t="n">
        <v>58.6</v>
      </c>
      <c r="AK232" t="n">
        <v>67.59999999999999</v>
      </c>
      <c r="AL232" t="n">
        <v>89.2</v>
      </c>
      <c r="AM232" t="n">
        <v>300</v>
      </c>
      <c r="AN232" t="n">
        <v>60.9</v>
      </c>
      <c r="AO232" t="n">
        <v>67.40000000000001</v>
      </c>
      <c r="AP232" t="n">
        <v>96.59999999999999</v>
      </c>
    </row>
    <row r="233">
      <c r="B233" t="inlineStr">
        <is>
          <t>F12_3</t>
        </is>
      </c>
      <c r="G233" t="inlineStr">
        <is>
          <t>21-mag-26</t>
        </is>
      </c>
      <c r="M233">
        <f>IF(R233&gt;0,(SQRT(CC233*(SUM(CD233:CI233)))),"")</f>
        <v/>
      </c>
      <c r="N233">
        <f>IF(T233&gt;0,(MAX(T233,Z233,AD233,AH233,AL233,AP233))+SQRT(1.2^2+1^2),"")</f>
        <v/>
      </c>
      <c r="O233">
        <f>IF(R233="",0,10*LOG59(SUM(BP233:BU233)/(COUNT(R233,X233,AB233,AF233,AJ233,AN233))))</f>
        <v/>
      </c>
      <c r="P233">
        <f>IF(AND(Y233="",AC233="",AG233="",AK233="",AO233=""),S233,AVERAGE(S233,Y233,AC233,AG233,AK233,AO233)+STDEV(S233,Y233,AC233,AG233,AK233,AO233))</f>
        <v/>
      </c>
      <c r="Q233" t="n">
        <v>300</v>
      </c>
      <c r="R233" t="n">
        <v>73.5</v>
      </c>
      <c r="S233" t="n">
        <v>76.5</v>
      </c>
      <c r="T233" t="n">
        <v>96.7</v>
      </c>
      <c r="W233" t="n">
        <v>300</v>
      </c>
      <c r="X233" t="n">
        <v>74</v>
      </c>
      <c r="Y233" t="n">
        <v>76.3</v>
      </c>
      <c r="Z233" t="n">
        <v>105</v>
      </c>
      <c r="AA233" t="n">
        <v>300</v>
      </c>
      <c r="AB233" t="n">
        <v>73.40000000000001</v>
      </c>
      <c r="AC233" t="n">
        <v>76</v>
      </c>
      <c r="AD233" t="n">
        <v>98.8</v>
      </c>
      <c r="AE233" t="n">
        <v>300</v>
      </c>
      <c r="AF233" t="n">
        <v>72.59999999999999</v>
      </c>
      <c r="AG233" t="n">
        <v>76</v>
      </c>
      <c r="AH233" t="n">
        <v>99.3</v>
      </c>
      <c r="AI233" t="n">
        <v>300</v>
      </c>
      <c r="AJ233" t="n">
        <v>72.3</v>
      </c>
      <c r="AK233" t="n">
        <v>76</v>
      </c>
      <c r="AL233" t="n">
        <v>104.2</v>
      </c>
      <c r="AM233" t="n">
        <v>300</v>
      </c>
      <c r="AN233" t="n">
        <v>73.09999999999999</v>
      </c>
      <c r="AO233" t="n">
        <v>77</v>
      </c>
      <c r="AP233" t="n">
        <v>99.40000000000001</v>
      </c>
    </row>
    <row r="234">
      <c r="B234" t="inlineStr">
        <is>
          <t>F13_3</t>
        </is>
      </c>
      <c r="G234" t="inlineStr">
        <is>
          <t>21-mag-26</t>
        </is>
      </c>
      <c r="M234">
        <f>IF(R234&gt;0,(SQRT(CC234*(SUM(CD234:CI234)))),"")</f>
        <v/>
      </c>
      <c r="N234">
        <f>IF(T234&gt;0,(MAX(T234,Z234,AD234,AH234,AL234,AP234))+SQRT(1.2^2+1^2),"")</f>
        <v/>
      </c>
      <c r="O234">
        <f>IF(R234="",0,10*LOG60(SUM(BP234:BU234)/(COUNT(R234,X234,AB234,AF234,AJ234,AN234))))</f>
        <v/>
      </c>
      <c r="P234">
        <f>IF(AND(Y234="",AC234="",AG234="",AK234="",AO234=""),S234,AVERAGE(S234,Y234,AC234,AG234,AK234,AO234)+STDEV(S234,Y234,AC234,AG234,AK234,AO234))</f>
        <v/>
      </c>
      <c r="Q234" t="n">
        <v>300</v>
      </c>
      <c r="R234" t="n">
        <v>50.1</v>
      </c>
      <c r="S234" t="n">
        <v>55.3</v>
      </c>
      <c r="T234" t="n">
        <v>91.40000000000001</v>
      </c>
      <c r="W234" t="n">
        <v>300</v>
      </c>
      <c r="X234" t="n">
        <v>51.2</v>
      </c>
      <c r="Y234" t="n">
        <v>55.9</v>
      </c>
      <c r="Z234" t="n">
        <v>89.40000000000001</v>
      </c>
      <c r="AA234" t="n">
        <v>300</v>
      </c>
      <c r="AB234" t="n">
        <v>56.1</v>
      </c>
      <c r="AC234" t="n">
        <v>60.5</v>
      </c>
      <c r="AD234" t="n">
        <v>104.9</v>
      </c>
      <c r="AE234" t="n">
        <v>300</v>
      </c>
      <c r="AF234" t="n">
        <v>47.8</v>
      </c>
      <c r="AG234" t="n">
        <v>54.6</v>
      </c>
      <c r="AH234" t="n">
        <v>88.90000000000001</v>
      </c>
      <c r="AI234" t="n">
        <v>300</v>
      </c>
      <c r="AJ234" t="n">
        <v>47.4</v>
      </c>
      <c r="AK234" t="n">
        <v>54.3</v>
      </c>
      <c r="AL234" t="n">
        <v>91.90000000000001</v>
      </c>
      <c r="AM234" t="n">
        <v>300</v>
      </c>
      <c r="AN234" t="n">
        <v>44.7</v>
      </c>
      <c r="AO234" t="n">
        <v>55.4</v>
      </c>
      <c r="AP234" t="n">
        <v>90.90000000000001</v>
      </c>
    </row>
    <row r="235">
      <c r="B235" t="inlineStr">
        <is>
          <t>F14_3</t>
        </is>
      </c>
      <c r="G235" t="inlineStr">
        <is>
          <t>21-mag-26</t>
        </is>
      </c>
      <c r="M235">
        <f>IF(R235&gt;0,(SQRT(CC235*(SUM(CD235:CI235)))),"")</f>
        <v/>
      </c>
      <c r="N235">
        <f>IF(T235&gt;0,(MAX(T235,Z235,AD235,AH235,AL235,AP235))+SQRT(1.2^2+1^2),"")</f>
        <v/>
      </c>
      <c r="O235">
        <f>IF(R235="",0,10*LOG61(SUM(BP235:BU235)/(COUNT(R235,X235,AB235,AF235,AJ235,AN235))))</f>
        <v/>
      </c>
      <c r="P235">
        <f>IF(AND(Y235="",AC235="",AG235="",AK235="",AO235=""),S235,AVERAGE(S235,Y235,AC235,AG235,AK235,AO235)+STDEV(S235,Y235,AC235,AG235,AK235,AO235))</f>
        <v/>
      </c>
      <c r="Q235" t="n">
        <v>300</v>
      </c>
      <c r="R235" t="n">
        <v>80</v>
      </c>
      <c r="S235" t="n">
        <v>81</v>
      </c>
      <c r="T235" t="n">
        <v>115</v>
      </c>
      <c r="W235" t="n">
        <v>300</v>
      </c>
      <c r="X235" t="n">
        <v>83</v>
      </c>
      <c r="Y235" t="n">
        <v>83</v>
      </c>
      <c r="Z235" t="n">
        <v>118.4</v>
      </c>
      <c r="AA235" t="n">
        <v>300</v>
      </c>
      <c r="AB235" t="n">
        <v>83.7</v>
      </c>
      <c r="AC235" t="n">
        <v>83.40000000000001</v>
      </c>
      <c r="AD235" t="n">
        <v>115.1</v>
      </c>
      <c r="AE235" t="n">
        <v>300</v>
      </c>
      <c r="AF235" t="n">
        <v>83.3</v>
      </c>
      <c r="AG235" t="n">
        <v>83</v>
      </c>
      <c r="AH235" t="n">
        <v>113.2</v>
      </c>
      <c r="AI235" t="n">
        <v>300</v>
      </c>
      <c r="AJ235" t="n">
        <v>81.8</v>
      </c>
      <c r="AK235" t="n">
        <v>81.90000000000001</v>
      </c>
      <c r="AL235" t="n">
        <v>116</v>
      </c>
      <c r="AM235" t="n">
        <v>300</v>
      </c>
      <c r="AN235" t="n">
        <v>82.09999999999999</v>
      </c>
      <c r="AO235" t="n">
        <v>81.59999999999999</v>
      </c>
      <c r="AP235" t="n">
        <v>114.5</v>
      </c>
    </row>
    <row r="236">
      <c r="B236" t="inlineStr">
        <is>
          <t>F15_3</t>
        </is>
      </c>
      <c r="G236" t="inlineStr">
        <is>
          <t>21-mag-26</t>
        </is>
      </c>
      <c r="M236">
        <f>IF(R236&gt;0,(SQRT(CC236*(SUM(CD236:CI236)))),"")</f>
        <v/>
      </c>
      <c r="N236">
        <f>IF(T236&gt;0,(MAX(T236,Z236,AD236,AH236,AL236,AP236))+SQRT(1.2^2+1^2),"")</f>
        <v/>
      </c>
      <c r="O236">
        <f>IF(R236="",0,10*LOG62(SUM(BP236:BU236)/(COUNT(R236,X236,AB236,AF236,AJ236,AN236))))</f>
        <v/>
      </c>
      <c r="P236">
        <f>IF(AND(Y236="",AC236="",AG236="",AK236="",AO236=""),S236,AVERAGE(S236,Y236,AC236,AG236,AK236,AO236)+STDEV(S236,Y236,AC236,AG236,AK236,AO236))</f>
        <v/>
      </c>
      <c r="Q236" t="n">
        <v>300</v>
      </c>
      <c r="R236" t="n">
        <v>90.09999999999999</v>
      </c>
      <c r="S236" t="n">
        <v>88.59999999999999</v>
      </c>
      <c r="T236" t="n">
        <v>117.9</v>
      </c>
      <c r="W236" t="n">
        <v>300</v>
      </c>
      <c r="X236" t="n">
        <v>93.40000000000001</v>
      </c>
      <c r="Y236" t="n">
        <v>92</v>
      </c>
      <c r="Z236" t="n">
        <v>128.6</v>
      </c>
      <c r="AA236" t="n">
        <v>300</v>
      </c>
      <c r="AB236" t="n">
        <v>98.7</v>
      </c>
      <c r="AC236" t="n">
        <v>97.5</v>
      </c>
      <c r="AD236" t="n">
        <v>136.8</v>
      </c>
      <c r="AE236" t="n">
        <v>300</v>
      </c>
      <c r="AF236" t="n">
        <v>94</v>
      </c>
      <c r="AG236" t="n">
        <v>92.8</v>
      </c>
      <c r="AH236" t="n">
        <v>136.3</v>
      </c>
      <c r="AI236" t="n">
        <v>300</v>
      </c>
      <c r="AJ236" t="n">
        <v>87</v>
      </c>
      <c r="AK236" t="n">
        <v>86.90000000000001</v>
      </c>
      <c r="AL236" t="n">
        <v>127.9</v>
      </c>
      <c r="AM236" t="n">
        <v>300</v>
      </c>
      <c r="AN236" t="n">
        <v>87.40000000000001</v>
      </c>
      <c r="AO236" t="n">
        <v>87.2</v>
      </c>
      <c r="AP236" t="n">
        <v>126.8</v>
      </c>
    </row>
    <row r="237">
      <c r="B237" t="inlineStr">
        <is>
          <t>F16_3</t>
        </is>
      </c>
      <c r="G237" t="inlineStr">
        <is>
          <t>21-mag-26</t>
        </is>
      </c>
      <c r="M237">
        <f>IF(R237&gt;0,(SQRT(CC237*(SUM(CD237:CI237)))),"")</f>
        <v/>
      </c>
      <c r="N237">
        <f>IF(T237&gt;0,(MAX(T237,Z237,AD237,AH237,AL237,AP237))+SQRT(1.2^2+1^2),"")</f>
        <v/>
      </c>
      <c r="O237">
        <f>IF(R237="",0,10*LOG63(SUM(BP237:BU237)/(COUNT(R237,X237,AB237,AF237,AJ237,AN237))))</f>
        <v/>
      </c>
      <c r="P237">
        <f>IF(AND(Y237="",AC237="",AG237="",AK237="",AO237=""),S237,AVERAGE(S237,Y237,AC237,AG237,AK237,AO237)+STDEV(S237,Y237,AC237,AG237,AK237,AO237))</f>
        <v/>
      </c>
      <c r="Q237" t="n">
        <v>300</v>
      </c>
      <c r="R237" t="n">
        <v>104.3</v>
      </c>
      <c r="S237" t="n">
        <v>102.8</v>
      </c>
      <c r="T237" t="n">
        <v>121.9</v>
      </c>
      <c r="W237" t="n">
        <v>300</v>
      </c>
      <c r="X237" t="n">
        <v>113.5</v>
      </c>
      <c r="Y237" t="n">
        <v>111.8</v>
      </c>
      <c r="Z237" t="n">
        <v>133.4</v>
      </c>
      <c r="AA237" t="n">
        <v>300</v>
      </c>
      <c r="AB237" t="n">
        <v>116.3</v>
      </c>
      <c r="AC237" t="n">
        <v>114.5</v>
      </c>
      <c r="AD237" t="n">
        <v>133.3</v>
      </c>
      <c r="AE237" t="n">
        <v>300</v>
      </c>
      <c r="AF237" t="n">
        <v>116.8</v>
      </c>
      <c r="AG237" t="n">
        <v>115</v>
      </c>
      <c r="AH237" t="n">
        <v>134.6</v>
      </c>
      <c r="AI237" t="n">
        <v>300</v>
      </c>
      <c r="AJ237" t="n">
        <v>115.2</v>
      </c>
      <c r="AK237" t="n">
        <v>113.3</v>
      </c>
      <c r="AL237" t="n">
        <v>133</v>
      </c>
      <c r="AM237" t="n">
        <v>300</v>
      </c>
      <c r="AN237" t="n">
        <v>116.1</v>
      </c>
      <c r="AO237" t="n">
        <v>114.3</v>
      </c>
      <c r="AP237" t="n">
        <v>133.7</v>
      </c>
    </row>
    <row r="238">
      <c r="B238" t="inlineStr">
        <is>
          <t>F17_3</t>
        </is>
      </c>
      <c r="G238" t="inlineStr">
        <is>
          <t>21-mag-26</t>
        </is>
      </c>
      <c r="M238">
        <f>IF(R238&gt;0,(SQRT(CC238*(SUM(CD238:CI238)))),"")</f>
        <v/>
      </c>
      <c r="N238">
        <f>IF(T238&gt;0,(MAX(T238,Z238,AD238,AH238,AL238,AP238))+SQRT(1.2^2+1^2),"")</f>
        <v/>
      </c>
      <c r="O238">
        <f>IF(R238="",0,10*LOG64(SUM(BP238:BU238)/(COUNT(R238,X238,AB238,AF238,AJ238,AN238))))</f>
        <v/>
      </c>
      <c r="P238">
        <f>IF(AND(Y238="",AC238="",AG238="",AK238="",AO238=""),S238,AVERAGE(S238,Y238,AC238,AG238,AK238,AO238)+STDEV(S238,Y238,AC238,AG238,AK238,AO238))</f>
        <v/>
      </c>
      <c r="Q238" t="n">
        <v>300</v>
      </c>
      <c r="R238" t="n">
        <v>69</v>
      </c>
      <c r="S238" t="n">
        <v>73.8</v>
      </c>
      <c r="T238" t="n">
        <v>95.90000000000001</v>
      </c>
      <c r="W238" t="n">
        <v>300</v>
      </c>
      <c r="X238" t="n">
        <v>72.7</v>
      </c>
      <c r="Y238" t="n">
        <v>75.40000000000001</v>
      </c>
      <c r="Z238" t="n">
        <v>108.1</v>
      </c>
      <c r="AA238" t="n">
        <v>300</v>
      </c>
      <c r="AB238" t="n">
        <v>76.59999999999999</v>
      </c>
      <c r="AC238" t="n">
        <v>78.09999999999999</v>
      </c>
      <c r="AD238" t="n">
        <v>114</v>
      </c>
      <c r="AE238" t="n">
        <v>300</v>
      </c>
      <c r="AF238" t="n">
        <v>69.3</v>
      </c>
      <c r="AG238" t="n">
        <v>74.09999999999999</v>
      </c>
      <c r="AH238" t="n">
        <v>98.40000000000001</v>
      </c>
      <c r="AI238" t="n">
        <v>300</v>
      </c>
      <c r="AJ238" t="n">
        <v>73</v>
      </c>
      <c r="AK238" t="n">
        <v>75.7</v>
      </c>
      <c r="AL238" t="n">
        <v>99</v>
      </c>
      <c r="AM238" t="n">
        <v>300</v>
      </c>
      <c r="AN238" t="n">
        <v>68.7</v>
      </c>
      <c r="AO238" t="n">
        <v>73.7</v>
      </c>
      <c r="AP238" t="n">
        <v>94.7</v>
      </c>
    </row>
  </sheetData>
  <mergeCells count="27">
    <mergeCell ref="BP3:BU3"/>
    <mergeCell ref="B3:B4"/>
    <mergeCell ref="AA3:AD3"/>
    <mergeCell ref="N3:N4"/>
    <mergeCell ref="AI3:AL3"/>
    <mergeCell ref="F3:F4"/>
    <mergeCell ref="AM3:AP3"/>
    <mergeCell ref="AQ3:AQ4"/>
    <mergeCell ref="C1:AD2"/>
    <mergeCell ref="A3:A4"/>
    <mergeCell ref="G3:G4"/>
    <mergeCell ref="D3:D4"/>
    <mergeCell ref="AU1:BF2"/>
    <mergeCell ref="BV3:CA3"/>
    <mergeCell ref="CD3:CI3"/>
    <mergeCell ref="P3:P4"/>
    <mergeCell ref="AE3:AH3"/>
    <mergeCell ref="H3:H4"/>
    <mergeCell ref="AS3:AS4"/>
    <mergeCell ref="Q3:V3"/>
    <mergeCell ref="W3:Z3"/>
    <mergeCell ref="I3:L3"/>
    <mergeCell ref="C3:C4"/>
    <mergeCell ref="O3:O4"/>
    <mergeCell ref="E3:E4"/>
    <mergeCell ref="AR3:AR4"/>
    <mergeCell ref="AT3:AT4"/>
  </mergeCells>
  <conditionalFormatting sqref="AV6:AV184 BB6:BB184 BE6:BE184">
    <cfRule type="cellIs" priority="81" operator="between" dxfId="5">
      <formula>75.0000001</formula>
      <formula>79.99999999999</formula>
    </cfRule>
    <cfRule type="cellIs" priority="82" operator="between" dxfId="4">
      <formula>65.00000001</formula>
      <formula>69.999999</formula>
    </cfRule>
    <cfRule type="cellIs" priority="83" operator="between" dxfId="3">
      <formula>70</formula>
      <formula>75</formula>
    </cfRule>
    <cfRule type="cellIs" priority="84" operator="greaterThan" dxfId="2">
      <formula>80</formula>
    </cfRule>
    <cfRule type="cellIs" priority="80" operator="lessThan" dxfId="1226">
      <formula>65</formula>
    </cfRule>
  </conditionalFormatting>
  <conditionalFormatting sqref="AW6:AZ184 BC6:BF184 BI6:BL184 BO6:BO184">
    <cfRule type="cellIs" priority="74" operator="equal" dxfId="1238">
      <formula>0</formula>
    </cfRule>
  </conditionalFormatting>
  <conditionalFormatting sqref="AY6:AY184">
    <cfRule type="cellIs" priority="36" operator="between" dxfId="5">
      <formula>75.0000001</formula>
      <formula>79.99999999999</formula>
    </cfRule>
    <cfRule type="cellIs" priority="37" operator="between" dxfId="4">
      <formula>65.00000001</formula>
      <formula>69.999999</formula>
    </cfRule>
    <cfRule type="cellIs" priority="38" operator="between" dxfId="3">
      <formula>70</formula>
      <formula>75</formula>
    </cfRule>
    <cfRule type="cellIs" priority="39" operator="greaterThan" dxfId="2">
      <formula>80</formula>
    </cfRule>
    <cfRule type="cellIs" priority="40" operator="lessThan" dxfId="1226">
      <formula>65</formula>
    </cfRule>
  </conditionalFormatting>
  <conditionalFormatting sqref="BH6:BH184 BK6:BK184">
    <cfRule type="cellIs" priority="1" operator="lessThan" dxfId="1226">
      <formula>65</formula>
    </cfRule>
    <cfRule type="cellIs" priority="2" operator="between" dxfId="5">
      <formula>75.0000001</formula>
      <formula>79.99999999999</formula>
    </cfRule>
    <cfRule type="cellIs" priority="3" operator="between" dxfId="4">
      <formula>65.00000001</formula>
      <formula>69.999999</formula>
    </cfRule>
    <cfRule type="cellIs" priority="4" operator="between" dxfId="3">
      <formula>70</formula>
      <formula>75</formula>
    </cfRule>
    <cfRule type="cellIs" priority="5" operator="greaterThan" dxfId="2">
      <formula>80</formula>
    </cfRule>
  </conditionalFormatting>
  <conditionalFormatting sqref="BN6:BN184">
    <cfRule type="cellIs" priority="6" operator="lessThan" dxfId="1226">
      <formula>65</formula>
    </cfRule>
    <cfRule type="cellIs" priority="7" operator="between" dxfId="5">
      <formula>75.0000001</formula>
      <formula>79.99999999999</formula>
    </cfRule>
    <cfRule type="cellIs" priority="8" operator="between" dxfId="4">
      <formula>65.00000001</formula>
      <formula>69.999999</formula>
    </cfRule>
    <cfRule type="cellIs" priority="9" operator="between" dxfId="3">
      <formula>70</formula>
      <formula>75</formula>
    </cfRule>
    <cfRule type="cellIs" priority="10" operator="greaterThan" dxfId="2">
      <formula>80</formula>
    </cfRule>
  </conditionalFormatting>
  <printOptions horizontalCentered="1"/>
  <pageMargins left="0.3543307086614174" right="0.3937007874015748" top="0.7874015748031497" bottom="0.984251968503937" header="0.5118110236220472" footer="0.5118110236220472"/>
  <pageSetup orientation="landscape" paperSize="8" scale="28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0" zoomScaleNormal="75" workbookViewId="0">
      <pane xSplit="2" ySplit="10" topLeftCell="C51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5.140625" bestFit="1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M_01-01 - Addetto Movimentazione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86.2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F3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70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IF(K11&lt;80,0,IF((L11-K11)&lt;=2,($L$63-(($K$63-$L$63)/4)*(L11-K11-2)),($L$63-(($K$63-$M$63)/8)*(L11-K11-2))))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36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W14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120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W7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30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W10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90</v>
      </c>
      <c r="P14" s="25" t="n"/>
      <c r="Q14" s="25" t="n"/>
      <c r="R14" s="81">
        <f>IF(S14&gt;0,1,"")</f>
        <v/>
      </c>
      <c r="S14" s="111" t="n">
        <v>27</v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W11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IF(K15&lt;80,0,IF((L15-K15)&lt;=2,($L$63-(($K$63-$L$63)/4)*(L15-K15-2)),($L$63-(($K$63-$M$63)/8)*(L15-K15-2))))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54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F9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50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36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D18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>
        <v>50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36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D19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>
        <v>50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 t="array" ref="P71">IF(($AL$11-$AK$11)&lt;=2,(L72-((K72-T7L72)/4)*($AL$11-$AK$11-2)),(L72-((L72-M72)/8)*($AL$11-$AK$11-2)))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0.75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0.75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A5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33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M98:P98"/>
    <mergeCell ref="H79:I79"/>
    <mergeCell ref="E65:F65"/>
    <mergeCell ref="M107:P107"/>
    <mergeCell ref="K52:L52"/>
    <mergeCell ref="E81:P81"/>
    <mergeCell ref="E99:F99"/>
    <mergeCell ref="P71:P72"/>
    <mergeCell ref="N62:P63"/>
    <mergeCell ref="H72:I72"/>
    <mergeCell ref="M82:P82"/>
    <mergeCell ref="N103:N104"/>
    <mergeCell ref="M53:O53"/>
    <mergeCell ref="P103:P104"/>
    <mergeCell ref="E58:P58"/>
    <mergeCell ref="H96:I96"/>
    <mergeCell ref="M90:P90"/>
    <mergeCell ref="E50:P50"/>
    <mergeCell ref="E91:F91"/>
    <mergeCell ref="K53:L53"/>
    <mergeCell ref="H87:I87"/>
    <mergeCell ref="M99:P99"/>
    <mergeCell ref="M74:P74"/>
    <mergeCell ref="M52:O52"/>
    <mergeCell ref="H62:I6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H103:I103"/>
    <mergeCell ref="H78:I78"/>
    <mergeCell ref="E106:F106"/>
    <mergeCell ref="H43:O43"/>
    <mergeCell ref="E98:F98"/>
    <mergeCell ref="M106:P106"/>
    <mergeCell ref="N61:P61"/>
    <mergeCell ref="G98:G99"/>
    <mergeCell ref="N71:N72"/>
    <mergeCell ref="E82:F82"/>
    <mergeCell ref="E105:P105"/>
    <mergeCell ref="F52:J53"/>
    <mergeCell ref="M66:P66"/>
    <mergeCell ref="E49:P49"/>
    <mergeCell ref="P95:P96"/>
    <mergeCell ref="C9:D9"/>
    <mergeCell ref="H61:I61"/>
    <mergeCell ref="E101:P101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5" operator="containsText" dxfId="10" text="I">
      <formula>NOT(ISERROR(SEARCH("I",C11)))</formula>
    </cfRule>
    <cfRule type="containsText" priority="16" operator="containsText" dxfId="9" text="K">
      <formula>NOT(ISERROR(SEARCH("K",C11)))</formula>
    </cfRule>
  </conditionalFormatting>
  <conditionalFormatting sqref="C11:D40">
    <cfRule type="containsText" priority="17" operator="containsText" dxfId="8" text="T">
      <formula>NOT(ISERROR(SEARCH("T",C11)))</formula>
    </cfRule>
    <cfRule type="containsText" priority="20" operator="containsText" dxfId="2" text="L">
      <formula>NOT(ISERROR(SEARCH("L",C11)))</formula>
    </cfRule>
    <cfRule type="containsText" priority="19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9" operator="greaterThan" dxfId="2">
      <formula>80</formula>
    </cfRule>
    <cfRule type="cellIs" priority="58" operator="between" dxfId="3">
      <formula>70</formula>
      <formula>75</formula>
    </cfRule>
    <cfRule type="cellIs" priority="57" operator="between" dxfId="4">
      <formula>65.00000001</formula>
      <formula>69.999999</formula>
    </cfRule>
    <cfRule type="cellIs" priority="56" operator="between" dxfId="5">
      <formula>75.0000001</formula>
      <formula>79.99999999999</formula>
    </cfRule>
    <cfRule type="cellIs" priority="60" operator="lessThan" dxfId="2">
      <formula>65</formula>
    </cfRule>
  </conditionalFormatting>
  <conditionalFormatting sqref="J74">
    <cfRule type="cellIs" priority="55" operator="lessThan" dxfId="2">
      <formula>65</formula>
    </cfRule>
    <cfRule type="cellIs" priority="54" operator="greaterThan" dxfId="2">
      <formula>80</formula>
    </cfRule>
    <cfRule type="cellIs" priority="51" operator="between" dxfId="5">
      <formula>75.0000001</formula>
      <formula>79.99999999999</formula>
    </cfRule>
    <cfRule type="cellIs" priority="52" operator="between" dxfId="4">
      <formula>65.00000001</formula>
      <formula>69.999999</formula>
    </cfRule>
    <cfRule type="cellIs" priority="53" operator="between" dxfId="3">
      <formula>70</formula>
      <formula>75</formula>
    </cfRule>
  </conditionalFormatting>
  <conditionalFormatting sqref="J82">
    <cfRule type="cellIs" priority="46" operator="between" dxfId="5">
      <formula>75.0000001</formula>
      <formula>79.99999999999</formula>
    </cfRule>
    <cfRule type="cellIs" priority="47" operator="between" dxfId="4">
      <formula>65.00000001</formula>
      <formula>69.999999</formula>
    </cfRule>
    <cfRule type="cellIs" priority="49" operator="greaterThan" dxfId="2">
      <formula>80</formula>
    </cfRule>
    <cfRule type="cellIs" priority="50" operator="lessThan" dxfId="2">
      <formula>65</formula>
    </cfRule>
    <cfRule type="cellIs" priority="48" operator="between" dxfId="3">
      <formula>70</formula>
      <formula>75</formula>
    </cfRule>
  </conditionalFormatting>
  <conditionalFormatting sqref="J90">
    <cfRule type="cellIs" priority="41" operator="between" dxfId="5">
      <formula>75.0000001</formula>
      <formula>79.99999999999</formula>
    </cfRule>
    <cfRule type="cellIs" priority="42" operator="between" dxfId="4">
      <formula>65.00000001</formula>
      <formula>69.999999</formula>
    </cfRule>
    <cfRule type="cellIs" priority="43" operator="between" dxfId="3">
      <formula>70</formula>
      <formula>75</formula>
    </cfRule>
    <cfRule type="cellIs" priority="44" operator="greaterThan" dxfId="2">
      <formula>80</formula>
    </cfRule>
    <cfRule type="cellIs" priority="45" operator="lessThan" dxfId="2">
      <formula>65</formula>
    </cfRule>
  </conditionalFormatting>
  <conditionalFormatting sqref="J98">
    <cfRule type="cellIs" priority="38" operator="between" dxfId="3">
      <formula>70</formula>
      <formula>75</formula>
    </cfRule>
    <cfRule type="cellIs" priority="32" operator="between" dxfId="4">
      <formula>65.00000001</formula>
      <formula>69.999999</formula>
    </cfRule>
    <cfRule type="cellIs" priority="34" operator="greaterThan" dxfId="2">
      <formula>80</formula>
    </cfRule>
    <cfRule type="cellIs" priority="35" operator="lessThan" dxfId="2">
      <formula>65</formula>
    </cfRule>
    <cfRule type="cellIs" priority="36" operator="between" dxfId="5">
      <formula>75.0000001</formula>
      <formula>79.99999999999</formula>
    </cfRule>
    <cfRule type="cellIs" priority="33" operator="between" dxfId="3">
      <formula>70</formula>
      <formula>75</formula>
    </cfRule>
    <cfRule type="cellIs" priority="37" operator="between" dxfId="4">
      <formula>65.00000001</formula>
      <formula>69.999999</formula>
    </cfRule>
    <cfRule type="cellIs" priority="31" operator="between" dxfId="5">
      <formula>75.0000001</formula>
      <formula>79.99999999999</formula>
    </cfRule>
  </conditionalFormatting>
  <conditionalFormatting sqref="J106">
    <cfRule type="cellIs" priority="21" operator="between" dxfId="5">
      <formula>75.0000001</formula>
      <formula>79.99999999999</formula>
    </cfRule>
    <cfRule type="cellIs" priority="22" operator="between" dxfId="4">
      <formula>65.00000001</formula>
      <formula>69.999999</formula>
    </cfRule>
    <cfRule type="cellIs" priority="23" operator="between" dxfId="3">
      <formula>70</formula>
      <formula>75</formula>
    </cfRule>
    <cfRule type="cellIs" priority="24" operator="greaterThan" dxfId="2">
      <formula>80</formula>
    </cfRule>
    <cfRule type="cellIs" priority="25" operator="lessThan" dxfId="2">
      <formula>65</formula>
    </cfRule>
    <cfRule type="cellIs" priority="28" operator="between" dxfId="3">
      <formula>70</formula>
      <formula>75</formula>
    </cfRule>
    <cfRule type="cellIs" priority="27" operator="between" dxfId="4">
      <formula>65.00000001</formula>
      <formula>69.999999</formula>
    </cfRule>
    <cfRule type="cellIs" priority="26" operator="between" dxfId="5">
      <formula>75.0000001</formula>
      <formula>79.99999999999</formula>
    </cfRule>
  </conditionalFormatting>
  <conditionalFormatting sqref="N11:N40">
    <cfRule type="cellIs" priority="9" operator="between" dxfId="4">
      <formula>65.00000001</formula>
      <formula>69.999999</formula>
    </cfRule>
    <cfRule type="cellIs" priority="10" operator="between" dxfId="5">
      <formula>75.0000001</formula>
      <formula>79.99999999999</formula>
    </cfRule>
    <cfRule type="cellIs" priority="12" operator="equal" dxfId="8">
      <formula>0</formula>
    </cfRule>
    <cfRule type="cellIs" priority="13" operator="between" dxfId="0">
      <formula>0.1</formula>
      <formula>65</formula>
    </cfRule>
    <cfRule type="cellIs" priority="14" operator="greaterThan" dxfId="2">
      <formula>80</formula>
    </cfRule>
    <cfRule type="cellIs" priority="11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70" zoomScaleNormal="75" zoomScaleSheetLayoutView="70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M_01-02 Carpentiere / Montatore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W3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IF(AND($O$44&gt;87,K11&gt;80),S11,0)</f>
        <v/>
      </c>
      <c r="N11" s="281">
        <f>IF(M11=0,0,K11-M11)</f>
        <v/>
      </c>
      <c r="O11" s="224" t="n">
        <v>90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F3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IF(AND($O$44&gt;87,K12&gt;80),S12,0)</f>
        <v/>
      </c>
      <c r="N12" s="281">
        <f>IF(M12=0,0,K12-M12)</f>
        <v/>
      </c>
      <c r="O12" s="225" t="n">
        <v>31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E6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IF(AND($O$44&gt;87,K13&gt;80),S13,0)</f>
        <v/>
      </c>
      <c r="N13" s="281">
        <f>IF(M13=0,0,K13-M13)</f>
        <v/>
      </c>
      <c r="O13" s="225" t="n">
        <v>20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W17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IF(AND($O$44&gt;87,K14&gt;80),S14,0)</f>
        <v/>
      </c>
      <c r="N14" s="281">
        <f>IF(M14=0,0,K14-M14)</f>
        <v/>
      </c>
      <c r="O14" s="225" t="n">
        <v>60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E4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IF(AND($O$44&gt;87,K15&gt;80),S15,0)</f>
        <v/>
      </c>
      <c r="N15" s="281">
        <f>IF(M15=0,0,K15-M15)</f>
        <v/>
      </c>
      <c r="O15" s="225" t="n">
        <v>40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D18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IF(AND($O$44&gt;87,K16&gt;80),S16,0)</f>
        <v/>
      </c>
      <c r="N16" s="281">
        <f>IF(M16=0,0,K16-M16)</f>
        <v/>
      </c>
      <c r="O16" s="225" t="n">
        <v>30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F4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IF(AND($O$44&gt;87,K17&gt;80),S17,0)</f>
        <v/>
      </c>
      <c r="N17" s="281">
        <f>IF(M17=0,0,K17-M17)</f>
        <v/>
      </c>
      <c r="O17" s="225" t="n">
        <v>20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F7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IF(AND($O$44&gt;87,K18&gt;80),S18,0)</f>
        <v/>
      </c>
      <c r="N18" s="281">
        <f>IF(M18=0,0,K18-M18)</f>
        <v/>
      </c>
      <c r="O18" s="225" t="n">
        <v>20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D1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>
        <v>30</v>
      </c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W2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>
        <v>40</v>
      </c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D3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5" t="n">
        <v>60</v>
      </c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t="36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D7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>
        <v>30</v>
      </c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W1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>
        <v>2</v>
      </c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t="36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E15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>
        <v>2</v>
      </c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W4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>
        <v>5</v>
      </c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42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0" zoomScaleNormal="7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M_01-03 Saldatore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W2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IF(AND($O$44&gt;87,K11&gt;80),S11,0)</f>
        <v/>
      </c>
      <c r="N11" s="281">
        <f>IF(M11=0,0,K11-M11)</f>
        <v/>
      </c>
      <c r="O11" s="224" t="n">
        <v>150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F3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IF(AND($O$44&gt;87,K12&gt;80),S12,0)</f>
        <v/>
      </c>
      <c r="N12" s="281">
        <f>IF(M12=0,0,K12-M12)</f>
        <v/>
      </c>
      <c r="O12" s="225" t="n">
        <v>100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W3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IF(AND($O$44&gt;87,K13&gt;80),S13,0)</f>
        <v/>
      </c>
      <c r="N13" s="281">
        <f>IF(M13=0,0,K13-M13)</f>
        <v/>
      </c>
      <c r="O13" s="225" t="n">
        <v>30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E6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IF(AND($O$44&gt;87,K14&gt;80),S14,0)</f>
        <v/>
      </c>
      <c r="N14" s="281">
        <f>IF(M14=0,0,K14-M14)</f>
        <v/>
      </c>
      <c r="O14" s="225" t="n">
        <v>30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D18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IF(AND($O$44&gt;87,K15&gt;80),S15,0)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E5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IF(AND($O$44&gt;87,K16&gt;80),S16,0)</f>
        <v/>
      </c>
      <c r="N16" s="281">
        <f>IF(M16=0,0,K16-M16)</f>
        <v/>
      </c>
      <c r="O16" s="225" t="n">
        <v>60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36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W6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IF(AND($O$44&gt;87,K17&gt;80),S17,0)</f>
        <v/>
      </c>
      <c r="N17" s="281">
        <f>IF(M17=0,0,K17-M17)</f>
        <v/>
      </c>
      <c r="O17" s="225" t="n">
        <v>60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E1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IF(AND($O$44&gt;87,K18&gt;80),S18,0)</f>
        <v/>
      </c>
      <c r="N18" s="281">
        <f>IF(M18=0,0,K18-M18)</f>
        <v/>
      </c>
      <c r="O18" s="225" t="n">
        <v>30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0" zoomScaleNormal="7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M_01-04 Gruista  (operatore a bordo)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D11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5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F3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5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W9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IF(M13=0,0,L13-M13)</f>
        <v/>
      </c>
      <c r="O13" s="225" t="n">
        <v>60</v>
      </c>
      <c r="P13" s="25" t="n"/>
      <c r="Q13" s="25" t="n"/>
      <c r="R13" s="81">
        <f>IF(S13&gt;0,1,"")</f>
        <v/>
      </c>
      <c r="S13" s="111" t="n">
        <v>27</v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W10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60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W8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54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F9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20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36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W15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>
        <v>60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36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W7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IF(M18=0,0,L18-M18)</f>
        <v/>
      </c>
      <c r="O18" s="225" t="n">
        <v>60</v>
      </c>
      <c r="P18" s="25" t="n"/>
      <c r="Q18" s="25" t="n"/>
      <c r="R18" s="81">
        <f>IF(S18&gt;0,1,"")</f>
        <v/>
      </c>
      <c r="S18" s="111" t="n">
        <v>27</v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t="36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W11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IF(M19=0,0,L19-M19)</f>
        <v/>
      </c>
      <c r="O19" s="225" t="n">
        <v>60</v>
      </c>
      <c r="P19" s="25" t="n"/>
      <c r="Q19" s="25" t="n"/>
      <c r="R19" s="81">
        <f>IF(S19&gt;0,1,"")</f>
        <v/>
      </c>
      <c r="S19" s="111" t="n">
        <v>27</v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t="36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W16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>
        <v>30</v>
      </c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E8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>
        <v>100</v>
      </c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0" zoomScaleNormal="75" workbookViewId="0">
      <pane xSplit="2" ySplit="10" topLeftCell="C55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M_01-05 Manutentore meccanico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36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W14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IF(AND($O$44&gt;87,K11&gt;80),S11,0)</f>
        <v/>
      </c>
      <c r="N11" s="281">
        <f>IF(M11=0,0,K11-M11)</f>
        <v/>
      </c>
      <c r="O11" s="224" t="n">
        <v>60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D12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IF(AND($O$44&gt;87,K12&gt;80),S12,0)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D13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IF(AND($O$44&gt;87,K13&gt;80),S13,0)</f>
        <v/>
      </c>
      <c r="N13" s="281">
        <f>IF(M13=0,0,K13-M13)</f>
        <v/>
      </c>
      <c r="O13" s="225" t="n">
        <v>60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E11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IF(AND($O$44&gt;87,K14&gt;80),S14,0)</f>
        <v/>
      </c>
      <c r="N14" s="281">
        <f>IF(M14=0,0,K14-M14)</f>
        <v/>
      </c>
      <c r="O14" s="225" t="n">
        <v>20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IF(AND($O$44&gt;87,K15&gt;80),S15,0)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E13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IF(AND($O$44&gt;87,K16&gt;80),S16,0)</f>
        <v/>
      </c>
      <c r="N16" s="281">
        <f>IF(M16=0,0,K16-M16)</f>
        <v/>
      </c>
      <c r="O16" s="225" t="n">
        <v>60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W1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IF(AND($O$44&gt;87,K17&gt;80),S17,0)</f>
        <v/>
      </c>
      <c r="N17" s="281">
        <f>IF(M17=0,0,K17-M17)</f>
        <v/>
      </c>
      <c r="O17" s="225" t="n">
        <v>30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F12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IF(AND($O$44&gt;87,K18&gt;80),S18,0)</f>
        <v/>
      </c>
      <c r="N18" s="281">
        <f>IF(M18=0,0,K18-M18)</f>
        <v/>
      </c>
      <c r="O18" s="225" t="n">
        <v>150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A2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A3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0.65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A4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A5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0" zoomScaleNormal="7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M_01-06 Manutentore elettrico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36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W14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IF(AND($O$44&gt;87,K11&gt;80),S11,0)</f>
        <v/>
      </c>
      <c r="N11" s="281">
        <f>IF(M11=0,0,K11-M11)</f>
        <v/>
      </c>
      <c r="O11" s="224" t="n">
        <v>60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D12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IF(AND($O$44&gt;87,K12&gt;80),S12,0)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D13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IF(AND($O$44&gt;87,K13&gt;80),S13,0)</f>
        <v/>
      </c>
      <c r="N13" s="281">
        <f>IF(M13=0,0,K13-M13)</f>
        <v/>
      </c>
      <c r="O13" s="225" t="n">
        <v>60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E11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IF(AND($O$44&gt;87,K14&gt;80),S14,0)</f>
        <v/>
      </c>
      <c r="N14" s="281">
        <f>IF(M14=0,0,K14-M14)</f>
        <v/>
      </c>
      <c r="O14" s="225" t="n">
        <v>20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E12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IF(AND($O$44&gt;87,K15&gt;80),S15,0)</f>
        <v/>
      </c>
      <c r="N15" s="281">
        <f>IF(M15=0,0,K15-M15)</f>
        <v/>
      </c>
      <c r="O15" s="225" t="n">
        <v>50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E13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IF(AND($O$44&gt;87,K16&gt;80),S16,0)</f>
        <v/>
      </c>
      <c r="N16" s="281">
        <f>IF(M16=0,0,K16-M16)</f>
        <v/>
      </c>
      <c r="O16" s="225" t="n">
        <v>60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F12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IF(AND($O$44&gt;87,K17&gt;80),S17,0)</f>
        <v/>
      </c>
      <c r="N17" s="281">
        <f>IF(M17=0,0,K17-M17)</f>
        <v/>
      </c>
      <c r="O17" s="225" t="n">
        <v>150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W1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IF(AND($O$44&gt;87,K18&gt;80),S18,0)</f>
        <v/>
      </c>
      <c r="N18" s="281">
        <f>IF(M18=0,0,K18-M18)</f>
        <v/>
      </c>
      <c r="O18" s="225" t="n">
        <v>20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A2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A3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0.65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A4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A5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5" operator="containsText" dxfId="2" text="L">
      <formula>NOT(ISERROR(SEARCH("L",C11)))</formula>
    </cfRule>
    <cfRule type="containsText" priority="14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0" operator="greaterThan" dxfId="2">
      <formula>80</formula>
    </cfRule>
    <cfRule type="cellIs" priority="49" operator="between" dxfId="3">
      <formula>70</formula>
      <formula>75</formula>
    </cfRule>
    <cfRule type="cellIs" priority="48" operator="between" dxfId="4">
      <formula>65.00000001</formula>
      <formula>69.999999</formula>
    </cfRule>
    <cfRule type="cellIs" priority="47" operator="between" dxfId="5">
      <formula>75.0000001</formula>
      <formula>79.99999999999</formula>
    </cfRule>
    <cfRule type="cellIs" priority="51" operator="lessThan" dxfId="2">
      <formula>65</formula>
    </cfRule>
  </conditionalFormatting>
  <conditionalFormatting sqref="J74">
    <cfRule type="cellIs" priority="46" operator="lessThan" dxfId="2">
      <formula>65</formula>
    </cfRule>
    <cfRule type="cellIs" priority="45" operator="greaterThan" dxfId="2">
      <formula>80</formula>
    </cfRule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4" operator="between" dxfId="3">
      <formula>70</formula>
      <formula>75</formula>
    </cfRule>
  </conditionalFormatting>
  <conditionalFormatting sqref="J82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40" operator="greaterThan" dxfId="2">
      <formula>80</formula>
    </cfRule>
    <cfRule type="cellIs" priority="41" operator="lessThan" dxfId="2">
      <formula>65</formula>
    </cfRule>
    <cfRule type="cellIs" priority="39" operator="between" dxfId="3">
      <formula>70</formula>
      <formula>75</formula>
    </cfRule>
  </conditionalFormatting>
  <conditionalFormatting sqref="J90">
    <cfRule type="cellIs" priority="32" operator="between" dxfId="5">
      <formula>75.0000001</formula>
      <formula>79.99999999999</formula>
    </cfRule>
    <cfRule type="cellIs" priority="33" operator="between" dxfId="4">
      <formula>65.00000001</formula>
      <formula>69.999999</formula>
    </cfRule>
    <cfRule type="cellIs" priority="34" operator="between" dxfId="3">
      <formula>70</formula>
      <formula>75</formula>
    </cfRule>
    <cfRule type="cellIs" priority="35" operator="greaterThan" dxfId="2">
      <formula>80</formula>
    </cfRule>
    <cfRule type="cellIs" priority="36" operator="lessThan" dxfId="2">
      <formula>65</formula>
    </cfRule>
  </conditionalFormatting>
  <conditionalFormatting sqref="J98">
    <cfRule type="cellIs" priority="31" operator="between" dxfId="3">
      <formula>70</formula>
      <formula>75</formula>
    </cfRule>
    <cfRule type="cellIs" priority="25" operator="between" dxfId="4">
      <formula>65.00000001</formula>
      <formula>69.999999</formula>
    </cfRule>
    <cfRule type="cellIs" priority="27" operator="greaterThan" dxfId="2">
      <formula>80</formula>
    </cfRule>
    <cfRule type="cellIs" priority="28" operator="lessThan" dxfId="2">
      <formula>65</formula>
    </cfRule>
    <cfRule type="cellIs" priority="29" operator="between" dxfId="5">
      <formula>75.0000001</formula>
      <formula>79.99999999999</formula>
    </cfRule>
    <cfRule type="cellIs" priority="26" operator="between" dxfId="3">
      <formula>70</formula>
      <formula>75</formula>
    </cfRule>
    <cfRule type="cellIs" priority="30" operator="between" dxfId="4">
      <formula>65.00000001</formula>
      <formula>69.999999</formula>
    </cfRule>
    <cfRule type="cellIs" priority="24" operator="between" dxfId="5">
      <formula>75.0000001</formula>
      <formula>79.99999999999</formula>
    </cfRule>
  </conditionalFormatting>
  <conditionalFormatting sqref="J106">
    <cfRule type="cellIs" priority="16" operator="between" dxfId="5">
      <formula>75.0000001</formula>
      <formula>79.99999999999</formula>
    </cfRule>
    <cfRule type="cellIs" priority="17" operator="between" dxfId="4">
      <formula>65.00000001</formula>
      <formula>69.999999</formula>
    </cfRule>
    <cfRule type="cellIs" priority="18" operator="between" dxfId="3">
      <formula>70</formula>
      <formula>75</formula>
    </cfRule>
    <cfRule type="cellIs" priority="19" operator="greaterThan" dxfId="2">
      <formula>80</formula>
    </cfRule>
    <cfRule type="cellIs" priority="20" operator="lessThan" dxfId="2">
      <formula>65</formula>
    </cfRule>
    <cfRule type="cellIs" priority="23" operator="between" dxfId="3">
      <formula>70</formula>
      <formula>75</formula>
    </cfRule>
    <cfRule type="cellIs" priority="22" operator="between" dxfId="4">
      <formula>65.00000001</formula>
      <formula>69.999999</formula>
    </cfRule>
    <cfRule type="cellIs" priority="21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M_01-07 Addetto Lab. e Ispettore QC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36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F5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130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D11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E9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90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E6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100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D15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30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F3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70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M_01-08 Attività di responsabili e servizi uffici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E9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150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F3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120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D11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40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D9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60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E6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50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D18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60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M_01-09 Svolgimento delle operazioni nell'area di lavoro OFFICINA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F12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60</v>
      </c>
      <c r="P11" s="25" t="n">
        <v>120</v>
      </c>
      <c r="Q11" s="25" t="n">
        <v>60</v>
      </c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F3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105</v>
      </c>
      <c r="P12" s="25" t="n">
        <v>125</v>
      </c>
      <c r="Q12" s="25" t="n">
        <v>85</v>
      </c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E2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105</v>
      </c>
      <c r="P13" s="25" t="n">
        <v>125</v>
      </c>
      <c r="Q13" s="25" t="n">
        <v>85</v>
      </c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D11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105</v>
      </c>
      <c r="P14" s="25" t="n">
        <v>125</v>
      </c>
      <c r="Q14" s="25" t="n">
        <v>85</v>
      </c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D18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105</v>
      </c>
      <c r="P15" s="25" t="n">
        <v>125</v>
      </c>
      <c r="Q15" s="25" t="n">
        <v>85</v>
      </c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A2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A3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0.65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A4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A5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0" zoomScaleNormal="75" zoomScaleSheetLayoutView="50" workbookViewId="0">
      <pane xSplit="2" ySplit="10" topLeftCell="C42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M_01_10 Addetto alla Sabbiatura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w19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300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72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F16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F11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120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idden="1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⌂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/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6" operator="containsText" dxfId="10" text="I">
      <formula>NOT(ISERROR(SEARCH("I",C11)))</formula>
    </cfRule>
    <cfRule type="containsText" priority="17" operator="containsText" dxfId="9" text="K">
      <formula>NOT(ISERROR(SEARCH("K",C11)))</formula>
    </cfRule>
  </conditionalFormatting>
  <conditionalFormatting sqref="C11:D40">
    <cfRule type="containsText" priority="21" operator="containsText" dxfId="2" text="L">
      <formula>NOT(ISERROR(SEARCH("L",C11)))</formula>
    </cfRule>
    <cfRule type="containsText" priority="18" operator="containsText" dxfId="8" text="T">
      <formula>NOT(ISERROR(SEARCH("T",C11)))</formula>
    </cfRule>
    <cfRule type="containsText" priority="20" operator="containsText" dxfId="3" text="J">
      <formula>NOT(ISERROR(SEARCH("J",C11)))</formula>
    </cfRule>
  </conditionalFormatting>
  <conditionalFormatting sqref="H46:O47">
    <cfRule type="containsText" priority="7" operator="containsText" dxfId="66" text="CLASSE DI RISCHIO MEDIO">
      <formula>NOT(ISERROR(SEARCH("CLASSE DI RISCHIO MEDIO",H46)))</formula>
    </cfRule>
    <cfRule type="containsText" priority="6" operator="containsText" dxfId="64" text="CLASSE DI RISCHIO ALTO">
      <formula>NOT(ISERROR(SEARCH("CLASSE DI RISCHIO ALTO",H46)))</formula>
    </cfRule>
    <cfRule type="containsText" priority="8" operator="containsText" dxfId="65" text="Classe di rischio basso">
      <formula>NOT(ISERROR(SEARCH("Classe di rischio basso",H46)))</formula>
    </cfRule>
    <cfRule type="colorScale" priority="9">
      <colorScale>
        <cfvo type="num" val="80"/>
        <cfvo type="num" val="85"/>
        <cfvo type="num" val="87"/>
        <color rgb="FF28F846"/>
        <color rgb="FF0070C0"/>
        <color rgb="FFFF0000"/>
      </colorScale>
    </cfRule>
  </conditionalFormatting>
  <conditionalFormatting sqref="J65">
    <cfRule type="cellIs" priority="2" operator="between" dxfId="4">
      <formula>65.00000001</formula>
      <formula>69.999999</formula>
    </cfRule>
    <cfRule type="cellIs" priority="3" operator="between" dxfId="3">
      <formula>70</formula>
      <formula>75</formula>
    </cfRule>
    <cfRule type="cellIs" priority="4" operator="greaterThan" dxfId="2">
      <formula>80</formula>
    </cfRule>
    <cfRule type="cellIs" priority="5" operator="lessThan" dxfId="2">
      <formula>65</formula>
    </cfRule>
    <cfRule type="cellIs" priority="1" operator="between" dxfId="5">
      <formula>75.0000001</formula>
      <formula>79.99999999999</formula>
    </cfRule>
  </conditionalFormatting>
  <conditionalFormatting sqref="J74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82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90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8">
    <cfRule type="cellIs" priority="34" operator="between" dxfId="3">
      <formula>70</formula>
      <formula>75</formula>
    </cfRule>
    <cfRule type="cellIs" priority="36" operator="lessThan" dxfId="2">
      <formula>65</formula>
    </cfRule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32" operator="between" dxfId="5">
      <formula>75.0000001</formula>
      <formula>79.99999999999</formula>
    </cfRule>
    <cfRule type="cellIs" priority="35" operator="greaterThan" dxfId="2">
      <formula>80</formula>
    </cfRule>
    <cfRule type="cellIs" priority="33" operator="between" dxfId="4">
      <formula>65.00000001</formula>
      <formula>69.999999</formula>
    </cfRule>
  </conditionalFormatting>
  <conditionalFormatting sqref="J106">
    <cfRule type="cellIs" priority="27" operator="between" dxfId="5">
      <formula>75.0000001</formula>
      <formula>79.99999999999</formula>
    </cfRule>
    <cfRule type="cellIs" priority="26" operator="lessThan" dxfId="2">
      <formula>65</formula>
    </cfRule>
    <cfRule type="cellIs" priority="28" operator="between" dxfId="4">
      <formula>65.00000001</formula>
      <formula>69.999999</formula>
    </cfRule>
    <cfRule type="cellIs" priority="29" operator="between" dxfId="3">
      <formula>70</formula>
      <formula>75</formula>
    </cfRule>
    <cfRule type="cellIs" priority="25" operator="greaterThan" dxfId="2">
      <formula>80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10" operator="between" dxfId="4">
      <formula>65.00000001</formula>
      <formula>69.999999</formula>
    </cfRule>
    <cfRule type="cellIs" priority="11" operator="between" dxfId="5">
      <formula>75.0000001</formula>
      <formula>79.99999999999</formula>
    </cfRule>
    <cfRule type="cellIs" priority="12" operator="between" dxfId="3">
      <formula>70</formula>
      <formula>75</formula>
    </cfRule>
    <cfRule type="cellIs" priority="13" operator="equal" dxfId="8">
      <formula>0</formula>
    </cfRule>
    <cfRule type="cellIs" priority="14" operator="between" dxfId="0">
      <formula>0.1</formula>
      <formula>65</formula>
    </cfRule>
    <cfRule type="cellIs" priority="15" operator="greaterThan" dxfId="2">
      <formula>80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M_01_11 Addetto alla Verniciatura (Officina)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W20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320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54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D16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30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D17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30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E17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72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F17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90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M_02-01 Addetto alla movimentazione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36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W8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60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36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W7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100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W11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60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D18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120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W10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60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D9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80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16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M_02-02 Carpentiere / montatore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D4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15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D5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54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F9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135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W2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100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D9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150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F18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20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3" zoomScaleNormal="75" zoomScaleSheetLayoutView="53" workbookViewId="0">
      <pane xSplit="2" ySplit="10" topLeftCell="C15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12.5703125" bestFit="1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M_02-03 Saldatore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W2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240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D4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D5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30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D18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90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D9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90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F18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20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A1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M_02-04 Gruista (operatore a bordo)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54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110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36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W10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IF(M12=0,0,L12-M12)</f>
        <v/>
      </c>
      <c r="O12" s="225" t="n">
        <v>150</v>
      </c>
      <c r="P12" s="25" t="n"/>
      <c r="Q12" s="25" t="n"/>
      <c r="R12" s="81">
        <f>IF(S12&gt;0,1,"")</f>
        <v/>
      </c>
      <c r="S12" s="111" t="n">
        <v>27</v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F18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20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D9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200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0.65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1" zoomScaleNormal="75" zoomScaleSheetLayoutView="61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7109375" bestFit="1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M_02-05 Manutentore elettrico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E8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85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85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W3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F18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15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E12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50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E13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205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F14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>
        <v>30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5.5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1" zoomScaleNormal="75" zoomScaleSheetLayoutView="61" workbookViewId="0">
      <pane xSplit="2" ySplit="10" topLeftCell="C49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7109375" bestFit="1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M_02-06 Ispettore QC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54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120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120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F5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150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E6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70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F18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5" operator="containsText" dxfId="2" text="L">
      <formula>NOT(ISERROR(SEARCH("L",C11)))</formula>
    </cfRule>
    <cfRule type="containsText" priority="14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0" operator="greaterThan" dxfId="2">
      <formula>80</formula>
    </cfRule>
    <cfRule type="cellIs" priority="49" operator="between" dxfId="3">
      <formula>70</formula>
      <formula>75</formula>
    </cfRule>
    <cfRule type="cellIs" priority="48" operator="between" dxfId="4">
      <formula>65.00000001</formula>
      <formula>69.999999</formula>
    </cfRule>
    <cfRule type="cellIs" priority="47" operator="between" dxfId="5">
      <formula>75.0000001</formula>
      <formula>79.99999999999</formula>
    </cfRule>
    <cfRule type="cellIs" priority="51" operator="lessThan" dxfId="2">
      <formula>65</formula>
    </cfRule>
  </conditionalFormatting>
  <conditionalFormatting sqref="J74">
    <cfRule type="cellIs" priority="46" operator="lessThan" dxfId="2">
      <formula>65</formula>
    </cfRule>
    <cfRule type="cellIs" priority="45" operator="greaterThan" dxfId="2">
      <formula>80</formula>
    </cfRule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4" operator="between" dxfId="3">
      <formula>70</formula>
      <formula>75</formula>
    </cfRule>
  </conditionalFormatting>
  <conditionalFormatting sqref="J82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40" operator="greaterThan" dxfId="2">
      <formula>80</formula>
    </cfRule>
    <cfRule type="cellIs" priority="41" operator="lessThan" dxfId="2">
      <formula>65</formula>
    </cfRule>
    <cfRule type="cellIs" priority="39" operator="between" dxfId="3">
      <formula>70</formula>
      <formula>75</formula>
    </cfRule>
  </conditionalFormatting>
  <conditionalFormatting sqref="J90">
    <cfRule type="cellIs" priority="32" operator="between" dxfId="5">
      <formula>75.0000001</formula>
      <formula>79.99999999999</formula>
    </cfRule>
    <cfRule type="cellIs" priority="33" operator="between" dxfId="4">
      <formula>65.00000001</formula>
      <formula>69.999999</formula>
    </cfRule>
    <cfRule type="cellIs" priority="34" operator="between" dxfId="3">
      <formula>70</formula>
      <formula>75</formula>
    </cfRule>
    <cfRule type="cellIs" priority="35" operator="greaterThan" dxfId="2">
      <formula>80</formula>
    </cfRule>
    <cfRule type="cellIs" priority="36" operator="lessThan" dxfId="2">
      <formula>65</formula>
    </cfRule>
  </conditionalFormatting>
  <conditionalFormatting sqref="J98">
    <cfRule type="cellIs" priority="31" operator="between" dxfId="3">
      <formula>70</formula>
      <formula>75</formula>
    </cfRule>
    <cfRule type="cellIs" priority="25" operator="between" dxfId="4">
      <formula>65.00000001</formula>
      <formula>69.999999</formula>
    </cfRule>
    <cfRule type="cellIs" priority="27" operator="greaterThan" dxfId="2">
      <formula>80</formula>
    </cfRule>
    <cfRule type="cellIs" priority="28" operator="lessThan" dxfId="2">
      <formula>65</formula>
    </cfRule>
    <cfRule type="cellIs" priority="29" operator="between" dxfId="5">
      <formula>75.0000001</formula>
      <formula>79.99999999999</formula>
    </cfRule>
    <cfRule type="cellIs" priority="26" operator="between" dxfId="3">
      <formula>70</formula>
      <formula>75</formula>
    </cfRule>
    <cfRule type="cellIs" priority="30" operator="between" dxfId="4">
      <formula>65.00000001</formula>
      <formula>69.999999</formula>
    </cfRule>
    <cfRule type="cellIs" priority="24" operator="between" dxfId="5">
      <formula>75.0000001</formula>
      <formula>79.99999999999</formula>
    </cfRule>
  </conditionalFormatting>
  <conditionalFormatting sqref="J106">
    <cfRule type="cellIs" priority="16" operator="between" dxfId="5">
      <formula>75.0000001</formula>
      <formula>79.99999999999</formula>
    </cfRule>
    <cfRule type="cellIs" priority="17" operator="between" dxfId="4">
      <formula>65.00000001</formula>
      <formula>69.999999</formula>
    </cfRule>
    <cfRule type="cellIs" priority="18" operator="between" dxfId="3">
      <formula>70</formula>
      <formula>75</formula>
    </cfRule>
    <cfRule type="cellIs" priority="19" operator="greaterThan" dxfId="2">
      <formula>80</formula>
    </cfRule>
    <cfRule type="cellIs" priority="20" operator="lessThan" dxfId="2">
      <formula>65</formula>
    </cfRule>
    <cfRule type="cellIs" priority="23" operator="between" dxfId="3">
      <formula>70</formula>
      <formula>75</formula>
    </cfRule>
    <cfRule type="cellIs" priority="22" operator="between" dxfId="4">
      <formula>65.00000001</formula>
      <formula>69.999999</formula>
    </cfRule>
    <cfRule type="cellIs" priority="21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7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M_02-07 Servizi Ufficio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54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120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130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F18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20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F5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210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1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7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M_02-08 Solgimento delle operazioni nell'area di lavoro CANTIERE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54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120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130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F18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20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F5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210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0.75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5" operator="containsText" dxfId="2" text="L">
      <formula>NOT(ISERROR(SEARCH("L",C11)))</formula>
    </cfRule>
    <cfRule type="containsText" priority="14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0" operator="greaterThan" dxfId="2">
      <formula>80</formula>
    </cfRule>
    <cfRule type="cellIs" priority="49" operator="between" dxfId="3">
      <formula>70</formula>
      <formula>75</formula>
    </cfRule>
    <cfRule type="cellIs" priority="48" operator="between" dxfId="4">
      <formula>65.00000001</formula>
      <formula>69.999999</formula>
    </cfRule>
    <cfRule type="cellIs" priority="47" operator="between" dxfId="5">
      <formula>75.0000001</formula>
      <formula>79.99999999999</formula>
    </cfRule>
    <cfRule type="cellIs" priority="51" operator="lessThan" dxfId="2">
      <formula>65</formula>
    </cfRule>
  </conditionalFormatting>
  <conditionalFormatting sqref="J74">
    <cfRule type="cellIs" priority="46" operator="lessThan" dxfId="2">
      <formula>65</formula>
    </cfRule>
    <cfRule type="cellIs" priority="45" operator="greaterThan" dxfId="2">
      <formula>80</formula>
    </cfRule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4" operator="between" dxfId="3">
      <formula>70</formula>
      <formula>75</formula>
    </cfRule>
  </conditionalFormatting>
  <conditionalFormatting sqref="J82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40" operator="greaterThan" dxfId="2">
      <formula>80</formula>
    </cfRule>
    <cfRule type="cellIs" priority="41" operator="lessThan" dxfId="2">
      <formula>65</formula>
    </cfRule>
    <cfRule type="cellIs" priority="39" operator="between" dxfId="3">
      <formula>70</formula>
      <formula>75</formula>
    </cfRule>
  </conditionalFormatting>
  <conditionalFormatting sqref="J90">
    <cfRule type="cellIs" priority="32" operator="between" dxfId="5">
      <formula>75.0000001</formula>
      <formula>79.99999999999</formula>
    </cfRule>
    <cfRule type="cellIs" priority="33" operator="between" dxfId="4">
      <formula>65.00000001</formula>
      <formula>69.999999</formula>
    </cfRule>
    <cfRule type="cellIs" priority="34" operator="between" dxfId="3">
      <formula>70</formula>
      <formula>75</formula>
    </cfRule>
    <cfRule type="cellIs" priority="35" operator="greaterThan" dxfId="2">
      <formula>80</formula>
    </cfRule>
    <cfRule type="cellIs" priority="36" operator="lessThan" dxfId="2">
      <formula>65</formula>
    </cfRule>
  </conditionalFormatting>
  <conditionalFormatting sqref="J98">
    <cfRule type="cellIs" priority="31" operator="between" dxfId="3">
      <formula>70</formula>
      <formula>75</formula>
    </cfRule>
    <cfRule type="cellIs" priority="25" operator="between" dxfId="4">
      <formula>65.00000001</formula>
      <formula>69.999999</formula>
    </cfRule>
    <cfRule type="cellIs" priority="27" operator="greaterThan" dxfId="2">
      <formula>80</formula>
    </cfRule>
    <cfRule type="cellIs" priority="28" operator="lessThan" dxfId="2">
      <formula>65</formula>
    </cfRule>
    <cfRule type="cellIs" priority="29" operator="between" dxfId="5">
      <formula>75.0000001</formula>
      <formula>79.99999999999</formula>
    </cfRule>
    <cfRule type="cellIs" priority="26" operator="between" dxfId="3">
      <formula>70</formula>
      <formula>75</formula>
    </cfRule>
    <cfRule type="cellIs" priority="30" operator="between" dxfId="4">
      <formula>65.00000001</formula>
      <formula>69.999999</formula>
    </cfRule>
    <cfRule type="cellIs" priority="24" operator="between" dxfId="5">
      <formula>75.0000001</formula>
      <formula>79.99999999999</formula>
    </cfRule>
  </conditionalFormatting>
  <conditionalFormatting sqref="J106">
    <cfRule type="cellIs" priority="16" operator="between" dxfId="5">
      <formula>75.0000001</formula>
      <formula>79.99999999999</formula>
    </cfRule>
    <cfRule type="cellIs" priority="17" operator="between" dxfId="4">
      <formula>65.00000001</formula>
      <formula>69.999999</formula>
    </cfRule>
    <cfRule type="cellIs" priority="18" operator="between" dxfId="3">
      <formula>70</formula>
      <formula>75</formula>
    </cfRule>
    <cfRule type="cellIs" priority="19" operator="greaterThan" dxfId="2">
      <formula>80</formula>
    </cfRule>
    <cfRule type="cellIs" priority="20" operator="lessThan" dxfId="2">
      <formula>65</formula>
    </cfRule>
    <cfRule type="cellIs" priority="23" operator="between" dxfId="3">
      <formula>70</formula>
      <formula>75</formula>
    </cfRule>
    <cfRule type="cellIs" priority="22" operator="between" dxfId="4">
      <formula>65.00000001</formula>
      <formula>69.999999</formula>
    </cfRule>
    <cfRule type="cellIs" priority="21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1" zoomScaleNormal="75" zoomScaleSheetLayoutView="61" workbookViewId="0">
      <pane xSplit="2" ySplit="10" topLeftCell="C49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7109375" bestFit="1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M_02-09 Interventi di manutenzione meccanica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54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10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65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W3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15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36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F18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20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E13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170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36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E12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170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F14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>
        <v>30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5" operator="containsText" dxfId="2" text="L">
      <formula>NOT(ISERROR(SEARCH("L",C11)))</formula>
    </cfRule>
    <cfRule type="containsText" priority="14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0" operator="greaterThan" dxfId="2">
      <formula>80</formula>
    </cfRule>
    <cfRule type="cellIs" priority="49" operator="between" dxfId="3">
      <formula>70</formula>
      <formula>75</formula>
    </cfRule>
    <cfRule type="cellIs" priority="48" operator="between" dxfId="4">
      <formula>65.00000001</formula>
      <formula>69.999999</formula>
    </cfRule>
    <cfRule type="cellIs" priority="47" operator="between" dxfId="5">
      <formula>75.0000001</formula>
      <formula>79.99999999999</formula>
    </cfRule>
    <cfRule type="cellIs" priority="51" operator="lessThan" dxfId="2">
      <formula>65</formula>
    </cfRule>
  </conditionalFormatting>
  <conditionalFormatting sqref="J74">
    <cfRule type="cellIs" priority="46" operator="lessThan" dxfId="2">
      <formula>65</formula>
    </cfRule>
    <cfRule type="cellIs" priority="45" operator="greaterThan" dxfId="2">
      <formula>80</formula>
    </cfRule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4" operator="between" dxfId="3">
      <formula>70</formula>
      <formula>75</formula>
    </cfRule>
  </conditionalFormatting>
  <conditionalFormatting sqref="J82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40" operator="greaterThan" dxfId="2">
      <formula>80</formula>
    </cfRule>
    <cfRule type="cellIs" priority="41" operator="lessThan" dxfId="2">
      <formula>65</formula>
    </cfRule>
    <cfRule type="cellIs" priority="39" operator="between" dxfId="3">
      <formula>70</formula>
      <formula>75</formula>
    </cfRule>
  </conditionalFormatting>
  <conditionalFormatting sqref="J90">
    <cfRule type="cellIs" priority="32" operator="between" dxfId="5">
      <formula>75.0000001</formula>
      <formula>79.99999999999</formula>
    </cfRule>
    <cfRule type="cellIs" priority="33" operator="between" dxfId="4">
      <formula>65.00000001</formula>
      <formula>69.999999</formula>
    </cfRule>
    <cfRule type="cellIs" priority="34" operator="between" dxfId="3">
      <formula>70</formula>
      <formula>75</formula>
    </cfRule>
    <cfRule type="cellIs" priority="35" operator="greaterThan" dxfId="2">
      <formula>80</formula>
    </cfRule>
    <cfRule type="cellIs" priority="36" operator="lessThan" dxfId="2">
      <formula>65</formula>
    </cfRule>
  </conditionalFormatting>
  <conditionalFormatting sqref="J98">
    <cfRule type="cellIs" priority="31" operator="between" dxfId="3">
      <formula>70</formula>
      <formula>75</formula>
    </cfRule>
    <cfRule type="cellIs" priority="25" operator="between" dxfId="4">
      <formula>65.00000001</formula>
      <formula>69.999999</formula>
    </cfRule>
    <cfRule type="cellIs" priority="27" operator="greaterThan" dxfId="2">
      <formula>80</formula>
    </cfRule>
    <cfRule type="cellIs" priority="28" operator="lessThan" dxfId="2">
      <formula>65</formula>
    </cfRule>
    <cfRule type="cellIs" priority="29" operator="between" dxfId="5">
      <formula>75.0000001</formula>
      <formula>79.99999999999</formula>
    </cfRule>
    <cfRule type="cellIs" priority="26" operator="between" dxfId="3">
      <formula>70</formula>
      <formula>75</formula>
    </cfRule>
    <cfRule type="cellIs" priority="30" operator="between" dxfId="4">
      <formula>65.00000001</formula>
      <formula>69.999999</formula>
    </cfRule>
    <cfRule type="cellIs" priority="24" operator="between" dxfId="5">
      <formula>75.0000001</formula>
      <formula>79.99999999999</formula>
    </cfRule>
  </conditionalFormatting>
  <conditionalFormatting sqref="J106">
    <cfRule type="cellIs" priority="16" operator="between" dxfId="5">
      <formula>75.0000001</formula>
      <formula>79.99999999999</formula>
    </cfRule>
    <cfRule type="cellIs" priority="17" operator="between" dxfId="4">
      <formula>65.00000001</formula>
      <formula>69.999999</formula>
    </cfRule>
    <cfRule type="cellIs" priority="18" operator="between" dxfId="3">
      <formula>70</formula>
      <formula>75</formula>
    </cfRule>
    <cfRule type="cellIs" priority="19" operator="greaterThan" dxfId="2">
      <formula>80</formula>
    </cfRule>
    <cfRule type="cellIs" priority="20" operator="lessThan" dxfId="2">
      <formula>65</formula>
    </cfRule>
    <cfRule type="cellIs" priority="23" operator="between" dxfId="3">
      <formula>70</formula>
      <formula>75</formula>
    </cfRule>
    <cfRule type="cellIs" priority="22" operator="between" dxfId="4">
      <formula>65.00000001</formula>
      <formula>69.999999</formula>
    </cfRule>
    <cfRule type="cellIs" priority="21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61" zoomScaleNormal="75" zoomScaleSheetLayoutView="61" workbookViewId="0">
      <pane xSplit="2" ySplit="10" topLeftCell="C5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7109375" bestFit="1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M_02-10 Addetto alla coibentazione (Cantieri)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36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E12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215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210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W34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5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W13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30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F18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20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5" operator="containsText" dxfId="2" text="L">
      <formula>NOT(ISERROR(SEARCH("L",C11)))</formula>
    </cfRule>
    <cfRule type="containsText" priority="14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0" operator="greaterThan" dxfId="2">
      <formula>80</formula>
    </cfRule>
    <cfRule type="cellIs" priority="49" operator="between" dxfId="3">
      <formula>70</formula>
      <formula>75</formula>
    </cfRule>
    <cfRule type="cellIs" priority="48" operator="between" dxfId="4">
      <formula>65.00000001</formula>
      <formula>69.999999</formula>
    </cfRule>
    <cfRule type="cellIs" priority="47" operator="between" dxfId="5">
      <formula>75.0000001</formula>
      <formula>79.99999999999</formula>
    </cfRule>
    <cfRule type="cellIs" priority="51" operator="lessThan" dxfId="2">
      <formula>65</formula>
    </cfRule>
  </conditionalFormatting>
  <conditionalFormatting sqref="J74">
    <cfRule type="cellIs" priority="46" operator="lessThan" dxfId="2">
      <formula>65</formula>
    </cfRule>
    <cfRule type="cellIs" priority="45" operator="greaterThan" dxfId="2">
      <formula>80</formula>
    </cfRule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4" operator="between" dxfId="3">
      <formula>70</formula>
      <formula>75</formula>
    </cfRule>
  </conditionalFormatting>
  <conditionalFormatting sqref="J82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40" operator="greaterThan" dxfId="2">
      <formula>80</formula>
    </cfRule>
    <cfRule type="cellIs" priority="41" operator="lessThan" dxfId="2">
      <formula>65</formula>
    </cfRule>
    <cfRule type="cellIs" priority="39" operator="between" dxfId="3">
      <formula>70</formula>
      <formula>75</formula>
    </cfRule>
  </conditionalFormatting>
  <conditionalFormatting sqref="J90">
    <cfRule type="cellIs" priority="32" operator="between" dxfId="5">
      <formula>75.0000001</formula>
      <formula>79.99999999999</formula>
    </cfRule>
    <cfRule type="cellIs" priority="33" operator="between" dxfId="4">
      <formula>65.00000001</formula>
      <formula>69.999999</formula>
    </cfRule>
    <cfRule type="cellIs" priority="34" operator="between" dxfId="3">
      <formula>70</formula>
      <formula>75</formula>
    </cfRule>
    <cfRule type="cellIs" priority="35" operator="greaterThan" dxfId="2">
      <formula>80</formula>
    </cfRule>
    <cfRule type="cellIs" priority="36" operator="lessThan" dxfId="2">
      <formula>65</formula>
    </cfRule>
  </conditionalFormatting>
  <conditionalFormatting sqref="J98">
    <cfRule type="cellIs" priority="31" operator="between" dxfId="3">
      <formula>70</formula>
      <formula>75</formula>
    </cfRule>
    <cfRule type="cellIs" priority="25" operator="between" dxfId="4">
      <formula>65.00000001</formula>
      <formula>69.999999</formula>
    </cfRule>
    <cfRule type="cellIs" priority="27" operator="greaterThan" dxfId="2">
      <formula>80</formula>
    </cfRule>
    <cfRule type="cellIs" priority="28" operator="lessThan" dxfId="2">
      <formula>65</formula>
    </cfRule>
    <cfRule type="cellIs" priority="29" operator="between" dxfId="5">
      <formula>75.0000001</formula>
      <formula>79.99999999999</formula>
    </cfRule>
    <cfRule type="cellIs" priority="26" operator="between" dxfId="3">
      <formula>70</formula>
      <formula>75</formula>
    </cfRule>
    <cfRule type="cellIs" priority="30" operator="between" dxfId="4">
      <formula>65.00000001</formula>
      <formula>69.999999</formula>
    </cfRule>
    <cfRule type="cellIs" priority="24" operator="between" dxfId="5">
      <formula>75.0000001</formula>
      <formula>79.99999999999</formula>
    </cfRule>
  </conditionalFormatting>
  <conditionalFormatting sqref="J106">
    <cfRule type="cellIs" priority="16" operator="between" dxfId="5">
      <formula>75.0000001</formula>
      <formula>79.99999999999</formula>
    </cfRule>
    <cfRule type="cellIs" priority="17" operator="between" dxfId="4">
      <formula>65.00000001</formula>
      <formula>69.999999</formula>
    </cfRule>
    <cfRule type="cellIs" priority="18" operator="between" dxfId="3">
      <formula>70</formula>
      <formula>75</formula>
    </cfRule>
    <cfRule type="cellIs" priority="19" operator="greaterThan" dxfId="2">
      <formula>80</formula>
    </cfRule>
    <cfRule type="cellIs" priority="20" operator="lessThan" dxfId="2">
      <formula>65</formula>
    </cfRule>
    <cfRule type="cellIs" priority="23" operator="between" dxfId="3">
      <formula>70</formula>
      <formula>75</formula>
    </cfRule>
    <cfRule type="cellIs" priority="22" operator="between" dxfId="4">
      <formula>65.00000001</formula>
      <formula>69.999999</formula>
    </cfRule>
    <cfRule type="cellIs" priority="21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8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6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M_03-01 Impiegati (Palazzina Uffici)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F13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480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idden="1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⌂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/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idden="1" ht="27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⌂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/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idden="1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⌂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/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M98:P98"/>
    <mergeCell ref="H79:I79"/>
    <mergeCell ref="E65:F65"/>
    <mergeCell ref="M107:P107"/>
    <mergeCell ref="K52:L52"/>
    <mergeCell ref="E81:P81"/>
    <mergeCell ref="E99:F99"/>
    <mergeCell ref="P71:P72"/>
    <mergeCell ref="N62:P63"/>
    <mergeCell ref="H72:I72"/>
    <mergeCell ref="M82:P82"/>
    <mergeCell ref="N103:N104"/>
    <mergeCell ref="M53:O53"/>
    <mergeCell ref="P103:P104"/>
    <mergeCell ref="E58:P58"/>
    <mergeCell ref="H96:I96"/>
    <mergeCell ref="M90:P90"/>
    <mergeCell ref="E50:P50"/>
    <mergeCell ref="E91:F91"/>
    <mergeCell ref="K53:L53"/>
    <mergeCell ref="H87:I87"/>
    <mergeCell ref="M99:P99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H103:I103"/>
    <mergeCell ref="H78:I78"/>
    <mergeCell ref="E106:F106"/>
    <mergeCell ref="H43:O43"/>
    <mergeCell ref="E98:F98"/>
    <mergeCell ref="M106:P106"/>
    <mergeCell ref="N61:P61"/>
    <mergeCell ref="G98:G99"/>
    <mergeCell ref="N71:N72"/>
    <mergeCell ref="E82:F82"/>
    <mergeCell ref="E105:P105"/>
    <mergeCell ref="F52:J53"/>
    <mergeCell ref="M66:P66"/>
    <mergeCell ref="E49:P49"/>
    <mergeCell ref="P95:P96"/>
    <mergeCell ref="C9:D9"/>
    <mergeCell ref="H61:I61"/>
    <mergeCell ref="E101:P101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7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M_03-02 Impiegati tecnici - operativi (Palazzina Uffici)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F13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 t="n">
        <v>300</v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27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D9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36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E6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60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54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F9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60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idden="1" ht="27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⌂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/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idden="1" ht="27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⌂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/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idden="1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/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idden="1" ht="27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/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F112:F243" showDropDown="0" showInputMessage="1" showErrorMessage="1" allowBlank="1" type="list">
      <formula1>$L$3:$L$7</formula1>
    </dataValidation>
    <dataValidation sqref="E66:F66 E75 E83 E91 E99 E107" showDropDown="0" showInputMessage="1" showErrorMessage="1" allowBlank="1" type="list">
      <formula1>$K$3:$K$4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R57" showDropDown="0" showInputMessage="1" showErrorMessage="1" allowBlank="1" type="list">
      <formula1>#REF!</formula1>
    </dataValidation>
    <dataValidation sqref="E11:E39" showDropDown="0" showInputMessage="1" showErrorMessage="1" allowBlank="1" type="list">
      <formula1>Elenco_Misure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140625" customWidth="1" style="81" min="14" max="14"/>
    <col width="9.28515625" customWidth="1" style="81" min="15" max="15"/>
    <col width="9.140625" customWidth="1" style="81" min="16" max="17"/>
    <col hidden="1" width="7.85546875" customWidth="1" style="81" min="18" max="18"/>
    <col width="11.28515625" customWidth="1" style="81" min="19" max="19"/>
    <col width="17.5703125" bestFit="1" customWidth="1" style="81" min="20" max="20"/>
    <col width="21.28515625" customWidth="1" style="81" min="21" max="21"/>
    <col width="16.7109375" bestFit="1" customWidth="1" style="81" min="22" max="22"/>
    <col width="9.140625" customWidth="1" style="167" min="23" max="23"/>
    <col width="12.5703125" customWidth="1" style="167" min="24" max="24"/>
    <col width="9.140625" customWidth="1" style="167" min="25" max="27"/>
    <col width="15.28515625" bestFit="1" customWidth="1" style="167" min="28" max="28"/>
    <col width="12.140625" customWidth="1" style="81" min="29" max="29"/>
    <col width="9.140625" customWidth="1" style="81" min="30" max="30"/>
    <col width="6" customWidth="1" style="81" min="31" max="31"/>
    <col width="13" customWidth="1" style="81" min="32" max="32"/>
    <col width="10.42578125" customWidth="1" style="81" min="33" max="33"/>
    <col width="22.42578125" customWidth="1" style="81" min="34" max="34"/>
    <col width="13.28515625" customWidth="1" style="81" min="35" max="35"/>
    <col width="16.140625" customWidth="1" style="81" min="36" max="36"/>
    <col width="9.5703125" bestFit="1" customWidth="1" style="81" min="37" max="37"/>
    <col width="9.140625" customWidth="1" style="81" min="38" max="38"/>
    <col width="15.140625" customWidth="1" style="81" min="39" max="39"/>
    <col width="9.140625" customWidth="1" style="81" min="40" max="16384"/>
  </cols>
  <sheetData>
    <row r="1" ht="38.25" customHeight="1" s="444"/>
    <row r="2" ht="15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</row>
    <row r="3" ht="15.75" customHeight="1" s="444">
      <c r="F3" s="98" t="inlineStr">
        <is>
          <t>Incert. strumentale considerata U2</t>
        </is>
      </c>
      <c r="G3" s="100" t="n">
        <v>0.7</v>
      </c>
      <c r="H3" s="102" t="inlineStr">
        <is>
          <t>Inserti auricolari =</t>
        </is>
      </c>
      <c r="I3" s="103" t="n">
        <v>0.5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101" t="n">
        <v>1</v>
      </c>
      <c r="H4" s="102" t="inlineStr">
        <is>
          <t>Cuffie =</t>
        </is>
      </c>
      <c r="I4" s="103" t="n">
        <v>0.75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H5" s="104" t="inlineStr">
        <is>
          <t>Altro =</t>
        </is>
      </c>
      <c r="I5" s="105" t="n">
        <v>0.3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3.25" customHeight="1" s="444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T7" s="175" t="n"/>
      <c r="U7" s="175" t="n"/>
    </row>
    <row r="8" ht="21.75" customHeight="1" s="444">
      <c r="C8" s="263" t="n"/>
      <c r="D8" s="263" t="n"/>
      <c r="E8" s="18" t="n"/>
      <c r="F8" s="199" t="inlineStr">
        <is>
          <t>M_03-03 Svolgimento delle operazioni nell'area di lavoro UFFICI  (Palazzina Uffici)</t>
        </is>
      </c>
      <c r="G8" s="415" t="n"/>
    </row>
    <row r="9" ht="34.5" customHeight="1" s="444">
      <c r="C9" s="466" t="inlineStr">
        <is>
          <t>Verifica D.P.I.</t>
        </is>
      </c>
      <c r="D9" s="461" t="n"/>
      <c r="S9" s="197" t="inlineStr">
        <is>
          <t>DPI n°1</t>
        </is>
      </c>
      <c r="T9" s="197" t="inlineStr">
        <is>
          <t>DPI n°1</t>
        </is>
      </c>
      <c r="U9" s="19" t="n"/>
      <c r="W9" s="467" t="inlineStr">
        <is>
          <t>U2Lex</t>
        </is>
      </c>
      <c r="X9" s="461" t="n"/>
      <c r="Y9" s="176" t="n"/>
      <c r="Z9" s="177" t="n"/>
      <c r="AA9" s="177" t="n"/>
      <c r="AF9" s="466" t="inlineStr">
        <is>
          <t xml:space="preserve">Parziali LEX, 8h </t>
        </is>
      </c>
      <c r="AG9" s="461" t="n"/>
      <c r="AH9" s="178" t="inlineStr">
        <is>
          <t>Parziale e totali 
Tm LAeq&gt;0</t>
        </is>
      </c>
    </row>
    <row r="10" ht="75" customHeight="1" s="444">
      <c r="C10" s="277" t="inlineStr">
        <is>
          <t>Laeq</t>
        </is>
      </c>
      <c r="D10" s="278" t="inlineStr">
        <is>
          <t>Lpicco</t>
        </is>
      </c>
      <c r="E10" s="280" t="inlineStr">
        <is>
          <t>ID</t>
        </is>
      </c>
      <c r="F10" s="402" t="inlineStr">
        <is>
          <t>Categoria-marca-modello/posizione di misura</t>
        </is>
      </c>
      <c r="G10" s="457" t="n"/>
      <c r="H10" s="457" t="n"/>
      <c r="I10" s="87" t="inlineStr">
        <is>
          <t>U1a,m</t>
        </is>
      </c>
      <c r="J10" s="88" t="inlineStr">
        <is>
          <t>Lpicco,C</t>
        </is>
      </c>
      <c r="K10" s="88" t="inlineStr">
        <is>
          <t>LAeq,T</t>
        </is>
      </c>
      <c r="L10" s="88" t="inlineStr">
        <is>
          <t>LCeq,T</t>
        </is>
      </c>
      <c r="M10" s="89" t="inlineStr">
        <is>
          <t>D.P.I. 
(PNR)</t>
        </is>
      </c>
      <c r="N10" s="90" t="inlineStr">
        <is>
          <t>LEQ(A)Ti
-
(PNR)</t>
        </is>
      </c>
      <c r="O10" s="91" t="inlineStr">
        <is>
          <t>Tm 
(max)</t>
        </is>
      </c>
      <c r="P10" s="468" t="inlineStr">
        <is>
          <t>In caso di variablità di Tm
Tmax   -   Tmin</t>
        </is>
      </c>
      <c r="Q10" s="461" t="n"/>
      <c r="S10" s="197" t="inlineStr">
        <is>
          <t>PNR</t>
        </is>
      </c>
      <c r="T10" s="197" t="inlineStr">
        <is>
          <t>Picco</t>
        </is>
      </c>
      <c r="U10" s="197" t="inlineStr">
        <is>
          <t>Laeq -PNR (anche per LAeq&lt;87)</t>
        </is>
      </c>
      <c r="V10" s="197" t="inlineStr">
        <is>
          <t>Energia</t>
        </is>
      </c>
      <c r="W10" s="340" t="inlineStr">
        <is>
          <t>I TERM</t>
        </is>
      </c>
      <c r="X10" s="340" t="inlineStr">
        <is>
          <t>II TERM.</t>
        </is>
      </c>
      <c r="Y10" s="340" t="inlineStr">
        <is>
          <t>U1b</t>
        </is>
      </c>
      <c r="Z10" s="340" t="inlineStr">
        <is>
          <t>C1a</t>
        </is>
      </c>
      <c r="AA10" s="340" t="inlineStr">
        <is>
          <t>C1b</t>
        </is>
      </c>
      <c r="AB10" s="109" t="inlineStr">
        <is>
          <t>Conversione minuti/ore</t>
        </is>
      </c>
      <c r="AF10" s="66" t="inlineStr">
        <is>
          <t>LAeq - PNR
 ( &gt; 87)</t>
        </is>
      </c>
      <c r="AG10" s="388" t="inlineStr">
        <is>
          <t>LAeq</t>
        </is>
      </c>
      <c r="AH10" s="388">
        <f>SUM(AH11:AH40)</f>
        <v/>
      </c>
      <c r="AI10" s="388" t="inlineStr">
        <is>
          <t>En(C)&gt;80</t>
        </is>
      </c>
      <c r="AJ10" s="388" t="inlineStr">
        <is>
          <t>En(A)&gt;80</t>
        </is>
      </c>
      <c r="AK10" s="388" t="inlineStr">
        <is>
          <t>LAeq(F)</t>
        </is>
      </c>
      <c r="AL10" s="388" t="inlineStr">
        <is>
          <t>LCeq(F)</t>
        </is>
      </c>
      <c r="AM10" s="388" t="inlineStr">
        <is>
          <t>LEX',8h</t>
        </is>
      </c>
    </row>
    <row r="11" ht="27" customHeight="1" s="444">
      <c r="C11" s="264">
        <f>IF(S11=0,"T",IF((K11-M11)&lt;65,"I",IF((K11-M11)&lt;70,"K",IF((K11-M11)&lt;75,"J",IF((K11-M11)&lt;80,"K","L")))))</f>
        <v/>
      </c>
      <c r="D11" s="273">
        <f>IF(J11&lt;135,"T",IF((J11-$J$66)&lt;135,"J","L"))</f>
        <v/>
      </c>
      <c r="E11" s="21" t="inlineStr">
        <is>
          <t>D9</t>
        </is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63">
        <f>VLOOKUP(E11,Misure_Campionate,12,FALSE)</f>
        <v/>
      </c>
      <c r="J11" s="63">
        <f>VLOOKUP(E11,Misure_Campionate,13,FALSE)</f>
        <v/>
      </c>
      <c r="K11" s="64">
        <f>VLOOKUP(E11,Misure_Campionate,14,FALSE)</f>
        <v/>
      </c>
      <c r="L11" s="16">
        <f>VLOOKUP(E11,Misure_Campionate,15,FALSE)</f>
        <v/>
      </c>
      <c r="M11" s="23">
        <f>S11</f>
        <v/>
      </c>
      <c r="N11" s="281">
        <f>IF(M11=0,0,K11-M11)</f>
        <v/>
      </c>
      <c r="O11" s="224">
        <f>480/8</f>
        <v/>
      </c>
      <c r="P11" s="25" t="n"/>
      <c r="Q11" s="25" t="n"/>
      <c r="R11" s="81">
        <f>IF(S11&gt;0,1,"")</f>
        <v/>
      </c>
      <c r="S11" s="111">
        <f>IF(K11&lt;80,0,IF((L11-K11)&lt;=2,($L$63-(($K$63-$L$63)/4)*(L11-K11-2)),($L$63-(($L$63-$M$63)/8)*(L11-K11-2))))</f>
        <v/>
      </c>
      <c r="T11" s="111">
        <f>IF(J11&lt;135,"",J11-$J$66)</f>
        <v/>
      </c>
      <c r="U11" s="111">
        <f>K11-S11</f>
        <v/>
      </c>
      <c r="V11" s="111">
        <f>O11/$G$43*10^(U11/10)</f>
        <v/>
      </c>
      <c r="W11" s="469">
        <f>IF((Z11^2*(I11^2+$G$3^2+$G$4^2)&gt;0),(Z11^2*(I11^2+$G$3^2+$G$4^2)),0)</f>
        <v/>
      </c>
      <c r="X11" s="180">
        <f>IF(W11=0,0,(AA11*Y11)^2)</f>
        <v/>
      </c>
      <c r="Y11" s="181">
        <f>0.5*((P11-Q11)/60)</f>
        <v/>
      </c>
      <c r="Z11" s="470">
        <f>O11/$G$43*10^((K11-$G$44)/10)</f>
        <v/>
      </c>
      <c r="AA11" s="397">
        <f>IF(AB11=0,0,4.34*(Z11/AB11))</f>
        <v/>
      </c>
      <c r="AB11" s="183">
        <f>O11/60</f>
        <v/>
      </c>
      <c r="AF11" s="183">
        <f>IF(N11="0",0,O11/$G$43*10^(N11/10))</f>
        <v/>
      </c>
      <c r="AG11" s="183">
        <f>O11/$G$43*10^(K11/10)</f>
        <v/>
      </c>
      <c r="AH11" s="388">
        <f>IF(K11&gt;80,O11,"")</f>
        <v/>
      </c>
      <c r="AI11" s="388">
        <f>IF(K11&gt;80,O11/$AH$10*10^(L11/10),"")</f>
        <v/>
      </c>
      <c r="AJ11" s="388">
        <f>IF(K11&gt;80,O11/$AH$10*10^(K11/10),"")</f>
        <v/>
      </c>
      <c r="AK11" s="110">
        <f>IF((MAX(K11:K40)&gt;80),10*LOG(SUM($AJ$11:$AJ$40)),"")</f>
        <v/>
      </c>
      <c r="AL11" s="110">
        <f>IF((MAX(K11:K40)&gt;80),10*LOG(SUM($AI$11:$AI$40)),"")</f>
        <v/>
      </c>
      <c r="AM11" s="110">
        <f>10*LOG(SUM(AF11:AF40))</f>
        <v/>
      </c>
    </row>
    <row r="12" ht="36" customHeight="1" s="444">
      <c r="C12" s="264">
        <f>IF(S12=0,"T",IF((K12-M12)&lt;65,"I",IF((K12-M12)&lt;70,"K",IF((K12-M12)&lt;75,"J",IF((K12-M12)&lt;80,"K","L")))))</f>
        <v/>
      </c>
      <c r="D12" s="273">
        <f>IF(J12&lt;135,"T",IF((J12-$J$66)&lt;135,"J","L"))</f>
        <v/>
      </c>
      <c r="E12" s="21" t="inlineStr">
        <is>
          <t>E6</t>
        </is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S12</f>
        <v/>
      </c>
      <c r="N12" s="281">
        <f>IF(M12=0,0,K12-M12)</f>
        <v/>
      </c>
      <c r="O12" s="225" t="n">
        <v>60</v>
      </c>
      <c r="P12" s="25" t="n"/>
      <c r="Q12" s="25" t="n"/>
      <c r="R12" s="81">
        <f>IF(S12&gt;0,1,"")</f>
        <v/>
      </c>
      <c r="S12" s="111">
        <f>IF(K12&lt;80,0,IF((L12-K12)&lt;=2,($L$63-(($K$63-$L$63)/4)*(L12-K12-2)),($L$63-(($L$63-$M$63)/8)*(L12-K12-2))))</f>
        <v/>
      </c>
      <c r="T12" s="111">
        <f>IF(J12&lt;135,"",J12-$J$66)</f>
        <v/>
      </c>
      <c r="U12" s="111">
        <f>K12-S12</f>
        <v/>
      </c>
      <c r="V12" s="111">
        <f>O12/$G$43*10^(U12/10)</f>
        <v/>
      </c>
      <c r="W12" s="469">
        <f>IF((Z12^2*(I12^2+$G$3^2+$G$4^2)&gt;0),(Z12^2*(I12^2+$G$3^2+$G$4^2)),0)</f>
        <v/>
      </c>
      <c r="X12" s="180">
        <f>IF(W12=0,0,(AA12*Y12)^2)</f>
        <v/>
      </c>
      <c r="Y12" s="181">
        <f>0.5*((P12-Q12)/60)</f>
        <v/>
      </c>
      <c r="Z12" s="470">
        <f>O12/$G$43*10^((K12-$G$44)/10)</f>
        <v/>
      </c>
      <c r="AA12" s="397">
        <f>IF(AB12=0,0,4.34*(Z12/AB12))</f>
        <v/>
      </c>
      <c r="AB12" s="183">
        <f>O12/60</f>
        <v/>
      </c>
      <c r="AF12" s="183">
        <f>IF(N12="0",0,O12/$G$43*10^(N12/10))</f>
        <v/>
      </c>
      <c r="AG12" s="183">
        <f>O12/$G$43*10^(K12/10)</f>
        <v/>
      </c>
      <c r="AH12" s="388">
        <f>IF(K12&gt;80,O12,"")</f>
        <v/>
      </c>
      <c r="AI12" s="388">
        <f>IF(K12&gt;80,O12/$AH$10*10^(L12/10),"")</f>
        <v/>
      </c>
      <c r="AJ12" s="388">
        <f>IF(K12&gt;80,O12/$AH$10*10^(K12/10),"")</f>
        <v/>
      </c>
      <c r="AL12" s="184" t="n"/>
    </row>
    <row r="13" ht="54" customHeight="1" s="444">
      <c r="C13" s="264">
        <f>IF(S13=0,"T",IF((K13-M13)&lt;65,"I",IF((K13-M13)&lt;70,"K",IF((K13-M13)&lt;75,"J",IF((K13-M13)&lt;80,"K","L")))))</f>
        <v/>
      </c>
      <c r="D13" s="273">
        <f>IF(J13&lt;135,"T",IF((J13-$J$66)&lt;135,"J","L"))</f>
        <v/>
      </c>
      <c r="E13" s="21" t="inlineStr">
        <is>
          <t>F9</t>
        </is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S13</f>
        <v/>
      </c>
      <c r="N13" s="281">
        <f>IF(M13=0,0,K13-M13)</f>
        <v/>
      </c>
      <c r="O13" s="225" t="n">
        <v>60</v>
      </c>
      <c r="P13" s="25" t="n"/>
      <c r="Q13" s="25" t="n"/>
      <c r="R13" s="81">
        <f>IF(S13&gt;0,1,"")</f>
        <v/>
      </c>
      <c r="S13" s="111">
        <f>IF(K13&lt;80,0,IF((L13-K13)&lt;=2,($L$63-(($K$63-$L$63)/4)*(L13-K13-2)),($L$63-(($L$63-$M$63)/8)*(L13-K13-2))))</f>
        <v/>
      </c>
      <c r="T13" s="111">
        <f>IF(J13&lt;135,"",J13-$J$66)</f>
        <v/>
      </c>
      <c r="U13" s="111">
        <f>K13-S13</f>
        <v/>
      </c>
      <c r="V13" s="111">
        <f>O13/$G$43*10^(U13/10)</f>
        <v/>
      </c>
      <c r="W13" s="469">
        <f>IF((Z13^2*(I13^2+$G$3^2+$G$4^2)&gt;0),(Z13^2*(I13^2+$G$3^2+$G$4^2)),0)</f>
        <v/>
      </c>
      <c r="X13" s="180">
        <f>IF(W13=0,0,(AA13*Y13)^2)</f>
        <v/>
      </c>
      <c r="Y13" s="181">
        <f>0.5*((P13-Q13)/60)</f>
        <v/>
      </c>
      <c r="Z13" s="470">
        <f>O13/$G$43*10^((K13-$G$44)/10)</f>
        <v/>
      </c>
      <c r="AA13" s="397">
        <f>IF(AB13=0,0,4.34*(Z13/AB13))</f>
        <v/>
      </c>
      <c r="AB13" s="183">
        <f>O13/60</f>
        <v/>
      </c>
      <c r="AF13" s="183">
        <f>IF(N13="0",0,O13/$G$43*10^(N13/10))</f>
        <v/>
      </c>
      <c r="AG13" s="183">
        <f>O13/$G$43*10^(K13/10)</f>
        <v/>
      </c>
      <c r="AH13" s="388">
        <f>IF(K13&gt;80,O13,"")</f>
        <v/>
      </c>
      <c r="AI13" s="388">
        <f>IF(K13&gt;80,O13/$AH$10*10^(L13/10),"")</f>
        <v/>
      </c>
      <c r="AJ13" s="388">
        <f>IF(K13&gt;80,O13/$AH$10*10^(K13/10),"")</f>
        <v/>
      </c>
      <c r="AL13" s="184" t="n"/>
    </row>
    <row r="14" ht="27" customHeight="1" s="444">
      <c r="C14" s="264">
        <f>IF(S14=0,"T",IF((K14-M14)&lt;65,"I",IF((K14-M14)&lt;70,"K",IF((K14-M14)&lt;75,"J",IF((K14-M14)&lt;80,"K","L")))))</f>
        <v/>
      </c>
      <c r="D14" s="273">
        <f>IF(J14&lt;135,"T",IF((J14-$J$66)&lt;135,"J","L"))</f>
        <v/>
      </c>
      <c r="E14" s="21" t="inlineStr">
        <is>
          <t>F3</t>
        </is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S14</f>
        <v/>
      </c>
      <c r="N14" s="281">
        <f>IF(M14=0,0,K14-M14)</f>
        <v/>
      </c>
      <c r="O14" s="225" t="n">
        <v>60</v>
      </c>
      <c r="P14" s="25" t="n"/>
      <c r="Q14" s="25" t="n"/>
      <c r="R14" s="81">
        <f>IF(S14&gt;0,1,"")</f>
        <v/>
      </c>
      <c r="S14" s="111">
        <f>IF(K14&lt;80,0,IF((L14-K14)&lt;=2,($L$63-(($K$63-$L$63)/4)*(L14-K14-2)),($L$63-(($L$63-$M$63)/8)*(L14-K14-2))))</f>
        <v/>
      </c>
      <c r="T14" s="111">
        <f>IF(J14&lt;135,"",J14-$J$66)</f>
        <v/>
      </c>
      <c r="U14" s="111">
        <f>K14-S14</f>
        <v/>
      </c>
      <c r="V14" s="111">
        <f>O14/$G$43*10^(U14/10)</f>
        <v/>
      </c>
      <c r="W14" s="469">
        <f>IF((Z14^2*(I14^2+$G$3^2+$G$4^2)&gt;0),(Z14^2*(I14^2+$G$3^2+$G$4^2)),0)</f>
        <v/>
      </c>
      <c r="X14" s="180">
        <f>IF(W14=0,0,(AA14*Y14)^2)</f>
        <v/>
      </c>
      <c r="Y14" s="181">
        <f>0.5*((P14-Q14)/60)</f>
        <v/>
      </c>
      <c r="Z14" s="470">
        <f>O14/$G$43*10^((K14-$G$44)/10)</f>
        <v/>
      </c>
      <c r="AA14" s="397">
        <f>IF(AB14=0,0,4.34*(Z14/AB14))</f>
        <v/>
      </c>
      <c r="AB14" s="183">
        <f>O14/60</f>
        <v/>
      </c>
      <c r="AF14" s="183">
        <f>IF(N14="0",0,O14/$G$43*10^(N14/10))</f>
        <v/>
      </c>
      <c r="AG14" s="183">
        <f>O14/$G$43*10^(K14/10)</f>
        <v/>
      </c>
      <c r="AH14" s="388">
        <f>IF(K14&gt;80,O14,"")</f>
        <v/>
      </c>
      <c r="AI14" s="388">
        <f>IF(K14&gt;80,O14/$AH$10*10^(L14/10),"")</f>
        <v/>
      </c>
      <c r="AJ14" s="388">
        <f>IF(K14&gt;80,O14/$AH$10*10^(K14/10),"")</f>
        <v/>
      </c>
      <c r="AL14" s="184" t="n"/>
    </row>
    <row r="15" ht="36" customHeight="1" s="444">
      <c r="C15" s="264">
        <f>IF(S15=0,"T",IF((K15-M15)&lt;65,"I",IF((K15-M15)&lt;70,"K",IF((K15-M15)&lt;75,"J",IF((K15-M15)&lt;80,"K","L")))))</f>
        <v/>
      </c>
      <c r="D15" s="273">
        <f>IF(J15&lt;135,"T",IF((J15-$J$66)&lt;135,"J","L"))</f>
        <v/>
      </c>
      <c r="E15" s="21" t="inlineStr">
        <is>
          <t>E12</t>
        </is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S15</f>
        <v/>
      </c>
      <c r="N15" s="281">
        <f>IF(M15=0,0,K15-M15)</f>
        <v/>
      </c>
      <c r="O15" s="225" t="n">
        <v>60</v>
      </c>
      <c r="P15" s="25" t="n"/>
      <c r="Q15" s="25" t="n"/>
      <c r="R15" s="81">
        <f>IF(S15&gt;0,1,"")</f>
        <v/>
      </c>
      <c r="S15" s="111">
        <f>IF(K15&lt;80,0,IF((L15-K15)&lt;=2,($L$63-(($K$63-$L$63)/4)*(L15-K15-2)),($L$63-(($L$63-$M$63)/8)*(L15-K15-2))))</f>
        <v/>
      </c>
      <c r="T15" s="111">
        <f>IF(J15&lt;135,"",J15-$J$66)</f>
        <v/>
      </c>
      <c r="U15" s="111">
        <f>K15-S15</f>
        <v/>
      </c>
      <c r="V15" s="111">
        <f>O15/$G$43*10^(U15/10)</f>
        <v/>
      </c>
      <c r="W15" s="469">
        <f>IF((Z15^2*(I15^2+$G$3^2+$G$4^2)&gt;0),(Z15^2*(I15^2+$G$3^2+$G$4^2)),0)</f>
        <v/>
      </c>
      <c r="X15" s="180">
        <f>IF(W15=0,0,(AA15*Y15)^2)</f>
        <v/>
      </c>
      <c r="Y15" s="181">
        <f>0.5*((P15-Q15)/60)</f>
        <v/>
      </c>
      <c r="Z15" s="470">
        <f>O15/$G$43*10^((K15-$G$44)/10)</f>
        <v/>
      </c>
      <c r="AA15" s="397">
        <f>IF(AB15=0,0,4.34*(Z15/AB15))</f>
        <v/>
      </c>
      <c r="AB15" s="183">
        <f>O15/60</f>
        <v/>
      </c>
      <c r="AF15" s="183">
        <f>IF(N15="0",0,O15/$G$43*10^(N15/10))</f>
        <v/>
      </c>
      <c r="AG15" s="183">
        <f>O15/$G$43*10^(K15/10)</f>
        <v/>
      </c>
      <c r="AH15" s="388">
        <f>IF(K15&gt;80,O15,"")</f>
        <v/>
      </c>
      <c r="AI15" s="388">
        <f>IF(K15&gt;80,O15/$AH$10*10^(L15/10),"")</f>
        <v/>
      </c>
      <c r="AJ15" s="388">
        <f>IF(K15&gt;80,O15/$AH$10*10^(K15/10),"")</f>
        <v/>
      </c>
      <c r="AL15" s="184" t="n"/>
    </row>
    <row r="16" ht="45.75" customHeight="1" s="444">
      <c r="C16" s="264">
        <f>IF(S16=0,"T",IF((K16-M16)&lt;65,"I",IF((K16-M16)&lt;70,"K",IF((K16-M16)&lt;75,"J",IF((K16-M16)&lt;80,"K","L")))))</f>
        <v/>
      </c>
      <c r="D16" s="273">
        <f>IF(J16&lt;135,"T",IF((J16-$J$66)&lt;135,"J","L"))</f>
        <v/>
      </c>
      <c r="E16" s="21" t="inlineStr">
        <is>
          <t>E13</t>
        </is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S16</f>
        <v/>
      </c>
      <c r="N16" s="281">
        <f>IF(M16=0,0,K16-M16)</f>
        <v/>
      </c>
      <c r="O16" s="225" t="n">
        <v>60</v>
      </c>
      <c r="P16" s="25" t="n"/>
      <c r="Q16" s="25" t="n"/>
      <c r="R16" s="81">
        <f>IF(S16&gt;0,1,"")</f>
        <v/>
      </c>
      <c r="S16" s="111">
        <f>IF(K16&lt;80,0,IF((L16-K16)&lt;=2,($L$63-(($K$63-$L$63)/4)*(L16-K16-2)),($L$63-(($L$63-$M$63)/8)*(L16-K16-2))))</f>
        <v/>
      </c>
      <c r="T16" s="111">
        <f>IF(J16&lt;135,"",J16-$J$66)</f>
        <v/>
      </c>
      <c r="U16" s="111">
        <f>K16-S16</f>
        <v/>
      </c>
      <c r="V16" s="111">
        <f>O16/$G$43*10^(U16/10)</f>
        <v/>
      </c>
      <c r="W16" s="469">
        <f>IF((Z16^2*(I16^2+$G$3^2+$G$4^2)&gt;0),(Z16^2*(I16^2+$G$3^2+$G$4^2)),0)</f>
        <v/>
      </c>
      <c r="X16" s="180">
        <f>IF(W16=0,0,(AA16*Y16)^2)</f>
        <v/>
      </c>
      <c r="Y16" s="181">
        <f>0.5*((P16-Q16)/60)</f>
        <v/>
      </c>
      <c r="Z16" s="470">
        <f>O16/$G$43*10^((K16-$G$44)/10)</f>
        <v/>
      </c>
      <c r="AA16" s="397">
        <f>IF(AB16=0,0,4.34*(Z16/AB16))</f>
        <v/>
      </c>
      <c r="AB16" s="183">
        <f>O16/60</f>
        <v/>
      </c>
      <c r="AF16" s="183">
        <f>IF(N16="0",0,O16/$G$43*10^(N16/10))</f>
        <v/>
      </c>
      <c r="AG16" s="183">
        <f>O16/$G$43*10^(K16/10)</f>
        <v/>
      </c>
      <c r="AH16" s="388">
        <f>IF(K16&gt;80,O16,"")</f>
        <v/>
      </c>
      <c r="AI16" s="388">
        <f>IF(K16&gt;80,O16/$AH$10*10^(L16/10),"")</f>
        <v/>
      </c>
      <c r="AJ16" s="388">
        <f>IF(K16&gt;80,O16/$AH$10*10^(K16/10),"")</f>
        <v/>
      </c>
      <c r="AL16" s="184" t="n"/>
    </row>
    <row r="17" ht="27" customHeight="1" s="444">
      <c r="C17" s="264">
        <f>IF(S17=0,"T",IF((K17-M17)&lt;65,"I",IF((K17-M17)&lt;70,"K",IF((K17-M17)&lt;75,"J",IF((K17-M17)&lt;80,"K","L")))))</f>
        <v/>
      </c>
      <c r="D17" s="273">
        <f>IF(J17&lt;135,"T",IF((J17-$J$66)&lt;135,"J","L"))</f>
        <v/>
      </c>
      <c r="E17" s="21" t="inlineStr">
        <is>
          <t>D12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S17</f>
        <v/>
      </c>
      <c r="N17" s="281">
        <f>IF(M17=0,0,K17-M17)</f>
        <v/>
      </c>
      <c r="O17" s="225" t="n">
        <v>60</v>
      </c>
      <c r="P17" s="25" t="n"/>
      <c r="Q17" s="25" t="n"/>
      <c r="R17" s="81">
        <f>IF(S17&gt;0,1,"")</f>
        <v/>
      </c>
      <c r="S17" s="111">
        <f>IF(K17&lt;80,0,IF((L17-K17)&lt;=2,($L$63-(($K$63-$L$63)/4)*(L17-K17-2)),($L$63-(($L$63-$M$63)/8)*(L17-K17-2))))</f>
        <v/>
      </c>
      <c r="T17" s="111">
        <f>IF(J17&lt;135,"",J17-$J$66)</f>
        <v/>
      </c>
      <c r="U17" s="111">
        <f>K17-S17</f>
        <v/>
      </c>
      <c r="V17" s="111">
        <f>O17/$G$43*10^(U17/10)</f>
        <v/>
      </c>
      <c r="W17" s="469">
        <f>IF((Z17^2*(I17^2+$G$3^2+$G$4^2)&gt;0),(Z17^2*(I17^2+$G$3^2+$G$4^2)),0)</f>
        <v/>
      </c>
      <c r="X17" s="180">
        <f>IF(W17=0,0,(AA17*Y17)^2)</f>
        <v/>
      </c>
      <c r="Y17" s="181">
        <f>0.5*((P17-Q17)/60)</f>
        <v/>
      </c>
      <c r="Z17" s="470">
        <f>O17/$G$43*10^((K17-$G$44)/10)</f>
        <v/>
      </c>
      <c r="AA17" s="397">
        <f>IF(AB17=0,0,4.34*(Z17/AB17))</f>
        <v/>
      </c>
      <c r="AB17" s="183">
        <f>O17/60</f>
        <v/>
      </c>
      <c r="AF17" s="183">
        <f>IF(N17="0",0,O17/$G$43*10^(N17/10))</f>
        <v/>
      </c>
      <c r="AG17" s="183">
        <f>O17/$G$43*10^(K17/10)</f>
        <v/>
      </c>
      <c r="AH17" s="388">
        <f>IF(K17&gt;80,O17,"")</f>
        <v/>
      </c>
      <c r="AI17" s="388">
        <f>IF(K17&gt;80,O17/$AH$10*10^(L17/10),"")</f>
        <v/>
      </c>
      <c r="AJ17" s="388">
        <f>IF(K17&gt;80,O17/$AH$10*10^(K17/10),"")</f>
        <v/>
      </c>
      <c r="AL17" s="184" t="n"/>
    </row>
    <row r="18" ht="36" customHeight="1" s="444">
      <c r="C18" s="264">
        <f>IF(S18=0,"T",IF((K18-M18)&lt;65,"I",IF((K18-M18)&lt;70,"K",IF((K18-M18)&lt;75,"J",IF((K18-M18)&lt;80,"K","L")))))</f>
        <v/>
      </c>
      <c r="D18" s="273">
        <f>IF(J18&lt;135,"T",IF((J18-$J$66)&lt;135,"J","L"))</f>
        <v/>
      </c>
      <c r="E18" s="21" t="inlineStr">
        <is>
          <t>D17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S18</f>
        <v/>
      </c>
      <c r="N18" s="281">
        <f>IF(M18=0,0,K18-M18)</f>
        <v/>
      </c>
      <c r="O18" s="225" t="n">
        <v>60</v>
      </c>
      <c r="P18" s="25" t="n"/>
      <c r="Q18" s="25" t="n"/>
      <c r="R18" s="81">
        <f>IF(S18&gt;0,1,"")</f>
        <v/>
      </c>
      <c r="S18" s="111">
        <f>IF(K18&lt;80,0,IF((L18-K18)&lt;=2,($L$63-(($K$63-$L$63)/4)*(L18-K18-2)),($L$63-(($L$63-$M$63)/8)*(L18-K18-2))))</f>
        <v/>
      </c>
      <c r="T18" s="111">
        <f>IF(J18&lt;135,"",J18-$J$66)</f>
        <v/>
      </c>
      <c r="U18" s="111">
        <f>K18-S18</f>
        <v/>
      </c>
      <c r="V18" s="111">
        <f>O18/$G$43*10^(U18/10)</f>
        <v/>
      </c>
      <c r="W18" s="469">
        <f>IF((Z18^2*(I18^2+$G$3^2+$G$4^2)&gt;0),(Z18^2*(I18^2+$G$3^2+$G$4^2)),0)</f>
        <v/>
      </c>
      <c r="X18" s="180">
        <f>IF(W18=0,0,(AA18*Y18)^2)</f>
        <v/>
      </c>
      <c r="Y18" s="181">
        <f>0.5*((P18-Q18)/60)</f>
        <v/>
      </c>
      <c r="Z18" s="470">
        <f>O18/$G$43*10^((K18-$G$44)/10)</f>
        <v/>
      </c>
      <c r="AA18" s="397">
        <f>IF(AB18=0,0,4.34*(Z18/AB18))</f>
        <v/>
      </c>
      <c r="AB18" s="183">
        <f>O18/60</f>
        <v/>
      </c>
      <c r="AF18" s="183">
        <f>IF(N18="0",0,O18/$G$43*10^(N18/10))</f>
        <v/>
      </c>
      <c r="AG18" s="183">
        <f>O18/$G$43*10^(K18/10)</f>
        <v/>
      </c>
      <c r="AH18" s="388">
        <f>IF(K18&gt;80,O18,"")</f>
        <v/>
      </c>
      <c r="AI18" s="388">
        <f>IF(K18&gt;80,O18/$AH$10*10^(L18/10),"")</f>
        <v/>
      </c>
      <c r="AJ18" s="388">
        <f>IF(K18&gt;80,O18/$AH$10*10^(K18/10),"")</f>
        <v/>
      </c>
      <c r="AL18" s="184" t="n"/>
    </row>
    <row r="19" hidden="1" ht="27" customHeight="1" s="444">
      <c r="C19" s="264">
        <f>IF(S19=0,"T",IF((K19-M19)&lt;65,"I",IF((K19-M19)&lt;70,"K",IF((K19-M19)&lt;75,"J",IF((K19-M19)&lt;80,"K","L")))))</f>
        <v/>
      </c>
      <c r="D19" s="273">
        <f>IF(J19&lt;135,"T",IF((J19-$J$66)&lt;135,"J","L"))</f>
        <v/>
      </c>
      <c r="E19" s="21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IF(AND($O$44&gt;87,K19&gt;80),S19,0)</f>
        <v/>
      </c>
      <c r="N19" s="281">
        <f>IF(M19=0,0,K19-M19)</f>
        <v/>
      </c>
      <c r="O19" s="225" t="n"/>
      <c r="P19" s="25" t="n"/>
      <c r="Q19" s="25" t="n"/>
      <c r="R19" s="81">
        <f>IF(S19&gt;0,1,"")</f>
        <v/>
      </c>
      <c r="S19" s="111">
        <f>IF(K19&lt;80,0,IF((L19-K19)&lt;=2,($L$63-(($K$63-$L$63)/4)*(L19-K19-2)),($L$63-(($L$63-$M$63)/8)*(L19-K19-2))))</f>
        <v/>
      </c>
      <c r="T19" s="111">
        <f>IF(J19&lt;135,"",J19-$J$66)</f>
        <v/>
      </c>
      <c r="U19" s="111">
        <f>K19-S19</f>
        <v/>
      </c>
      <c r="V19" s="111">
        <f>O19/$G$43*10^(U19/10)</f>
        <v/>
      </c>
      <c r="W19" s="469">
        <f>IF((Z19^2*(I19^2+$G$3^2+$G$4^2)&gt;0),(Z19^2*(I19^2+$G$3^2+$G$4^2)),0)</f>
        <v/>
      </c>
      <c r="X19" s="180">
        <f>IF(W19=0,0,(AA19*Y19)^2)</f>
        <v/>
      </c>
      <c r="Y19" s="181">
        <f>0.5*((P19-Q19)/60)</f>
        <v/>
      </c>
      <c r="Z19" s="470">
        <f>O19/$G$43*10^((K19-$G$44)/10)</f>
        <v/>
      </c>
      <c r="AA19" s="397">
        <f>IF(AB19=0,0,4.34*(Z19/AB19))</f>
        <v/>
      </c>
      <c r="AB19" s="183">
        <f>O19/60</f>
        <v/>
      </c>
      <c r="AF19" s="183">
        <f>IF(N19="0",0,O19/$G$43*10^(N19/10))</f>
        <v/>
      </c>
      <c r="AG19" s="183">
        <f>O19/$G$43*10^(K19/10)</f>
        <v/>
      </c>
      <c r="AH19" s="388">
        <f>IF(K19&gt;80,O19,"")</f>
        <v/>
      </c>
      <c r="AI19" s="388">
        <f>IF(K19&gt;80,O19/$AH$10*10^(L19/10),"")</f>
        <v/>
      </c>
      <c r="AJ19" s="388">
        <f>IF(K19&gt;80,O19/$AH$10*10^(K19/10),"")</f>
        <v/>
      </c>
      <c r="AL19" s="184" t="n"/>
    </row>
    <row r="20" hidden="1" ht="27" customHeight="1" s="444">
      <c r="C20" s="264">
        <f>IF(S20=0,"T",IF((K20-M20)&lt;65,"I",IF((K20-M20)&lt;70,"K",IF((K20-M20)&lt;75,"J",IF((K20-M20)&lt;80,"K","L")))))</f>
        <v/>
      </c>
      <c r="D20" s="273">
        <f>IF(J20&lt;135,"T",IF((J20-$J$66)&lt;135,"J","L"))</f>
        <v/>
      </c>
      <c r="E20" s="21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IF(AND($O$44&gt;87,K20&gt;80),S20,0)</f>
        <v/>
      </c>
      <c r="N20" s="281">
        <f>IF(M20=0,0,K20-M20)</f>
        <v/>
      </c>
      <c r="O20" s="225" t="n"/>
      <c r="P20" s="25" t="n"/>
      <c r="Q20" s="25" t="n"/>
      <c r="R20" s="81">
        <f>IF(S20&gt;0,1,"")</f>
        <v/>
      </c>
      <c r="S20" s="111">
        <f>IF(K20&lt;80,0,IF((L20-K20)&lt;=2,($L$63-(($K$63-$L$63)/4)*(L20-K20-2)),($L$63-(($L$63-$M$63)/8)*(L20-K20-2))))</f>
        <v/>
      </c>
      <c r="T20" s="111">
        <f>IF(J20&lt;135,"",J20-$J$66)</f>
        <v/>
      </c>
      <c r="U20" s="111">
        <f>K20-S20</f>
        <v/>
      </c>
      <c r="V20" s="111">
        <f>O20/$G$43*10^(U20/10)</f>
        <v/>
      </c>
      <c r="W20" s="469">
        <f>IF((Z20^2*(I20^2+$G$3^2+$G$4^2)&gt;0),(Z20^2*(I20^2+$G$3^2+$G$4^2)),0)</f>
        <v/>
      </c>
      <c r="X20" s="180">
        <f>IF(W20=0,0,(AA20*Y20)^2)</f>
        <v/>
      </c>
      <c r="Y20" s="181">
        <f>0.5*((P20-Q20)/60)</f>
        <v/>
      </c>
      <c r="Z20" s="470">
        <f>O20/$G$43*10^((K20-$G$44)/10)</f>
        <v/>
      </c>
      <c r="AA20" s="397">
        <f>IF(AB20=0,0,4.34*(Z20/AB20))</f>
        <v/>
      </c>
      <c r="AB20" s="183">
        <f>O20/60</f>
        <v/>
      </c>
      <c r="AF20" s="183">
        <f>IF(N20="0",0,O20/$G$43*10^(N20/10))</f>
        <v/>
      </c>
      <c r="AG20" s="183">
        <f>O20/$G$43*10^(K20/10)</f>
        <v/>
      </c>
      <c r="AH20" s="388">
        <f>IF(K20&gt;80,O20,"")</f>
        <v/>
      </c>
      <c r="AI20" s="388">
        <f>IF(K20&gt;80,O20/$AH$10*10^(L20/10),"")</f>
        <v/>
      </c>
      <c r="AJ20" s="388">
        <f>IF(K20&gt;80,O20/$AH$10*10^(K20/10),"")</f>
        <v/>
      </c>
      <c r="AL20" s="184" t="n"/>
    </row>
    <row r="21" hidden="1" ht="27" customHeight="1" s="444">
      <c r="C21" s="264">
        <f>IF(S21=0,"T",IF((K21-M21)&lt;65,"I",IF((K21-M21)&lt;70,"K",IF((K21-M21)&lt;75,"J",IF((K21-M21)&lt;80,"K","L")))))</f>
        <v/>
      </c>
      <c r="D21" s="273">
        <f>IF(J21&lt;135,"T",IF((J21-$J$66)&lt;135,"J","L"))</f>
        <v/>
      </c>
      <c r="E21" s="21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IF(AND($O$44&gt;87,K21&gt;80),S21,0)</f>
        <v/>
      </c>
      <c r="N21" s="281">
        <f>IF(M21=0,0,K21-M21)</f>
        <v/>
      </c>
      <c r="O21" s="225" t="n"/>
      <c r="P21" s="25" t="n"/>
      <c r="Q21" s="25" t="n"/>
      <c r="R21" s="81">
        <f>IF(S21&gt;0,1,"")</f>
        <v/>
      </c>
      <c r="S21" s="111">
        <f>IF(K21&lt;80,0,IF((L21-K21)&lt;=2,($L$63-(($K$63-$L$63)/4)*(L21-K21-2)),($L$63-(($L$63-$M$63)/8)*(L21-K21-2))))</f>
        <v/>
      </c>
      <c r="T21" s="111">
        <f>IF(J21&lt;135,"",J21-$J$66)</f>
        <v/>
      </c>
      <c r="U21" s="111">
        <f>K21-S21</f>
        <v/>
      </c>
      <c r="V21" s="111">
        <f>O21/$G$43*10^(U21/10)</f>
        <v/>
      </c>
      <c r="W21" s="469">
        <f>IF((Z21^2*(I21^2+$G$3^2+$G$4^2)&gt;0),(Z21^2*(I21^2+$G$3^2+$G$4^2)),0)</f>
        <v/>
      </c>
      <c r="X21" s="180">
        <f>IF(W21=0,0,(AA21*Y21)^2)</f>
        <v/>
      </c>
      <c r="Y21" s="181">
        <f>0.5*((P21-Q21)/60)</f>
        <v/>
      </c>
      <c r="Z21" s="470">
        <f>O21/$G$43*10^((K21-$G$44)/10)</f>
        <v/>
      </c>
      <c r="AA21" s="397">
        <f>IF(AB21=0,0,4.34*(Z21/AB21))</f>
        <v/>
      </c>
      <c r="AB21" s="183">
        <f>O21/60</f>
        <v/>
      </c>
      <c r="AF21" s="183">
        <f>IF(N21="0",0,O21/$G$43*10^(N21/10))</f>
        <v/>
      </c>
      <c r="AG21" s="183">
        <f>O21/$G$43*10^(K21/10)</f>
        <v/>
      </c>
      <c r="AH21" s="388">
        <f>IF(K21&gt;80,O21,"")</f>
        <v/>
      </c>
      <c r="AI21" s="388">
        <f>IF(K21&gt;80,O21/$AH$10*10^(L21/10),"")</f>
        <v/>
      </c>
      <c r="AJ21" s="388">
        <f>IF(K21&gt;80,O21/$AH$10*10^(K21/10),"")</f>
        <v/>
      </c>
      <c r="AL21" s="184" t="n"/>
    </row>
    <row r="22" hidden="1" ht="27" customHeight="1" s="444">
      <c r="C22" s="264">
        <f>IF(S22=0,"T",IF((K22-M22)&lt;65,"I",IF((K22-M22)&lt;70,"K",IF((K22-M22)&lt;75,"J",IF((K22-M22)&lt;80,"K","L")))))</f>
        <v/>
      </c>
      <c r="D22" s="273">
        <f>IF(J22&lt;135,"T",IF((J22-$J$66)&lt;135,"J","L"))</f>
        <v/>
      </c>
      <c r="E22" s="21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IF(AND($O$44&gt;87,K22&gt;80),S22,0)</f>
        <v/>
      </c>
      <c r="N22" s="281">
        <f>IF(M22=0,0,K22-M22)</f>
        <v/>
      </c>
      <c r="O22" s="25" t="n"/>
      <c r="P22" s="25" t="n"/>
      <c r="Q22" s="25" t="n"/>
      <c r="R22" s="81">
        <f>IF(S22&gt;0,1,"")</f>
        <v/>
      </c>
      <c r="S22" s="111">
        <f>IF(K22&lt;80,0,IF((L22-K22)&lt;=2,($L$63-(($K$63-$L$63)/4)*(L22-K22-2)),($L$63-(($L$63-$M$63)/8)*(L22-K22-2))))</f>
        <v/>
      </c>
      <c r="T22" s="111">
        <f>IF(J22&lt;135,"",J22-$J$66)</f>
        <v/>
      </c>
      <c r="U22" s="111">
        <f>K22-S22</f>
        <v/>
      </c>
      <c r="V22" s="111">
        <f>O22/$G$43*10^(U22/10)</f>
        <v/>
      </c>
      <c r="W22" s="469">
        <f>IF((Z22^2*(I22^2+$G$3^2+$G$4^2)&gt;0),(Z22^2*(I22^2+$G$3^2+$G$4^2)),0)</f>
        <v/>
      </c>
      <c r="X22" s="180">
        <f>IF(W22=0,0,(AA22*Y22)^2)</f>
        <v/>
      </c>
      <c r="Y22" s="181">
        <f>0.5*((P22-Q22)/60)</f>
        <v/>
      </c>
      <c r="Z22" s="470">
        <f>O22/$G$43*10^((K22-$G$44)/10)</f>
        <v/>
      </c>
      <c r="AA22" s="397">
        <f>IF(AB22=0,0,4.34*(Z22/AB22))</f>
        <v/>
      </c>
      <c r="AB22" s="183">
        <f>O22/60</f>
        <v/>
      </c>
      <c r="AF22" s="183">
        <f>IF(N22="0",0,O22/$G$43*10^(N22/10))</f>
        <v/>
      </c>
      <c r="AG22" s="183">
        <f>O22/$G$43*10^(K22/10)</f>
        <v/>
      </c>
      <c r="AH22" s="388">
        <f>IF(K22&gt;80,O22,"")</f>
        <v/>
      </c>
      <c r="AI22" s="388">
        <f>IF(K22&gt;80,O22/$AH$10*10^(L22/10),"")</f>
        <v/>
      </c>
      <c r="AJ22" s="388">
        <f>IF(K22&gt;80,O22/$AH$10*10^(K22/10),"")</f>
        <v/>
      </c>
      <c r="AL22" s="184" t="n"/>
    </row>
    <row r="23" hidden="1" ht="27" customHeight="1" s="444">
      <c r="C23" s="264">
        <f>IF(S23=0,"T",IF((K23-M23)&lt;65,"I",IF((K23-M23)&lt;70,"K",IF((K23-M23)&lt;75,"J",IF((K23-M23)&lt;80,"K","L")))))</f>
        <v/>
      </c>
      <c r="D23" s="273">
        <f>IF(J23&lt;135,"T",IF((J23-$J$66)&lt;135,"J","L"))</f>
        <v/>
      </c>
      <c r="E23" s="21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IF(AND($O$44&gt;87,K23&gt;80),S23,0)</f>
        <v/>
      </c>
      <c r="N23" s="281">
        <f>IF(M23=0,0,K23-M23)</f>
        <v/>
      </c>
      <c r="O23" s="25" t="n"/>
      <c r="P23" s="25" t="n"/>
      <c r="Q23" s="25" t="n"/>
      <c r="R23" s="81">
        <f>IF(S23&gt;0,1,"")</f>
        <v/>
      </c>
      <c r="S23" s="111">
        <f>IF(K23&lt;80,0,IF((L23-K23)&lt;=2,($L$63-(($K$63-$L$63)/4)*(L23-K23-2)),($L$63-(($L$63-$M$63)/8)*(L23-K23-2))))</f>
        <v/>
      </c>
      <c r="T23" s="111">
        <f>IF(J23&lt;135,"",J23-$J$66)</f>
        <v/>
      </c>
      <c r="U23" s="111">
        <f>K23-S23</f>
        <v/>
      </c>
      <c r="V23" s="111">
        <f>O23/$G$43*10^(U23/10)</f>
        <v/>
      </c>
      <c r="W23" s="469">
        <f>IF((Z23^2*(I23^2+$G$3^2+$G$4^2)&gt;0),(Z23^2*(I23^2+$G$3^2+$G$4^2)),0)</f>
        <v/>
      </c>
      <c r="X23" s="180">
        <f>IF(W23=0,0,(AA23*Y23)^2)</f>
        <v/>
      </c>
      <c r="Y23" s="181">
        <f>0.5*((P23-Q23)/60)</f>
        <v/>
      </c>
      <c r="Z23" s="470">
        <f>O23/$G$43*10^((K23-$G$44)/10)</f>
        <v/>
      </c>
      <c r="AA23" s="397">
        <f>IF(AB23=0,0,4.34*(Z23/AB23))</f>
        <v/>
      </c>
      <c r="AB23" s="183">
        <f>O23/60</f>
        <v/>
      </c>
      <c r="AF23" s="183">
        <f>IF(N23="0",0,O23/$G$43*10^(N23/10))</f>
        <v/>
      </c>
      <c r="AG23" s="183">
        <f>O23/$G$43*10^(K23/10)</f>
        <v/>
      </c>
      <c r="AH23" s="388">
        <f>IF(K23&gt;80,O23,"")</f>
        <v/>
      </c>
      <c r="AI23" s="388">
        <f>IF(K23&gt;80,O23/$AH$10*10^(L23/10),"")</f>
        <v/>
      </c>
      <c r="AJ23" s="388">
        <f>IF(K23&gt;80,O23/$AH$10*10^(K23/10),"")</f>
        <v/>
      </c>
      <c r="AL23" s="184" t="n"/>
    </row>
    <row r="24" hidden="1" ht="27" customHeight="1" s="444">
      <c r="C24" s="264">
        <f>IF(S24=0,"T",IF((K24-M24)&lt;65,"I",IF((K24-M24)&lt;70,"K",IF((K24-M24)&lt;75,"J",IF((K24-M24)&lt;80,"K","L")))))</f>
        <v/>
      </c>
      <c r="D24" s="273">
        <f>IF(J24&lt;135,"T",IF((J24-$J$66)&lt;135,"J","L"))</f>
        <v/>
      </c>
      <c r="E24" s="21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IF(AND($O$44&gt;87,K24&gt;80),S24,0)</f>
        <v/>
      </c>
      <c r="N24" s="281">
        <f>IF(M24=0,0,K24-M24)</f>
        <v/>
      </c>
      <c r="O24" s="25" t="n"/>
      <c r="P24" s="25" t="n"/>
      <c r="Q24" s="25" t="n"/>
      <c r="R24" s="81">
        <f>IF(S24&gt;0,1,"")</f>
        <v/>
      </c>
      <c r="S24" s="111">
        <f>IF(K24&lt;80,0,IF((L24-K24)&lt;=2,($L$63-(($K$63-$L$63)/4)*(L24-K24-2)),($L$63-(($L$63-$M$63)/8)*(L24-K24-2))))</f>
        <v/>
      </c>
      <c r="T24" s="111">
        <f>IF(J24&lt;135,"",J24-$J$66)</f>
        <v/>
      </c>
      <c r="U24" s="111">
        <f>K24-S24</f>
        <v/>
      </c>
      <c r="V24" s="111">
        <f>O24/$G$43*10^(U24/10)</f>
        <v/>
      </c>
      <c r="W24" s="469">
        <f>IF((Z24^2*(I24^2+$G$3^2+$G$4^2)&gt;0),(Z24^2*(I24^2+$G$3^2+$G$4^2)),0)</f>
        <v/>
      </c>
      <c r="X24" s="180">
        <f>IF(W24=0,0,(AA24*Y24)^2)</f>
        <v/>
      </c>
      <c r="Y24" s="181">
        <f>0.5*((P24-Q24)/60)</f>
        <v/>
      </c>
      <c r="Z24" s="470">
        <f>O24/$G$43*10^((K24-$G$44)/10)</f>
        <v/>
      </c>
      <c r="AA24" s="397">
        <f>IF(AB24=0,0,4.34*(Z24/AB24))</f>
        <v/>
      </c>
      <c r="AB24" s="183">
        <f>O24/60</f>
        <v/>
      </c>
      <c r="AF24" s="183">
        <f>IF(N24="0",0,O24/$G$43*10^(N24/10))</f>
        <v/>
      </c>
      <c r="AG24" s="183">
        <f>O24/$G$43*10^(K24/10)</f>
        <v/>
      </c>
      <c r="AH24" s="388">
        <f>IF(K24&gt;80,O24,"")</f>
        <v/>
      </c>
      <c r="AI24" s="388">
        <f>IF(K24&gt;80,O24/$AH$10*10^(L24/10),"")</f>
        <v/>
      </c>
      <c r="AJ24" s="388">
        <f>IF(K24&gt;80,O24/$AH$10*10^(K24/10),"")</f>
        <v/>
      </c>
      <c r="AL24" s="184" t="n"/>
    </row>
    <row r="25" hidden="1" ht="27" customHeight="1" s="444">
      <c r="C25" s="264">
        <f>IF(S25=0,"T",IF((K25-M25)&lt;65,"I",IF((K25-M25)&lt;70,"K",IF((K25-M25)&lt;75,"J",IF((K25-M25)&lt;80,"K","L")))))</f>
        <v/>
      </c>
      <c r="D25" s="273">
        <f>IF(J25&lt;135,"T",IF((J25-$J$66)&lt;135,"J","L"))</f>
        <v/>
      </c>
      <c r="E25" s="21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IF(AND($O$44&gt;87,K25&gt;80),S25,0)</f>
        <v/>
      </c>
      <c r="N25" s="281">
        <f>IF(M25=0,0,K25-M25)</f>
        <v/>
      </c>
      <c r="O25" s="25" t="n"/>
      <c r="P25" s="25" t="n"/>
      <c r="Q25" s="25" t="n"/>
      <c r="R25" s="81">
        <f>IF(S25&gt;0,1,"")</f>
        <v/>
      </c>
      <c r="S25" s="111">
        <f>IF(K25&lt;80,0,IF((L25-K25)&lt;=2,($L$63-(($K$63-$L$63)/4)*(L25-K25-2)),($L$63-(($L$63-$M$63)/8)*(L25-K25-2))))</f>
        <v/>
      </c>
      <c r="T25" s="111">
        <f>IF(J25&lt;135,"",J25-$J$66)</f>
        <v/>
      </c>
      <c r="U25" s="111">
        <f>K25-S25</f>
        <v/>
      </c>
      <c r="V25" s="111">
        <f>O25/$G$43*10^(U25/10)</f>
        <v/>
      </c>
      <c r="W25" s="469">
        <f>IF((Z25^2*(I25^2+$G$3^2+$G$4^2)&gt;0),(Z25^2*(I25^2+$G$3^2+$G$4^2)),0)</f>
        <v/>
      </c>
      <c r="X25" s="180">
        <f>IF(W25=0,0,(AA25*Y25)^2)</f>
        <v/>
      </c>
      <c r="Y25" s="181">
        <f>0.5*((P25-Q25)/60)</f>
        <v/>
      </c>
      <c r="Z25" s="470">
        <f>O25/$G$43*10^((K25-$G$44)/10)</f>
        <v/>
      </c>
      <c r="AA25" s="397">
        <f>IF(AB25=0,0,4.34*(Z25/AB25))</f>
        <v/>
      </c>
      <c r="AB25" s="183">
        <f>O25/60</f>
        <v/>
      </c>
      <c r="AF25" s="183">
        <f>IF(N25="0",0,O25/$G$43*10^(N25/10))</f>
        <v/>
      </c>
      <c r="AG25" s="183">
        <f>O25/$G$43*10^(K25/10)</f>
        <v/>
      </c>
      <c r="AH25" s="388">
        <f>IF(K25&gt;80,O25,"")</f>
        <v/>
      </c>
      <c r="AI25" s="388">
        <f>IF(K25&gt;80,O25/$AH$10*10^(L25/10),"")</f>
        <v/>
      </c>
      <c r="AJ25" s="388">
        <f>IF(K25&gt;80,O25/$AH$10*10^(K25/10),"")</f>
        <v/>
      </c>
      <c r="AL25" s="184" t="n"/>
    </row>
    <row r="26" hidden="1" ht="27" customHeight="1" s="444">
      <c r="C26" s="264">
        <f>IF(S26=0,"T",IF((K26-M26)&lt;65,"I",IF((K26-M26)&lt;70,"K",IF((K26-M26)&lt;75,"J",IF((K26-M26)&lt;80,"K","L")))))</f>
        <v/>
      </c>
      <c r="D26" s="273">
        <f>IF(J26&lt;135,"T",IF((J26-$J$66)&lt;135,"J","L"))</f>
        <v/>
      </c>
      <c r="E26" s="21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IF(AND($O$44&gt;87,K26&gt;80),S26,0)</f>
        <v/>
      </c>
      <c r="N26" s="281">
        <f>IF(M26=0,0,K26-M26)</f>
        <v/>
      </c>
      <c r="O26" s="25" t="n"/>
      <c r="P26" s="25" t="n"/>
      <c r="Q26" s="25" t="n"/>
      <c r="R26" s="81">
        <f>IF(S26&gt;0,1,"")</f>
        <v/>
      </c>
      <c r="S26" s="111">
        <f>IF(K26&lt;80,0,IF((L26-K26)&lt;=2,($L$63-(($K$63-$L$63)/4)*(L26-K26-2)),($L$63-(($L$63-$M$63)/8)*(L26-K26-2))))</f>
        <v/>
      </c>
      <c r="T26" s="111">
        <f>IF(J26&lt;135,"",J26-$J$66)</f>
        <v/>
      </c>
      <c r="U26" s="111">
        <f>K26-S26</f>
        <v/>
      </c>
      <c r="V26" s="111">
        <f>O26/$G$43*10^(U26/10)</f>
        <v/>
      </c>
      <c r="W26" s="469">
        <f>IF((Z26^2*(I26^2+$G$3^2+$G$4^2)&gt;0),(Z26^2*(I26^2+$G$3^2+$G$4^2)),0)</f>
        <v/>
      </c>
      <c r="X26" s="180">
        <f>IF(W26=0,0,(AA26*Y26)^2)</f>
        <v/>
      </c>
      <c r="Y26" s="181">
        <f>0.5*((P26-Q26)/60)</f>
        <v/>
      </c>
      <c r="Z26" s="470">
        <f>O26/$G$43*10^((K26-$G$44)/10)</f>
        <v/>
      </c>
      <c r="AA26" s="397">
        <f>IF(AB26=0,0,4.34*(Z26/AB26))</f>
        <v/>
      </c>
      <c r="AB26" s="183">
        <f>O26/60</f>
        <v/>
      </c>
      <c r="AF26" s="183">
        <f>IF(N26="0",0,O26/$G$43*10^(N26/10))</f>
        <v/>
      </c>
      <c r="AG26" s="183">
        <f>O26/$G$43*10^(K26/10)</f>
        <v/>
      </c>
      <c r="AH26" s="388">
        <f>IF(K26&gt;80,O26,"")</f>
        <v/>
      </c>
      <c r="AI26" s="388">
        <f>IF(K26&gt;80,O26/$AH$10*10^(L26/10),"")</f>
        <v/>
      </c>
      <c r="AJ26" s="388">
        <f>IF(K26&gt;80,O26/$AH$10*10^(K26/10),"")</f>
        <v/>
      </c>
      <c r="AL26" s="184" t="n"/>
    </row>
    <row r="27" hidden="1" ht="27" customHeight="1" s="444">
      <c r="C27" s="264">
        <f>IF(S27=0,"T",IF((K27-M27)&lt;65,"I",IF((K27-M27)&lt;70,"K",IF((K27-M27)&lt;75,"J",IF((K27-M27)&lt;80,"K","L")))))</f>
        <v/>
      </c>
      <c r="D27" s="273">
        <f>IF(J27&lt;135,"T",IF((J27-$J$66)&lt;135,"J","L"))</f>
        <v/>
      </c>
      <c r="E27" s="21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IF(AND($O$44&gt;87,K27&gt;80),S27,0)</f>
        <v/>
      </c>
      <c r="N27" s="281">
        <f>IF(M27=0,0,K27-M27)</f>
        <v/>
      </c>
      <c r="O27" s="25" t="n"/>
      <c r="P27" s="25" t="n"/>
      <c r="Q27" s="25" t="n"/>
      <c r="R27" s="81">
        <f>IF(S27&gt;0,1,"")</f>
        <v/>
      </c>
      <c r="S27" s="111">
        <f>IF(K27&lt;80,0,IF((L27-K27)&lt;=2,($L$63-(($K$63-$L$63)/4)*(L27-K27-2)),($L$63-(($L$63-$M$63)/8)*(L27-K27-2))))</f>
        <v/>
      </c>
      <c r="T27" s="111">
        <f>IF(J27&lt;135,"",J27-$J$66)</f>
        <v/>
      </c>
      <c r="U27" s="111">
        <f>K27-S27</f>
        <v/>
      </c>
      <c r="V27" s="111">
        <f>O27/$G$43*10^(U27/10)</f>
        <v/>
      </c>
      <c r="W27" s="469">
        <f>IF((Z27^2*(I27^2+$G$3^2+$G$4^2)&gt;0),(Z27^2*(I27^2+$G$3^2+$G$4^2)),0)</f>
        <v/>
      </c>
      <c r="X27" s="180">
        <f>IF(W27=0,0,(AA27*Y27)^2)</f>
        <v/>
      </c>
      <c r="Y27" s="181">
        <f>0.5*((P27-Q27)/60)</f>
        <v/>
      </c>
      <c r="Z27" s="470">
        <f>O27/$G$43*10^((K27-$G$44)/10)</f>
        <v/>
      </c>
      <c r="AA27" s="397">
        <f>IF(AB27=0,0,4.34*(Z27/AB27))</f>
        <v/>
      </c>
      <c r="AB27" s="183">
        <f>O27/60</f>
        <v/>
      </c>
      <c r="AF27" s="183">
        <f>IF(N27="0",0,O27/$G$43*10^(N27/10))</f>
        <v/>
      </c>
      <c r="AG27" s="183">
        <f>O27/$G$43*10^(K27/10)</f>
        <v/>
      </c>
      <c r="AH27" s="388">
        <f>IF(K27&gt;80,O27,"")</f>
        <v/>
      </c>
      <c r="AI27" s="388">
        <f>IF(K27&gt;80,O27/$AH$10*10^(L27/10),"")</f>
        <v/>
      </c>
      <c r="AJ27" s="388">
        <f>IF(K27&gt;80,O27/$AH$10*10^(K27/10),"")</f>
        <v/>
      </c>
      <c r="AL27" s="184" t="n"/>
    </row>
    <row r="28" hidden="1" ht="27" customHeight="1" s="444">
      <c r="C28" s="264">
        <f>IF(S28=0,"T",IF((K28-M28)&lt;65,"I",IF((K28-M28)&lt;70,"K",IF((K28-M28)&lt;75,"J",IF((K28-M28)&lt;80,"K","L")))))</f>
        <v/>
      </c>
      <c r="D28" s="273">
        <f>IF(J28&lt;135,"T",IF((J28-$J$66)&lt;135,"J","L"))</f>
        <v/>
      </c>
      <c r="E28" s="21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IF(AND($O$44&gt;87,K28&gt;80),S28,0)</f>
        <v/>
      </c>
      <c r="N28" s="281">
        <f>IF(M28=0,0,K28-M28)</f>
        <v/>
      </c>
      <c r="O28" s="25" t="n"/>
      <c r="P28" s="25" t="n"/>
      <c r="Q28" s="25" t="n"/>
      <c r="R28" s="81">
        <f>IF(S28&gt;0,1,"")</f>
        <v/>
      </c>
      <c r="S28" s="111">
        <f>IF(K28&lt;80,0,IF((L28-K28)&lt;=2,($L$63-(($K$63-$L$63)/4)*(L28-K28-2)),($L$63-(($L$63-$M$63)/8)*(L28-K28-2))))</f>
        <v/>
      </c>
      <c r="T28" s="111">
        <f>IF(J28&lt;135,"",J28-$J$66)</f>
        <v/>
      </c>
      <c r="U28" s="111">
        <f>K28-S28</f>
        <v/>
      </c>
      <c r="V28" s="111">
        <f>O28/$G$43*10^(U28/10)</f>
        <v/>
      </c>
      <c r="W28" s="469">
        <f>IF((Z28^2*(I28^2+$G$3^2+$G$4^2)&gt;0),(Z28^2*(I28^2+$G$3^2+$G$4^2)),0)</f>
        <v/>
      </c>
      <c r="X28" s="180">
        <f>IF(W28=0,0,(AA28*Y28)^2)</f>
        <v/>
      </c>
      <c r="Y28" s="181">
        <f>0.5*((P28-Q28)/60)</f>
        <v/>
      </c>
      <c r="Z28" s="470">
        <f>O28/$G$43*10^((K28-$G$44)/10)</f>
        <v/>
      </c>
      <c r="AA28" s="397">
        <f>IF(AB28=0,0,4.34*(Z28/AB28))</f>
        <v/>
      </c>
      <c r="AB28" s="183">
        <f>O28/60</f>
        <v/>
      </c>
      <c r="AF28" s="183">
        <f>IF(N28="0",0,O28/$G$43*10^(N28/10))</f>
        <v/>
      </c>
      <c r="AG28" s="183">
        <f>O28/$G$43*10^(K28/10)</f>
        <v/>
      </c>
      <c r="AH28" s="388">
        <f>IF(K28&gt;80,O28,"")</f>
        <v/>
      </c>
      <c r="AI28" s="388">
        <f>IF(K28&gt;80,O28/$AH$10*10^(L28/10),"")</f>
        <v/>
      </c>
      <c r="AJ28" s="388">
        <f>IF(K28&gt;80,O28/$AH$10*10^(K28/10),"")</f>
        <v/>
      </c>
      <c r="AL28" s="184" t="n"/>
    </row>
    <row r="29" hidden="1" ht="27" customHeight="1" s="444">
      <c r="C29" s="264">
        <f>IF(S29=0,"T",IF((K29-M29)&lt;65,"I",IF((K29-M29)&lt;70,"K",IF((K29-M29)&lt;75,"J",IF((K29-M29)&lt;80,"K","L")))))</f>
        <v/>
      </c>
      <c r="D29" s="273">
        <f>IF(J29&lt;135,"T",IF((J29-$J$66)&lt;135,"J","L"))</f>
        <v/>
      </c>
      <c r="E29" s="21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IF(AND($O$44&gt;87,K29&gt;80),S29,0)</f>
        <v/>
      </c>
      <c r="N29" s="281">
        <f>IF(M29=0,0,K29-M29)</f>
        <v/>
      </c>
      <c r="O29" s="25" t="n"/>
      <c r="P29" s="25" t="n"/>
      <c r="Q29" s="25" t="n"/>
      <c r="R29" s="81">
        <f>IF(S29&gt;0,1,"")</f>
        <v/>
      </c>
      <c r="S29" s="111">
        <f>IF(K29&lt;80,0,IF((L29-K29)&lt;=2,($L$63-(($K$63-$L$63)/4)*(L29-K29-2)),($L$63-(($L$63-$M$63)/8)*(L29-K29-2))))</f>
        <v/>
      </c>
      <c r="T29" s="111">
        <f>IF(J29&lt;135,"",J29-$J$66)</f>
        <v/>
      </c>
      <c r="U29" s="111">
        <f>K29-S29</f>
        <v/>
      </c>
      <c r="V29" s="111">
        <f>O29/$G$43*10^(U29/10)</f>
        <v/>
      </c>
      <c r="W29" s="469">
        <f>IF((Z29^2*(I29^2+$G$3^2+$G$4^2)&gt;0),(Z29^2*(I29^2+$G$3^2+$G$4^2)),0)</f>
        <v/>
      </c>
      <c r="X29" s="180">
        <f>IF(W29=0,0,(AA29*Y29)^2)</f>
        <v/>
      </c>
      <c r="Y29" s="181">
        <f>0.5*((P29-Q29)/60)</f>
        <v/>
      </c>
      <c r="Z29" s="470">
        <f>O29/$G$43*10^((K29-$G$44)/10)</f>
        <v/>
      </c>
      <c r="AA29" s="397">
        <f>IF(AB29=0,0,4.34*(Z29/AB29))</f>
        <v/>
      </c>
      <c r="AB29" s="183">
        <f>O29/60</f>
        <v/>
      </c>
      <c r="AF29" s="183">
        <f>IF(N29="0",0,O29/$G$43*10^(N29/10))</f>
        <v/>
      </c>
      <c r="AG29" s="183">
        <f>O29/$G$43*10^(K29/10)</f>
        <v/>
      </c>
      <c r="AH29" s="388">
        <f>IF(K29&gt;80,O29,"")</f>
        <v/>
      </c>
      <c r="AI29" s="388">
        <f>IF(K29&gt;80,O29/$AH$10*10^(L29/10),"")</f>
        <v/>
      </c>
      <c r="AJ29" s="388">
        <f>IF(K29&gt;80,O29/$AH$10*10^(K29/10),"")</f>
        <v/>
      </c>
      <c r="AL29" s="184" t="n"/>
    </row>
    <row r="30" hidden="1" ht="27" customHeight="1" s="444">
      <c r="C30" s="264">
        <f>IF(S30=0,"T",IF((K30-M30)&lt;65,"I",IF((K30-M30)&lt;70,"K",IF((K30-M30)&lt;75,"J",IF((K30-M30)&lt;80,"K","L")))))</f>
        <v/>
      </c>
      <c r="D30" s="273">
        <f>IF(J30&lt;135,"T",IF((J30-$J$66)&lt;135,"J","L"))</f>
        <v/>
      </c>
      <c r="E30" s="21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IF(AND($O$44&gt;87,K30&gt;80),S30,0)</f>
        <v/>
      </c>
      <c r="N30" s="281">
        <f>IF(M30=0,0,K30-M30)</f>
        <v/>
      </c>
      <c r="O30" s="25" t="n"/>
      <c r="P30" s="25" t="n"/>
      <c r="Q30" s="25" t="n"/>
      <c r="R30" s="81">
        <f>IF(S30&gt;0,1,"")</f>
        <v/>
      </c>
      <c r="S30" s="111">
        <f>IF(K30&lt;80,0,IF((L30-K30)&lt;=2,($L$63-(($K$63-$L$63)/4)*(L30-K30-2)),($L$63-(($L$63-$M$63)/8)*(L30-K30-2))))</f>
        <v/>
      </c>
      <c r="T30" s="111">
        <f>IF(J30&lt;135,"",J30-$J$66)</f>
        <v/>
      </c>
      <c r="U30" s="111">
        <f>K30-S30</f>
        <v/>
      </c>
      <c r="V30" s="111">
        <f>O30/$G$43*10^(U30/10)</f>
        <v/>
      </c>
      <c r="W30" s="469">
        <f>IF((Z30^2*(I30^2+$G$3^2+$G$4^2)&gt;0),(Z30^2*(I30^2+$G$3^2+$G$4^2)),0)</f>
        <v/>
      </c>
      <c r="X30" s="180">
        <f>IF(W30=0,0,(AA30*Y30)^2)</f>
        <v/>
      </c>
      <c r="Y30" s="181">
        <f>0.5*((P30-Q30)/60)</f>
        <v/>
      </c>
      <c r="Z30" s="470">
        <f>O30/$G$43*10^((K30-$G$44)/10)</f>
        <v/>
      </c>
      <c r="AA30" s="397">
        <f>IF(AB30=0,0,4.34*(Z30/AB30))</f>
        <v/>
      </c>
      <c r="AB30" s="183">
        <f>O30/60</f>
        <v/>
      </c>
      <c r="AF30" s="183">
        <f>IF(N30="0",0,O30/$G$43*10^(N30/10))</f>
        <v/>
      </c>
      <c r="AG30" s="183">
        <f>O30/$G$43*10^(K30/10)</f>
        <v/>
      </c>
      <c r="AH30" s="388">
        <f>IF(K30&gt;80,O30,"")</f>
        <v/>
      </c>
      <c r="AI30" s="388">
        <f>IF(K30&gt;80,O30/$AH$10*10^(L30/10),"")</f>
        <v/>
      </c>
      <c r="AJ30" s="388">
        <f>IF(K30&gt;80,O30/$AH$10*10^(K30/10),"")</f>
        <v/>
      </c>
      <c r="AL30" s="184" t="n"/>
    </row>
    <row r="31" hidden="1" ht="27" customHeight="1" s="444">
      <c r="C31" s="264">
        <f>IF(S31=0,"T",IF((K31-M31)&lt;65,"I",IF((K31-M31)&lt;70,"K",IF((K31-M31)&lt;75,"J",IF((K31-M31)&lt;80,"K","L")))))</f>
        <v/>
      </c>
      <c r="D31" s="273">
        <f>IF(J31&lt;135,"T",IF((J31-$J$66)&lt;135,"J","L"))</f>
        <v/>
      </c>
      <c r="E31" s="21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IF(AND($O$44&gt;87,K31&gt;80),S31,0)</f>
        <v/>
      </c>
      <c r="N31" s="281">
        <f>IF(M31=0,0,K31-M31)</f>
        <v/>
      </c>
      <c r="O31" s="25" t="n"/>
      <c r="P31" s="25" t="n"/>
      <c r="Q31" s="25" t="n"/>
      <c r="R31" s="81">
        <f>IF(S31&gt;0,1,"")</f>
        <v/>
      </c>
      <c r="S31" s="111">
        <f>IF(K31&lt;80,0,IF((L31-K31)&lt;=2,($L$63-(($K$63-$L$63)/4)*(L31-K31-2)),($L$63-(($L$63-$M$63)/8)*(L31-K31-2))))</f>
        <v/>
      </c>
      <c r="T31" s="111">
        <f>IF(J31&lt;135,"",J31-$J$66)</f>
        <v/>
      </c>
      <c r="U31" s="111">
        <f>K31-S31</f>
        <v/>
      </c>
      <c r="V31" s="111">
        <f>O31/$G$43*10^(U31/10)</f>
        <v/>
      </c>
      <c r="W31" s="469">
        <f>IF((Z31^2*(I31^2+$G$3^2+$G$4^2)&gt;0),(Z31^2*(I31^2+$G$3^2+$G$4^2)),0)</f>
        <v/>
      </c>
      <c r="X31" s="180">
        <f>IF(W31=0,0,(AA31*Y31)^2)</f>
        <v/>
      </c>
      <c r="Y31" s="181">
        <f>0.5*((P31-Q31)/60)</f>
        <v/>
      </c>
      <c r="Z31" s="470">
        <f>O31/$G$43*10^((K31-$G$44)/10)</f>
        <v/>
      </c>
      <c r="AA31" s="397">
        <f>IF(AB31=0,0,4.34*(Z31/AB31))</f>
        <v/>
      </c>
      <c r="AB31" s="183">
        <f>O31/60</f>
        <v/>
      </c>
      <c r="AF31" s="183">
        <f>IF(N31="0",0,O31/$G$43*10^(N31/10))</f>
        <v/>
      </c>
      <c r="AG31" s="183">
        <f>O31/$G$43*10^(K31/10)</f>
        <v/>
      </c>
      <c r="AH31" s="388">
        <f>IF(K31&gt;80,O31,"")</f>
        <v/>
      </c>
      <c r="AI31" s="388">
        <f>IF(K31&gt;80,O31/$AH$10*10^(L31/10),"")</f>
        <v/>
      </c>
      <c r="AJ31" s="388">
        <f>IF(K31&gt;80,O31/$AH$10*10^(K31/10),"")</f>
        <v/>
      </c>
      <c r="AL31" s="184" t="n"/>
    </row>
    <row r="32" hidden="1" ht="27" customHeight="1" s="444">
      <c r="C32" s="264">
        <f>IF(S32=0,"T",IF((K32-M32)&lt;65,"I",IF((K32-M32)&lt;70,"K",IF((K32-M32)&lt;75,"J",IF((K32-M32)&lt;80,"K","L")))))</f>
        <v/>
      </c>
      <c r="D32" s="273">
        <f>IF(J32&lt;135,"T",IF((J32-$J$66)&lt;135,"J","L"))</f>
        <v/>
      </c>
      <c r="E32" s="21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IF(AND($O$44&gt;87,K32&gt;80),S32,0)</f>
        <v/>
      </c>
      <c r="N32" s="281">
        <f>IF(M32=0,0,K32-M32)</f>
        <v/>
      </c>
      <c r="O32" s="25" t="n"/>
      <c r="P32" s="25" t="n"/>
      <c r="Q32" s="25" t="n"/>
      <c r="R32" s="81">
        <f>IF(S32&gt;0,1,"")</f>
        <v/>
      </c>
      <c r="S32" s="111">
        <f>IF(K32&lt;80,0,IF((L32-K32)&lt;=2,($L$63-(($K$63-$L$63)/4)*(L32-K32-2)),($L$63-(($L$63-$M$63)/8)*(L32-K32-2))))</f>
        <v/>
      </c>
      <c r="T32" s="111">
        <f>IF(J32&lt;135,"",J32-$J$66)</f>
        <v/>
      </c>
      <c r="U32" s="111">
        <f>K32-S32</f>
        <v/>
      </c>
      <c r="V32" s="111">
        <f>O32/$G$43*10^(U32/10)</f>
        <v/>
      </c>
      <c r="W32" s="469">
        <f>IF((Z32^2*(I32^2+$G$3^2+$G$4^2)&gt;0),(Z32^2*(I32^2+$G$3^2+$G$4^2)),0)</f>
        <v/>
      </c>
      <c r="X32" s="180">
        <f>IF(W32=0,0,(AA32*Y32)^2)</f>
        <v/>
      </c>
      <c r="Y32" s="181">
        <f>0.5*((P32-Q32)/60)</f>
        <v/>
      </c>
      <c r="Z32" s="470">
        <f>O32/$G$43*10^((K32-$G$44)/10)</f>
        <v/>
      </c>
      <c r="AA32" s="397">
        <f>IF(AB32=0,0,4.34*(Z32/AB32))</f>
        <v/>
      </c>
      <c r="AB32" s="183">
        <f>O32/60</f>
        <v/>
      </c>
      <c r="AF32" s="183">
        <f>IF(N32="0",0,O32/$G$43*10^(N32/10))</f>
        <v/>
      </c>
      <c r="AG32" s="183">
        <f>O32/$G$43*10^(K32/10)</f>
        <v/>
      </c>
      <c r="AH32" s="388">
        <f>IF(K32&gt;80,O32,"")</f>
        <v/>
      </c>
      <c r="AI32" s="388">
        <f>IF(K32&gt;80,O32/$AH$10*10^(L32/10),"")</f>
        <v/>
      </c>
      <c r="AJ32" s="388">
        <f>IF(K32&gt;80,O32/$AH$10*10^(K32/10),"")</f>
        <v/>
      </c>
      <c r="AL32" s="184" t="n"/>
    </row>
    <row r="33" hidden="1" ht="27" customHeight="1" s="444">
      <c r="C33" s="264">
        <f>IF(S33=0,"T",IF((K33-M33)&lt;65,"I",IF((K33-M33)&lt;70,"K",IF((K33-M33)&lt;75,"J",IF((K33-M33)&lt;80,"K","L")))))</f>
        <v/>
      </c>
      <c r="D33" s="273">
        <f>IF(J33&lt;135,"T",IF((J33-$J$66)&lt;135,"J","L"))</f>
        <v/>
      </c>
      <c r="E33" s="21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IF(AND($O$44&gt;87,K33&gt;80),S33,0)</f>
        <v/>
      </c>
      <c r="N33" s="281">
        <f>IF(M33=0,0,K33-M33)</f>
        <v/>
      </c>
      <c r="O33" s="25" t="n"/>
      <c r="P33" s="25" t="n"/>
      <c r="Q33" s="25" t="n"/>
      <c r="R33" s="81">
        <f>IF(S33&gt;0,1,"")</f>
        <v/>
      </c>
      <c r="S33" s="111">
        <f>IF(K33&lt;80,0,IF((L33-K33)&lt;=2,($L$63-(($K$63-$L$63)/4)*(L33-K33-2)),($L$63-(($L$63-$M$63)/8)*(L33-K33-2))))</f>
        <v/>
      </c>
      <c r="T33" s="111">
        <f>IF(J33&lt;135,"",J33-$J$66)</f>
        <v/>
      </c>
      <c r="U33" s="111">
        <f>K33-S33</f>
        <v/>
      </c>
      <c r="V33" s="111">
        <f>O33/$G$43*10^(U33/10)</f>
        <v/>
      </c>
      <c r="W33" s="469">
        <f>IF((Z33^2*(I33^2+$G$3^2+$G$4^2)&gt;0),(Z33^2*(I33^2+$G$3^2+$G$4^2)),0)</f>
        <v/>
      </c>
      <c r="X33" s="180">
        <f>IF(W33=0,0,(AA33*Y33)^2)</f>
        <v/>
      </c>
      <c r="Y33" s="181">
        <f>0.5*((P33-Q33)/60)</f>
        <v/>
      </c>
      <c r="Z33" s="470">
        <f>O33/$G$43*10^((K33-$G$44)/10)</f>
        <v/>
      </c>
      <c r="AA33" s="397">
        <f>IF(AB33=0,0,4.34*(Z33/AB33))</f>
        <v/>
      </c>
      <c r="AB33" s="183">
        <f>O33/60</f>
        <v/>
      </c>
      <c r="AF33" s="183">
        <f>IF(N33="0",0,O33/$G$43*10^(N33/10))</f>
        <v/>
      </c>
      <c r="AG33" s="183">
        <f>O33/$G$43*10^(K33/10)</f>
        <v/>
      </c>
      <c r="AH33" s="388">
        <f>IF(K33&gt;80,O33,"")</f>
        <v/>
      </c>
      <c r="AI33" s="388">
        <f>IF(K33&gt;80,O33/$AH$10*10^(L33/10),"")</f>
        <v/>
      </c>
      <c r="AJ33" s="388">
        <f>IF(K33&gt;80,O33/$AH$10*10^(K33/10),"")</f>
        <v/>
      </c>
      <c r="AL33" s="184" t="n"/>
    </row>
    <row r="34" hidden="1" ht="27" customHeight="1" s="444">
      <c r="C34" s="264">
        <f>IF(S34=0,"T",IF((K34-M34)&lt;65,"I",IF((K34-M34)&lt;70,"K",IF((K34-M34)&lt;75,"J",IF((K34-M34)&lt;80,"K","L")))))</f>
        <v/>
      </c>
      <c r="D34" s="273">
        <f>IF(J34&lt;135,"T",IF((J34-$J$66)&lt;135,"J","L"))</f>
        <v/>
      </c>
      <c r="E34" s="21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IF(AND($O$44&gt;87,K34&gt;80),S34,0)</f>
        <v/>
      </c>
      <c r="N34" s="281">
        <f>IF(M34=0,0,K34-M34)</f>
        <v/>
      </c>
      <c r="O34" s="25" t="n"/>
      <c r="P34" s="25" t="n"/>
      <c r="Q34" s="25" t="n"/>
      <c r="R34" s="81">
        <f>IF(S34&gt;0,1,"")</f>
        <v/>
      </c>
      <c r="S34" s="111">
        <f>IF(K34&lt;80,0,IF((L34-K34)&lt;=2,($L$63-(($K$63-$L$63)/4)*(L34-K34-2)),($L$63-(($L$63-$M$63)/8)*(L34-K34-2))))</f>
        <v/>
      </c>
      <c r="T34" s="111">
        <f>IF(J34&lt;135,"",J34-$J$66)</f>
        <v/>
      </c>
      <c r="U34" s="111">
        <f>K34-S34</f>
        <v/>
      </c>
      <c r="V34" s="111">
        <f>O34/$G$43*10^(U34/10)</f>
        <v/>
      </c>
      <c r="W34" s="469">
        <f>IF((Z34^2*(I34^2+$G$3^2+$G$4^2)&gt;0),(Z34^2*(I34^2+$G$3^2+$G$4^2)),0)</f>
        <v/>
      </c>
      <c r="X34" s="180">
        <f>IF(W34=0,0,(AA34*Y34)^2)</f>
        <v/>
      </c>
      <c r="Y34" s="181">
        <f>0.5*((P34-Q34)/60)</f>
        <v/>
      </c>
      <c r="Z34" s="470">
        <f>O34/$G$43*10^((K34-$G$44)/10)</f>
        <v/>
      </c>
      <c r="AA34" s="397">
        <f>IF(AB34=0,0,4.34*(Z34/AB34))</f>
        <v/>
      </c>
      <c r="AB34" s="183">
        <f>O34/60</f>
        <v/>
      </c>
      <c r="AF34" s="183">
        <f>IF(N34="0",0,O34/$G$43*10^(N34/10))</f>
        <v/>
      </c>
      <c r="AG34" s="183">
        <f>O34/$G$43*10^(K34/10)</f>
        <v/>
      </c>
      <c r="AH34" s="388">
        <f>IF(K34&gt;80,O34,"")</f>
        <v/>
      </c>
      <c r="AI34" s="388">
        <f>IF(K34&gt;80,O34/$AH$10*10^(L34/10),"")</f>
        <v/>
      </c>
      <c r="AJ34" s="388">
        <f>IF(K34&gt;80,O34/$AH$10*10^(K34/10),"")</f>
        <v/>
      </c>
      <c r="AL34" s="184" t="n"/>
    </row>
    <row r="35" hidden="1" ht="27" customHeight="1" s="444">
      <c r="C35" s="264">
        <f>IF(S35=0,"T",IF((K35-M35)&lt;65,"I",IF((K35-M35)&lt;70,"K",IF((K35-M35)&lt;75,"J",IF((K35-M35)&lt;80,"K","L")))))</f>
        <v/>
      </c>
      <c r="D35" s="273">
        <f>IF(J35&lt;135,"T",IF((J35-$J$66)&lt;135,"J","L"))</f>
        <v/>
      </c>
      <c r="E35" s="21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IF(AND($O$44&gt;87,K35&gt;80),S35,0)</f>
        <v/>
      </c>
      <c r="N35" s="281">
        <f>IF(M35=0,0,K35-M35)</f>
        <v/>
      </c>
      <c r="O35" s="25" t="n"/>
      <c r="P35" s="25" t="n"/>
      <c r="Q35" s="25" t="n"/>
      <c r="R35" s="81">
        <f>IF(S35&gt;0,1,"")</f>
        <v/>
      </c>
      <c r="S35" s="111">
        <f>IF(K35&lt;80,0,IF((L35-K35)&lt;=2,($L$63-(($K$63-$L$63)/4)*(L35-K35-2)),($L$63-(($L$63-$M$63)/8)*(L35-K35-2))))</f>
        <v/>
      </c>
      <c r="T35" s="111">
        <f>IF(J35&lt;135,"",J35-$J$66)</f>
        <v/>
      </c>
      <c r="U35" s="111">
        <f>K35-S35</f>
        <v/>
      </c>
      <c r="V35" s="111">
        <f>O35/$G$43*10^(U35/10)</f>
        <v/>
      </c>
      <c r="W35" s="469">
        <f>IF((Z35^2*(I35^2+$G$3^2+$G$4^2)&gt;0),(Z35^2*(I35^2+$G$3^2+$G$4^2)),0)</f>
        <v/>
      </c>
      <c r="X35" s="180">
        <f>IF(W35=0,0,(AA35*Y35)^2)</f>
        <v/>
      </c>
      <c r="Y35" s="181">
        <f>0.5*((P35-Q35)/60)</f>
        <v/>
      </c>
      <c r="Z35" s="470">
        <f>O35/$G$43*10^((K35-$G$44)/10)</f>
        <v/>
      </c>
      <c r="AA35" s="397">
        <f>IF(AB35=0,0,4.34*(Z35/AB35))</f>
        <v/>
      </c>
      <c r="AB35" s="183">
        <f>O35/60</f>
        <v/>
      </c>
      <c r="AF35" s="183">
        <f>IF(N35="0",0,O35/$G$43*10^(N35/10))</f>
        <v/>
      </c>
      <c r="AG35" s="183">
        <f>O35/$G$43*10^(K35/10)</f>
        <v/>
      </c>
      <c r="AH35" s="388">
        <f>IF(K35&gt;80,O35,"")</f>
        <v/>
      </c>
      <c r="AI35" s="388">
        <f>IF(K35&gt;80,O35/$AH$10*10^(L35/10),"")</f>
        <v/>
      </c>
      <c r="AJ35" s="388">
        <f>IF(K35&gt;80,O35/$AH$10*10^(K35/10),"")</f>
        <v/>
      </c>
      <c r="AL35" s="184" t="n"/>
    </row>
    <row r="36" hidden="1" ht="27" customHeight="1" s="444">
      <c r="C36" s="264">
        <f>IF(S36=0,"T",IF((K36-M36)&lt;65,"I",IF((K36-M36)&lt;70,"K",IF((K36-M36)&lt;75,"J",IF((K36-M36)&lt;80,"K","L")))))</f>
        <v/>
      </c>
      <c r="D36" s="273">
        <f>IF(J36&lt;135,"T",IF((J36-$J$66)&lt;135,"J","L"))</f>
        <v/>
      </c>
      <c r="E36" s="21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IF(AND($O$44&gt;87,K36&gt;80),S36,0)</f>
        <v/>
      </c>
      <c r="N36" s="281">
        <f>IF(M36=0,0,K36-M36)</f>
        <v/>
      </c>
      <c r="O36" s="25" t="n"/>
      <c r="P36" s="25" t="n"/>
      <c r="Q36" s="25" t="n"/>
      <c r="R36" s="81">
        <f>IF(S36&gt;0,1,"")</f>
        <v/>
      </c>
      <c r="S36" s="111">
        <f>IF(K36&lt;80,0,IF((L36-K36)&lt;=2,($L$63-(($K$63-$L$63)/4)*(L36-K36-2)),($L$63-(($L$63-$M$63)/8)*(L36-K36-2))))</f>
        <v/>
      </c>
      <c r="T36" s="111">
        <f>IF(J36&lt;135,"",J36-$J$66)</f>
        <v/>
      </c>
      <c r="U36" s="111">
        <f>K36-S36</f>
        <v/>
      </c>
      <c r="V36" s="111">
        <f>O36/$G$43*10^(U36/10)</f>
        <v/>
      </c>
      <c r="W36" s="469">
        <f>IF((Z36^2*(I36^2+$G$3^2+$G$4^2)&gt;0),(Z36^2*(I36^2+$G$3^2+$G$4^2)),0)</f>
        <v/>
      </c>
      <c r="X36" s="180">
        <f>IF(W36=0,0,(AA36*Y36)^2)</f>
        <v/>
      </c>
      <c r="Y36" s="181">
        <f>0.5*((P36-Q36)/60)</f>
        <v/>
      </c>
      <c r="Z36" s="470">
        <f>O36/$G$43*10^((K36-$G$44)/10)</f>
        <v/>
      </c>
      <c r="AA36" s="397">
        <f>IF(AB36=0,0,4.34*(Z36/AB36))</f>
        <v/>
      </c>
      <c r="AB36" s="183">
        <f>O36/60</f>
        <v/>
      </c>
      <c r="AF36" s="183">
        <f>IF(N36="0",0,O36/$G$43*10^(N36/10))</f>
        <v/>
      </c>
      <c r="AG36" s="183">
        <f>O36/$G$43*10^(K36/10)</f>
        <v/>
      </c>
      <c r="AH36" s="388">
        <f>IF(K36&gt;80,O36,"")</f>
        <v/>
      </c>
      <c r="AI36" s="388">
        <f>IF(K36&gt;80,O36/$AH$10*10^(L36/10),"")</f>
        <v/>
      </c>
      <c r="AJ36" s="388">
        <f>IF(K36&gt;80,O36/$AH$10*10^(K36/10),"")</f>
        <v/>
      </c>
      <c r="AL36" s="184" t="n"/>
    </row>
    <row r="37" hidden="1" ht="27" customHeight="1" s="444">
      <c r="C37" s="264">
        <f>IF(S37=0,"T",IF((K37-M37)&lt;65,"I",IF((K37-M37)&lt;70,"K",IF((K37-M37)&lt;75,"J",IF((K37-M37)&lt;80,"K","L")))))</f>
        <v/>
      </c>
      <c r="D37" s="273">
        <f>IF(J37&lt;135,"T",IF((J37-$J$66)&lt;135,"J","L"))</f>
        <v/>
      </c>
      <c r="E37" s="21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IF(AND($O$44&gt;87,K37&gt;80),S37,0)</f>
        <v/>
      </c>
      <c r="N37" s="281">
        <f>IF(M37=0,0,K37-M37)</f>
        <v/>
      </c>
      <c r="O37" s="25" t="n"/>
      <c r="P37" s="25" t="n"/>
      <c r="Q37" s="25" t="n"/>
      <c r="R37" s="81">
        <f>IF(S37&gt;0,1,"")</f>
        <v/>
      </c>
      <c r="S37" s="111">
        <f>IF(K37&lt;80,0,IF((L37-K37)&lt;=2,($L$63-(($K$63-$L$63)/4)*(L37-K37-2)),($L$63-(($L$63-$M$63)/8)*(L37-K37-2))))</f>
        <v/>
      </c>
      <c r="T37" s="111">
        <f>IF(J37&lt;135,"",J37-$J$66)</f>
        <v/>
      </c>
      <c r="U37" s="111">
        <f>K37-S37</f>
        <v/>
      </c>
      <c r="V37" s="111">
        <f>O37/$G$43*10^(U37/10)</f>
        <v/>
      </c>
      <c r="W37" s="469">
        <f>IF((Z37^2*(I37^2+$G$3^2+$G$4^2)&gt;0),(Z37^2*(I37^2+$G$3^2+$G$4^2)),0)</f>
        <v/>
      </c>
      <c r="X37" s="180">
        <f>IF(W37=0,0,(AA37*Y37)^2)</f>
        <v/>
      </c>
      <c r="Y37" s="181">
        <f>0.5*((P37-Q37)/60)</f>
        <v/>
      </c>
      <c r="Z37" s="470">
        <f>O37/$G$43*10^((K37-$G$44)/10)</f>
        <v/>
      </c>
      <c r="AA37" s="397">
        <f>IF(AB37=0,0,4.34*(Z37/AB37))</f>
        <v/>
      </c>
      <c r="AB37" s="183">
        <f>O37/60</f>
        <v/>
      </c>
      <c r="AF37" s="183">
        <f>IF(N37="0",0,O37/$G$43*10^(N37/10))</f>
        <v/>
      </c>
      <c r="AG37" s="183">
        <f>O37/$G$43*10^(K37/10)</f>
        <v/>
      </c>
      <c r="AH37" s="388">
        <f>IF(K37&gt;80,O37,"")</f>
        <v/>
      </c>
      <c r="AI37" s="388">
        <f>IF(K37&gt;80,O37/$AH$10*10^(L37/10),"")</f>
        <v/>
      </c>
      <c r="AJ37" s="388">
        <f>IF(K37&gt;80,O37/$AH$10*10^(K37/10),"")</f>
        <v/>
      </c>
      <c r="AL37" s="184" t="n"/>
    </row>
    <row r="38" hidden="1" ht="27" customHeight="1" s="444">
      <c r="C38" s="264">
        <f>IF(S38=0,"T",IF((K38-M38)&lt;65,"I",IF((K38-M38)&lt;70,"K",IF((K38-M38)&lt;75,"J",IF((K38-M38)&lt;80,"K","L")))))</f>
        <v/>
      </c>
      <c r="D38" s="273">
        <f>IF(J38&lt;135,"T",IF((J38-$J$66)&lt;135,"J","L"))</f>
        <v/>
      </c>
      <c r="E38" s="21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IF(AND($O$44&gt;87,K38&gt;80),S38,0)</f>
        <v/>
      </c>
      <c r="N38" s="281">
        <f>IF(M38=0,0,K38-M38)</f>
        <v/>
      </c>
      <c r="O38" s="25" t="n"/>
      <c r="P38" s="25" t="n"/>
      <c r="Q38" s="25" t="n"/>
      <c r="R38" s="81">
        <f>IF(S38&gt;0,1,"")</f>
        <v/>
      </c>
      <c r="S38" s="111">
        <f>IF(K38&lt;80,0,IF((L38-K38)&lt;=2,($L$63-(($K$63-$L$63)/4)*(L38-K38-2)),($L$63-(($L$63-$M$63)/8)*(L38-K38-2))))</f>
        <v/>
      </c>
      <c r="T38" s="111">
        <f>IF(J38&lt;135,"",J38-$J$66)</f>
        <v/>
      </c>
      <c r="U38" s="111">
        <f>K38-S38</f>
        <v/>
      </c>
      <c r="V38" s="111">
        <f>O38/$G$43*10^(U38/10)</f>
        <v/>
      </c>
      <c r="W38" s="469">
        <f>IF((Z38^2*(I38^2+$G$3^2+$G$4^2)&gt;0),(Z38^2*(I38^2+$G$3^2+$G$4^2)),0)</f>
        <v/>
      </c>
      <c r="X38" s="180">
        <f>IF(W38=0,0,(AA38*Y38)^2)</f>
        <v/>
      </c>
      <c r="Y38" s="181">
        <f>0.5*((P38-Q38)/60)</f>
        <v/>
      </c>
      <c r="Z38" s="470">
        <f>O38/$G$43*10^((K38-$G$44)/10)</f>
        <v/>
      </c>
      <c r="AA38" s="397">
        <f>IF(AB38=0,0,4.34*(Z38/AB38))</f>
        <v/>
      </c>
      <c r="AB38" s="183">
        <f>O38/60</f>
        <v/>
      </c>
      <c r="AF38" s="183">
        <f>IF(N38="0",0,O38/$G$43*10^(N38/10))</f>
        <v/>
      </c>
      <c r="AG38" s="183">
        <f>O38/$G$43*10^(K38/10)</f>
        <v/>
      </c>
      <c r="AH38" s="388">
        <f>IF(K38&gt;80,O38,"")</f>
        <v/>
      </c>
      <c r="AI38" s="388">
        <f>IF(K38&gt;80,O38/$AH$10*10^(L38/10),"")</f>
        <v/>
      </c>
      <c r="AJ38" s="388">
        <f>IF(K38&gt;80,O38/$AH$10*10^(K38/10),"")</f>
        <v/>
      </c>
      <c r="AL38" s="184" t="n"/>
    </row>
    <row r="39" hidden="1" ht="27" customHeight="1" s="444">
      <c r="C39" s="264">
        <f>IF(S39=0,"T",IF((K39-M39)&lt;65,"I",IF((K39-M39)&lt;70,"K",IF((K39-M39)&lt;75,"J",IF((K39-M39)&lt;80,"K","L")))))</f>
        <v/>
      </c>
      <c r="D39" s="273">
        <f>IF(J39&lt;135,"T",IF((J39-$J$66)&lt;135,"J","L"))</f>
        <v/>
      </c>
      <c r="E39" s="21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IF(AND($O$44&gt;87,K39&gt;80),S39,0)</f>
        <v/>
      </c>
      <c r="N39" s="281">
        <f>IF(M39=0,0,K39-M39)</f>
        <v/>
      </c>
      <c r="O39" s="25" t="n"/>
      <c r="P39" s="25" t="n"/>
      <c r="Q39" s="25" t="n"/>
      <c r="R39" s="81">
        <f>IF(S39&gt;0,1,"")</f>
        <v/>
      </c>
      <c r="S39" s="111">
        <f>IF(K39&lt;80,0,IF((L39-K39)&lt;=2,($L$63-(($K$63-$L$63)/4)*(L39-K39-2)),($L$63-(($L$63-$M$63)/8)*(L39-K39-2))))</f>
        <v/>
      </c>
      <c r="T39" s="111">
        <f>IF(J39&lt;135,"",J39-$J$66)</f>
        <v/>
      </c>
      <c r="U39" s="111">
        <f>K39-S39</f>
        <v/>
      </c>
      <c r="V39" s="111">
        <f>O39/$G$43*10^(U39/10)</f>
        <v/>
      </c>
      <c r="W39" s="469">
        <f>IF((Z39^2*(I39^2+$G$3^2+$G$4^2)&gt;0),(Z39^2*(I39^2+$G$3^2+$G$4^2)),0)</f>
        <v/>
      </c>
      <c r="X39" s="180">
        <f>IF(W39=0,0,(AA39*Y39)^2)</f>
        <v/>
      </c>
      <c r="Y39" s="181">
        <f>0.5*((P39-Q39)/60)</f>
        <v/>
      </c>
      <c r="Z39" s="470">
        <f>O39/$G$43*10^((K39-$G$44)/10)</f>
        <v/>
      </c>
      <c r="AA39" s="397">
        <f>IF(AB39=0,0,4.34*(Z39/AB39))</f>
        <v/>
      </c>
      <c r="AB39" s="183">
        <f>O39/60</f>
        <v/>
      </c>
      <c r="AF39" s="183">
        <f>IF(N39="0",0,O39/$G$43*10^(N39/10))</f>
        <v/>
      </c>
      <c r="AG39" s="183">
        <f>O39/$G$43*10^(K39/10)</f>
        <v/>
      </c>
      <c r="AH39" s="388">
        <f>IF(K39&gt;80,O39,"")</f>
        <v/>
      </c>
      <c r="AI39" s="388">
        <f>IF(K39&gt;80,O39/$AH$10*10^(L39/10),"")</f>
        <v/>
      </c>
      <c r="AJ39" s="388">
        <f>IF(K39&gt;80,O39/$AH$10*10^(K39/10),"")</f>
        <v/>
      </c>
      <c r="AL39" s="184" t="n"/>
    </row>
    <row r="40" hidden="1" ht="27" customHeight="1" s="444">
      <c r="C40" s="264">
        <f>IF(S40=0,"T",IF((K40-M40)&lt;65,"I",IF((K40-M40)&lt;70,"K",IF((K40-M40)&lt;75,"J",IF((K40-M40)&lt;80,"K","L")))))</f>
        <v/>
      </c>
      <c r="D40" s="273">
        <f>IF(J40&lt;135,"T",IF((J40-$J$66)&lt;135,"J","L"))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IF(AND($O$44&gt;87,K40&gt;80),S40,0)</f>
        <v/>
      </c>
      <c r="N40" s="281">
        <f>IF(M40=0,0,K40-M40)</f>
        <v/>
      </c>
      <c r="O40" s="25" t="n"/>
      <c r="P40" s="25" t="n"/>
      <c r="Q40" s="25" t="n"/>
      <c r="R40" s="81">
        <f>IF(S40&gt;0,1,"")</f>
        <v/>
      </c>
      <c r="S40" s="111">
        <f>IF(K40&lt;80,0,IF((L40-K40)&lt;=2,($L$63-(($K$63-$L$63)/4)*(L40-K40-2)),($L$63-(($L$63-$M$63)/8)*(L40-K40-2))))</f>
        <v/>
      </c>
      <c r="T40" s="111">
        <f>IF(J40&lt;135,"",J40-$J$66)</f>
        <v/>
      </c>
      <c r="U40" s="111">
        <f>K40-S40</f>
        <v/>
      </c>
      <c r="V40" s="111">
        <f>O40/$G$43*10^(U40/10)</f>
        <v/>
      </c>
      <c r="W40" s="469">
        <f>IF((Z40^2*(I40^2+$G$3^2+$G$4^2)&gt;0),(Z40^2*(I40^2+$G$3^2+$G$4^2)),0)</f>
        <v/>
      </c>
      <c r="X40" s="180">
        <f>IF(W40=0,0,(AA40*Y40)^2)</f>
        <v/>
      </c>
      <c r="Y40" s="181">
        <f>0.5*((P40-Q40)/60)</f>
        <v/>
      </c>
      <c r="Z40" s="470">
        <f>O40/$G$43*10^((K40-$G$44)/10)</f>
        <v/>
      </c>
      <c r="AA40" s="397">
        <f>IF(AB40=0,0,4.34*(Z40/AB40))</f>
        <v/>
      </c>
      <c r="AB40" s="183">
        <f>O40/60</f>
        <v/>
      </c>
      <c r="AF40" s="183">
        <f>IF(N40="0",0,O40/$G$43*10^(N40/10))</f>
        <v/>
      </c>
      <c r="AG40" s="183">
        <f>O40/$G$43*10^(K40/10)</f>
        <v/>
      </c>
      <c r="AH40" s="388">
        <f>IF(K40&gt;80,O40,"")</f>
        <v/>
      </c>
      <c r="AI40" s="388">
        <f>IF(K40&gt;80,O40/$AH$10*10^(L40/10),"")</f>
        <v/>
      </c>
      <c r="AJ40" s="388">
        <f>IF(K40&gt;80,O40/$AH$10*10^(K40/10),"")</f>
        <v/>
      </c>
      <c r="AL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32">
        <f>SUM(R11:R40)</f>
        <v/>
      </c>
      <c r="S41" s="201">
        <f>SUM(S11:S40)</f>
        <v/>
      </c>
      <c r="T41" s="166">
        <f>MAXA(T11:T40)</f>
        <v/>
      </c>
      <c r="U41" s="200" t="inlineStr">
        <is>
          <t>LAeq - PNR</t>
        </is>
      </c>
      <c r="V41" s="200">
        <f>10*LOG10(SUM(V11:V40))</f>
        <v/>
      </c>
      <c r="AJ41" s="20" t="n"/>
      <c r="AM41" s="29" t="n"/>
    </row>
    <row r="42" ht="20.1" customHeight="1" s="444" thickBot="1">
      <c r="E42" s="30" t="n"/>
      <c r="F42" s="30" t="n"/>
      <c r="K42" s="31" t="n"/>
      <c r="T42" s="32" t="n"/>
      <c r="U42" s="32" t="n"/>
      <c r="AJ42" s="20" t="n"/>
      <c r="AM42" s="29" t="n"/>
    </row>
    <row r="43" ht="20.25" customHeight="1" s="444" thickBot="1">
      <c r="F43" s="33" t="inlineStr">
        <is>
          <t>Tempo di riferimento (To) =</t>
        </is>
      </c>
      <c r="G43" s="94" t="n">
        <v>480</v>
      </c>
      <c r="H43" s="471">
        <f>IF(G43=480,"VALUTAZIONE SU BASE GIORNALIERA", "VALUTAZIONE SU BASE SETTIMANALE")</f>
        <v/>
      </c>
      <c r="I43" s="472" t="n"/>
      <c r="J43" s="472" t="n"/>
      <c r="K43" s="472" t="n"/>
      <c r="L43" s="472" t="n"/>
      <c r="M43" s="472" t="n"/>
      <c r="N43" s="472" t="n"/>
      <c r="O43" s="473" t="n"/>
      <c r="AJ43" s="20" t="n"/>
      <c r="AM43" s="29" t="n"/>
    </row>
    <row r="44" ht="23.25" customHeight="1" s="444">
      <c r="F44" s="97" t="inlineStr">
        <is>
          <t>LEX, 8h =</t>
        </is>
      </c>
      <c r="G44" s="95">
        <f>10*LOG(SUM(AG11:AG40))</f>
        <v/>
      </c>
      <c r="H44" s="55" t="inlineStr">
        <is>
          <t>LEX,8h</t>
        </is>
      </c>
      <c r="I44" s="35">
        <f>G44</f>
        <v/>
      </c>
      <c r="J44" s="36" t="inlineStr">
        <is>
          <t>±</t>
        </is>
      </c>
      <c r="K44" s="37">
        <f>G46</f>
        <v/>
      </c>
      <c r="L44" s="185" t="inlineStr">
        <is>
          <t>→</t>
        </is>
      </c>
      <c r="M44" s="186" t="n"/>
      <c r="N44" s="38" t="inlineStr">
        <is>
          <t>LEX MAX =</t>
        </is>
      </c>
      <c r="O44" s="39">
        <f>I44+K44</f>
        <v/>
      </c>
      <c r="AJ44" s="20" t="n"/>
      <c r="AM44" s="29" t="n"/>
    </row>
    <row r="45" ht="24" customHeight="1" s="444" thickBot="1">
      <c r="F45" s="34" t="inlineStr">
        <is>
          <t>Incert. comb. standard u2(LEX,8h)=</t>
        </is>
      </c>
      <c r="G45" s="96">
        <f>SUM(W11:X40)</f>
        <v/>
      </c>
      <c r="H45" s="40" t="n"/>
      <c r="I45" s="41" t="n"/>
      <c r="J45" s="41" t="n"/>
      <c r="K45" s="41" t="n"/>
      <c r="L45" s="41" t="n"/>
      <c r="M45" s="41" t="n"/>
      <c r="N45" s="38" t="inlineStr">
        <is>
          <t>Massimo dei Lpicco,C misurati =</t>
        </is>
      </c>
      <c r="O45" s="39">
        <f>MAX(J11:J40)</f>
        <v/>
      </c>
      <c r="AF45" s="42" t="n"/>
      <c r="AJ45" s="20" t="n"/>
    </row>
    <row r="46" ht="23.25" customHeight="1" s="444">
      <c r="F46" s="34" t="inlineStr">
        <is>
          <t>Incertezza estesa  U(LEX,8h)=</t>
        </is>
      </c>
      <c r="G46" s="96">
        <f>1.65*SQRT(G45)</f>
        <v/>
      </c>
      <c r="H46" s="474">
        <f>IF(AND((I44+K44)&lt;80,O45&lt;135),"CLASSE DI RISCHIO BASSO",IF(AND((I44+K44)&lt;85,O45&lt;137),"CLASSE DI RISCHIO MEDIO",IF(AND((I44+K44)&lt;87,O45&lt;140),"CLASSE DI RISCHIO ALTO","CLASSE DI RISCHIO ALTO")))</f>
        <v/>
      </c>
      <c r="I46" s="441" t="n"/>
      <c r="J46" s="441" t="n"/>
      <c r="K46" s="441" t="n"/>
      <c r="L46" s="441" t="n"/>
      <c r="M46" s="441" t="n"/>
      <c r="N46" s="441" t="n"/>
      <c r="O46" s="442" t="n"/>
      <c r="AJ46" s="20" t="n"/>
      <c r="AL46" s="475" t="n"/>
      <c r="AM46" s="475" t="n"/>
      <c r="AN46" s="476" t="n"/>
    </row>
    <row r="47" ht="16.5" customHeight="1" s="444" thickBot="1">
      <c r="H47" s="477" t="n"/>
      <c r="I47" s="478" t="n"/>
      <c r="J47" s="478" t="n"/>
      <c r="K47" s="478" t="n"/>
      <c r="L47" s="478" t="n"/>
      <c r="M47" s="478" t="n"/>
      <c r="N47" s="478" t="n"/>
      <c r="O47" s="479" t="n"/>
      <c r="AJ47" s="20" t="n"/>
      <c r="AN47" s="31" t="n"/>
    </row>
    <row r="48" ht="20.1" customHeight="1" s="444" thickBot="1">
      <c r="AF48" s="189" t="n"/>
      <c r="AH48" s="43" t="n"/>
      <c r="AJ48" s="43" t="n"/>
      <c r="AK48" s="43" t="n"/>
    </row>
    <row r="49" ht="39" customHeight="1" s="444">
      <c r="E49" s="480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41" t="n"/>
      <c r="G49" s="441" t="n"/>
      <c r="H49" s="441" t="n"/>
      <c r="I49" s="441" t="n"/>
      <c r="J49" s="441" t="n"/>
      <c r="K49" s="441" t="n"/>
      <c r="L49" s="441" t="n"/>
      <c r="M49" s="441" t="n"/>
      <c r="N49" s="441" t="n"/>
      <c r="O49" s="441" t="n"/>
      <c r="P49" s="442" t="n"/>
      <c r="Q49" s="415" t="n"/>
      <c r="R49" s="415" t="n"/>
      <c r="S49" s="415" t="n"/>
    </row>
    <row r="50" ht="39" customHeight="1" s="444" thickBot="1">
      <c r="E50" s="481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78" t="n"/>
      <c r="G50" s="478" t="n"/>
      <c r="H50" s="478" t="n"/>
      <c r="I50" s="478" t="n"/>
      <c r="J50" s="478" t="n"/>
      <c r="K50" s="478" t="n"/>
      <c r="L50" s="478" t="n"/>
      <c r="M50" s="478" t="n"/>
      <c r="N50" s="478" t="n"/>
      <c r="O50" s="478" t="n"/>
      <c r="P50" s="479" t="n"/>
      <c r="Q50" s="415" t="n"/>
      <c r="R50" s="415" t="n"/>
      <c r="S50" s="415" t="n"/>
    </row>
    <row r="51" ht="20.1" customHeight="1" s="444"/>
    <row r="52" ht="25.5" customHeight="1" s="444">
      <c r="F52" s="414" t="inlineStr">
        <is>
          <t xml:space="preserve">Con attenuazione D.P.I. 
(al verificarsi delle condizioni di cui all'art. 193 comma 2) </t>
        </is>
      </c>
      <c r="K52" s="416" t="inlineStr">
        <is>
          <t xml:space="preserve">LEX,8h = </t>
        </is>
      </c>
      <c r="M52" s="417">
        <f>IF(O44&gt;87,AM11,"Non previsto")</f>
        <v/>
      </c>
    </row>
    <row r="53" ht="25.5" customHeight="1" s="444">
      <c r="E53" s="415" t="n"/>
      <c r="K53" s="416" t="inlineStr">
        <is>
          <t>Ppeak =</t>
        </is>
      </c>
      <c r="M53" s="417">
        <f>IF(O45&gt;140,T41,"Non previsto")</f>
        <v/>
      </c>
      <c r="W53" s="81" t="n"/>
    </row>
    <row r="54" ht="30" customHeight="1" s="444">
      <c r="W54" s="81" t="n"/>
    </row>
    <row r="55" ht="30" customHeight="1" s="444">
      <c r="E55" s="419" t="inlineStr">
        <is>
          <t>VERIFICA E GIUDIZIO IDONEITA' DISPOSITIVI DI PROTEZIONE INDIVIDUALE</t>
        </is>
      </c>
      <c r="Q55" s="420" t="n"/>
      <c r="R55" s="420" t="n"/>
      <c r="S55" s="420" t="n"/>
      <c r="T55" s="47" t="n"/>
      <c r="U55" s="47" t="n"/>
      <c r="W55" s="81" t="n"/>
    </row>
    <row r="56" ht="30" customHeight="1" s="444">
      <c r="E56" s="47" t="inlineStr">
        <is>
          <t>Nota:</t>
        </is>
      </c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47" t="n"/>
      <c r="U56" s="47" t="n"/>
      <c r="W56" s="81" t="n"/>
      <c r="X56" s="47" t="n"/>
      <c r="Y56" s="47" t="n"/>
      <c r="Z56" s="47" t="n"/>
      <c r="AA56" s="47" t="n"/>
    </row>
    <row r="57" ht="63.75" customHeight="1" s="444">
      <c r="E57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57" s="62" t="n"/>
      <c r="R57" s="44" t="n"/>
      <c r="S57" s="384" t="n"/>
      <c r="T57" s="47" t="n"/>
      <c r="U57" s="47" t="n"/>
      <c r="W57" s="81" t="n"/>
      <c r="X57" s="47" t="n"/>
      <c r="Y57" s="47" t="n"/>
      <c r="Z57" s="47" t="n"/>
      <c r="AA57" s="47" t="n"/>
    </row>
    <row r="58" ht="20.1" customHeight="1" s="444">
      <c r="E58" s="384" t="n"/>
      <c r="Q58" s="384" t="n"/>
      <c r="R58" s="384" t="n"/>
      <c r="S58" s="384" t="n"/>
      <c r="T58" s="47" t="n"/>
      <c r="U58" s="47" t="n"/>
      <c r="V58" s="56" t="n"/>
      <c r="W58" s="52" t="n"/>
      <c r="X58" s="47" t="n"/>
      <c r="Y58" s="47" t="n"/>
      <c r="Z58" s="47" t="n"/>
      <c r="AA58" s="47" t="n"/>
    </row>
    <row r="59" ht="9.949999999999999" customHeight="1" s="444" thickBot="1">
      <c r="V59" s="56" t="n"/>
      <c r="W59" s="52" t="n"/>
      <c r="X59" s="47" t="n"/>
      <c r="Y59" s="47" t="n"/>
      <c r="Z59" s="47" t="n"/>
      <c r="AA59" s="47" t="n"/>
    </row>
    <row r="60" ht="55.5" customHeight="1" s="444">
      <c r="B60" s="48" t="n"/>
      <c r="E60" s="385" t="inlineStr">
        <is>
          <t>VERIFICA E GIUDIZIO IDONEITA' DEI D.P.I. CON CALCOLO DEL PNR PER OGNI SORGENTE SONORA 
CON LAeq &gt; 80 dB(A) SUL LIVELLO D'ESPOSIZIONE</t>
        </is>
      </c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3" t="n"/>
      <c r="Q60" s="190" t="n"/>
      <c r="R60" s="190" t="n"/>
      <c r="S60" s="190" t="n"/>
      <c r="V60" s="56" t="n"/>
      <c r="W60" s="52" t="n"/>
      <c r="X60" s="47" t="n"/>
      <c r="Y60" s="47" t="n"/>
      <c r="Z60" s="47" t="n"/>
      <c r="AA60" s="47" t="n"/>
    </row>
    <row r="61" ht="21" customHeight="1" s="444">
      <c r="B61" s="48" t="n"/>
      <c r="E61" s="193" t="inlineStr">
        <is>
          <t>COD.</t>
        </is>
      </c>
      <c r="F61" s="373" t="inlineStr">
        <is>
          <t>Tipologia:</t>
        </is>
      </c>
      <c r="G61" s="373" t="inlineStr">
        <is>
          <t>Marca:</t>
        </is>
      </c>
      <c r="H61" s="373" t="inlineStr">
        <is>
          <t>Modello:</t>
        </is>
      </c>
      <c r="I61" s="461" t="n"/>
      <c r="J61" s="114" t="inlineStr">
        <is>
          <t>SNR</t>
        </is>
      </c>
      <c r="K61" s="115" t="inlineStr">
        <is>
          <t>H</t>
        </is>
      </c>
      <c r="L61" s="116" t="inlineStr">
        <is>
          <t>M</t>
        </is>
      </c>
      <c r="M61" s="116" t="inlineStr">
        <is>
          <t>L</t>
        </is>
      </c>
      <c r="N61" s="388" t="inlineStr">
        <is>
          <t>PNR medio</t>
        </is>
      </c>
      <c r="O61" s="460" t="n"/>
      <c r="P61" s="461" t="n"/>
      <c r="Q61" s="54" t="n"/>
      <c r="R61" s="54" t="n"/>
      <c r="S61" s="54" t="n"/>
      <c r="V61" s="56" t="n"/>
      <c r="W61" s="52" t="n"/>
      <c r="X61" s="47" t="n"/>
      <c r="Y61" s="47" t="n"/>
      <c r="Z61" s="47" t="n"/>
      <c r="AA61" s="47" t="n"/>
    </row>
    <row r="62" ht="21" customHeight="1" s="444">
      <c r="B62" s="48" t="n"/>
      <c r="E62" s="193" t="inlineStr">
        <is>
          <t>A3</t>
        </is>
      </c>
      <c r="F62" s="374">
        <f>VLOOKUP(E62,$E$112:$L$243,2,FALSE)</f>
        <v/>
      </c>
      <c r="G62" s="374">
        <f>VLOOKUP($E$62,$E$112:$L$243,3,FALSE)</f>
        <v/>
      </c>
      <c r="H62" s="374">
        <f>VLOOKUP($E$62,$E$112:$L$243,4,FALSE)</f>
        <v/>
      </c>
      <c r="I62" s="461" t="n"/>
      <c r="J62" s="46">
        <f>VLOOKUP($E$62,$E$112:$L$243,5,FALSE)</f>
        <v/>
      </c>
      <c r="K62" s="46">
        <f>VLOOKUP($E$62,$E$112:$L$243,6,FALSE)</f>
        <v/>
      </c>
      <c r="L62" s="46">
        <f>VLOOKUP($E$62,$E$112:$L$243,7,FALSE)</f>
        <v/>
      </c>
      <c r="M62" s="46">
        <f>VLOOKUP($E$62,$E$112:$L$243,8,FALSE)</f>
        <v/>
      </c>
      <c r="N62" s="392">
        <f>IF(S41=0,"Non necessario",S41/R41)</f>
        <v/>
      </c>
      <c r="O62" s="454" t="n"/>
      <c r="P62" s="456" t="n"/>
      <c r="Q62" s="196" t="n"/>
      <c r="R62" s="196" t="n"/>
      <c r="S62" s="196" t="n"/>
      <c r="V62" s="56" t="n"/>
      <c r="W62" s="56" t="n"/>
      <c r="X62" s="47" t="n"/>
      <c r="Y62" s="47" t="n"/>
      <c r="Z62" s="47" t="n"/>
      <c r="AA62" s="47" t="n"/>
    </row>
    <row r="63" ht="21" customHeight="1" s="444">
      <c r="B63" s="48" t="n"/>
      <c r="C63" s="48" t="n"/>
      <c r="D63" s="48" t="n"/>
      <c r="E63" s="395" t="inlineStr">
        <is>
          <t xml:space="preserve">Coeffciente correttivo β = </t>
        </is>
      </c>
      <c r="F63" s="460" t="n"/>
      <c r="G63" s="461" t="n"/>
      <c r="H63" s="379" t="n">
        <v>0.5</v>
      </c>
      <c r="I63" s="461" t="n"/>
      <c r="J63" s="117">
        <f>H63*J62</f>
        <v/>
      </c>
      <c r="K63" s="118">
        <f>K62*$H$63</f>
        <v/>
      </c>
      <c r="L63" s="118">
        <f>L62*$H$63</f>
        <v/>
      </c>
      <c r="M63" s="118">
        <f>M62*$H$63</f>
        <v/>
      </c>
      <c r="N63" s="458" t="n"/>
      <c r="O63" s="457" t="n"/>
      <c r="P63" s="459" t="n"/>
      <c r="Q63" s="167" t="n"/>
      <c r="R63" s="167" t="n"/>
      <c r="S63" s="167" t="n"/>
      <c r="V63" s="56" t="n"/>
      <c r="W63" s="56" t="n"/>
      <c r="X63" s="47" t="n"/>
      <c r="Y63" s="47" t="n"/>
      <c r="Z63" s="47" t="n"/>
      <c r="AA63" s="47" t="n"/>
    </row>
    <row r="64" ht="9.75" customHeight="1" s="444">
      <c r="B64" s="48" t="n"/>
      <c r="C64" s="48" t="n"/>
      <c r="D64" s="48" t="n"/>
      <c r="E64" s="389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1" t="n"/>
      <c r="Q64" s="167" t="n"/>
      <c r="R64" s="415" t="n"/>
      <c r="S64" s="415" t="n"/>
      <c r="V64" s="56" t="n"/>
      <c r="W64" s="56" t="n"/>
      <c r="X64" s="47" t="n"/>
      <c r="Y64" s="47" t="n"/>
      <c r="Z64" s="47" t="n"/>
      <c r="AA64" s="47" t="n"/>
    </row>
    <row r="65" ht="24" customHeight="1" s="444">
      <c r="B65" s="48" t="n"/>
      <c r="C65" s="48" t="n"/>
      <c r="D65" s="48" t="n"/>
      <c r="E65" s="361" t="inlineStr">
        <is>
          <t>STATO</t>
        </is>
      </c>
      <c r="F65" s="461" t="n"/>
      <c r="G65" s="398" t="inlineStr">
        <is>
          <t>Medoto HML</t>
        </is>
      </c>
      <c r="H65" s="398" t="inlineStr">
        <is>
          <t>LEQ</t>
        </is>
      </c>
      <c r="I65" s="119" t="inlineStr">
        <is>
          <t>Leq(A)'</t>
        </is>
      </c>
      <c r="J65" s="133">
        <f>IF(O44&lt;87,V41,(10*LOG10(SUM(AF11:AF40))))</f>
        <v/>
      </c>
      <c r="K65" s="119" t="inlineStr">
        <is>
          <t xml:space="preserve">Lact </t>
        </is>
      </c>
      <c r="L65" s="119" t="n">
        <v>80</v>
      </c>
      <c r="M65" s="365">
        <f>IF(J65&lt;65,"IPERPROTEZIONE",IF(J65&lt;70,"ACCETTABILE",IF(J65&lt;75,"BUONA",IF(J65&lt;80,"ACCETTABILE","INSUFFICIENTE"))))</f>
        <v/>
      </c>
      <c r="N65" s="460" t="n"/>
      <c r="O65" s="460" t="n"/>
      <c r="P65" s="461" t="n"/>
      <c r="Q65" s="167" t="n"/>
      <c r="R65" s="415" t="n"/>
      <c r="S65" s="85" t="n"/>
      <c r="V65" s="56" t="n"/>
      <c r="W65" s="56" t="n"/>
      <c r="X65" s="47" t="n"/>
      <c r="Y65" s="47" t="n"/>
      <c r="Z65" s="47" t="n"/>
      <c r="AA65" s="47" t="n"/>
    </row>
    <row r="66" ht="27" customHeight="1" s="444" thickBot="1">
      <c r="B66" s="48" t="n"/>
      <c r="C66" s="48" t="n"/>
      <c r="D66" s="48" t="n"/>
      <c r="E66" s="367" t="inlineStr">
        <is>
          <t>IN DOTAZIONE</t>
        </is>
      </c>
      <c r="F66" s="484" t="n"/>
      <c r="G66" s="463" t="n"/>
      <c r="H66" s="113" t="inlineStr">
        <is>
          <t>PPeak</t>
        </is>
      </c>
      <c r="I66" s="112" t="inlineStr">
        <is>
          <t>dm</t>
        </is>
      </c>
      <c r="J66" s="112">
        <f>M63-5</f>
        <v/>
      </c>
      <c r="K66" s="112" t="inlineStr">
        <is>
          <t xml:space="preserve">Lact </t>
        </is>
      </c>
      <c r="L66" s="112" t="n">
        <v>135</v>
      </c>
      <c r="M66" s="368">
        <f>IF($O$45&lt;135,"VERIFICA NON NECESSARIA",IF(($O$45-J66)&lt;135,"IDONEO","INSUFFICIENTE"))</f>
        <v/>
      </c>
      <c r="N66" s="485" t="n"/>
      <c r="O66" s="485" t="n"/>
      <c r="P66" s="484" t="n"/>
      <c r="Q66" s="167" t="n"/>
      <c r="R66" s="415" t="n"/>
      <c r="S66" s="86" t="n"/>
      <c r="V66" s="56" t="n"/>
      <c r="W66" s="56" t="n"/>
      <c r="X66" s="47" t="n"/>
      <c r="Y66" s="47" t="n"/>
      <c r="Z66" s="47" t="n"/>
      <c r="AA66" s="47" t="n"/>
    </row>
    <row r="67" ht="12.6" customHeight="1" s="444">
      <c r="B67" s="48" t="n"/>
      <c r="C67" s="48" t="n"/>
      <c r="D67" s="48" t="n"/>
      <c r="I67" s="61" t="n"/>
      <c r="J67" s="61" t="n"/>
      <c r="K67" s="50" t="n"/>
      <c r="L67" s="51" t="n"/>
      <c r="M67" s="51" t="n"/>
      <c r="N67" s="52" t="n"/>
      <c r="O67" s="53" t="n"/>
      <c r="P67" s="53" t="n"/>
      <c r="Q67" s="167" t="n"/>
      <c r="R67" s="53" t="n"/>
      <c r="S67" s="53" t="n"/>
      <c r="V67" s="56" t="n"/>
      <c r="W67" s="56" t="n"/>
      <c r="X67" s="47" t="n"/>
      <c r="Y67" s="47" t="n"/>
      <c r="Z67" s="47" t="n"/>
      <c r="AA67" s="47" t="n"/>
    </row>
    <row r="68" ht="12.6" customHeight="1" s="444" thickBot="1">
      <c r="B68" s="48" t="n"/>
      <c r="C68" s="48" t="n"/>
      <c r="D68" s="48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2" t="n"/>
      <c r="O68" s="53" t="n"/>
      <c r="P68" s="53" t="n"/>
      <c r="Q68" s="167" t="n"/>
      <c r="R68" s="53" t="n"/>
      <c r="S68" s="53" t="n"/>
      <c r="V68" s="56" t="n"/>
      <c r="W68" s="56" t="n"/>
      <c r="X68" s="47" t="n"/>
      <c r="Y68" s="47" t="n"/>
      <c r="Z68" s="47" t="n"/>
      <c r="AA68" s="47" t="n"/>
    </row>
    <row r="69" ht="27" customHeight="1" s="444">
      <c r="B69" s="48" t="n"/>
      <c r="C69" s="48" t="n"/>
      <c r="D69" s="48" t="n"/>
      <c r="E69" s="486" t="inlineStr">
        <is>
          <t>VERIFICA E GIUDIZIO IDONEITA' DEL D.P.I. CON CALCOLO DEL PNR GLOBALE PER LAeq,F</t>
        </is>
      </c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7" t="n"/>
      <c r="Q69" s="167" t="n"/>
      <c r="R69" s="53" t="n"/>
      <c r="S69" s="53" t="n"/>
      <c r="V69" s="56" t="n"/>
      <c r="W69" s="56" t="n"/>
      <c r="X69" s="47" t="n"/>
      <c r="Y69" s="47" t="n"/>
      <c r="Z69" s="47" t="n"/>
      <c r="AA69" s="47" t="n"/>
    </row>
    <row r="70" ht="21" customHeight="1" s="444">
      <c r="B70" s="48" t="n"/>
      <c r="C70" s="48" t="n"/>
      <c r="D70" s="48" t="n"/>
      <c r="E70" s="193" t="inlineStr">
        <is>
          <t>COD.</t>
        </is>
      </c>
      <c r="F70" s="373" t="inlineStr">
        <is>
          <t>Tipologia:</t>
        </is>
      </c>
      <c r="G70" s="373" t="inlineStr">
        <is>
          <t>Marca:</t>
        </is>
      </c>
      <c r="H70" s="373" t="inlineStr">
        <is>
          <t>Modello:</t>
        </is>
      </c>
      <c r="I70" s="461" t="n"/>
      <c r="J70" s="114" t="inlineStr">
        <is>
          <t>SNR</t>
        </is>
      </c>
      <c r="K70" s="115" t="inlineStr">
        <is>
          <t>H</t>
        </is>
      </c>
      <c r="L70" s="116" t="inlineStr">
        <is>
          <t>M</t>
        </is>
      </c>
      <c r="M70" s="116" t="inlineStr">
        <is>
          <t>L</t>
        </is>
      </c>
      <c r="N70" s="388" t="inlineStr">
        <is>
          <t>LEQ(A)F</t>
        </is>
      </c>
      <c r="O70" s="388" t="inlineStr">
        <is>
          <t>LEQ(C)F</t>
        </is>
      </c>
      <c r="P70" s="132" t="inlineStr">
        <is>
          <t>PNR</t>
        </is>
      </c>
      <c r="Q70" s="167" t="n"/>
      <c r="R70" s="54" t="n"/>
      <c r="S70" s="54" t="n"/>
      <c r="V70" s="56" t="n"/>
      <c r="W70" s="52" t="n"/>
      <c r="X70" s="47" t="n"/>
      <c r="Y70" s="47" t="n"/>
      <c r="Z70" s="47" t="n"/>
      <c r="AA70" s="47" t="n"/>
    </row>
    <row r="71" ht="21" customHeight="1" s="444">
      <c r="B71" s="48" t="n"/>
      <c r="C71" s="48" t="n"/>
      <c r="D71" s="48" t="n"/>
      <c r="E71" s="374" t="inlineStr">
        <is>
          <t>A1</t>
        </is>
      </c>
      <c r="F71" s="374">
        <f>VLOOKUP(E71,$E$112:$L$243,2,FALSE)</f>
        <v/>
      </c>
      <c r="G71" s="374">
        <f>VLOOKUP($E$71,$E$112:$L$243,3,FALSE)</f>
        <v/>
      </c>
      <c r="H71" s="374">
        <f>VLOOKUP($E$71,$E$112:$L$243,4,FALSE)</f>
        <v/>
      </c>
      <c r="I71" s="461" t="n"/>
      <c r="J71" s="46">
        <f>VLOOKUP(E71,$E$112:$L$243,5,FALSE)</f>
        <v/>
      </c>
      <c r="K71" s="46">
        <f>VLOOKUP($E$71,$E$112:$L$243,6,FALSE)</f>
        <v/>
      </c>
      <c r="L71" s="46">
        <f>VLOOKUP($E$71,$E$112:$L$243,7,FALSE)</f>
        <v/>
      </c>
      <c r="M71" s="46">
        <f>VLOOKUP($E$71,$E$112:$L$243,8,FALSE)</f>
        <v/>
      </c>
      <c r="N71" s="375">
        <f>$AK$11</f>
        <v/>
      </c>
      <c r="O71" s="375">
        <f>$AL$11</f>
        <v/>
      </c>
      <c r="P71" s="376">
        <f>IF(($AL$11-$AK$11)&lt;=2,(L72-((K72-L72)/4)*($AL$11-$AK$11-2)),(L72-((L72-M72)/8)*($AL$11-$AK$11-2)))</f>
        <v/>
      </c>
      <c r="Q71" s="167" t="n"/>
      <c r="R71" s="196" t="n"/>
      <c r="S71" s="196" t="n"/>
      <c r="V71" s="56" t="n"/>
      <c r="W71" s="56" t="n"/>
      <c r="X71" s="47" t="n"/>
      <c r="Y71" s="47" t="n"/>
      <c r="Z71" s="47" t="n"/>
      <c r="AA71" s="47" t="n"/>
    </row>
    <row r="72" ht="21" customHeight="1" s="444">
      <c r="B72" s="48" t="n"/>
      <c r="C72" s="48" t="n"/>
      <c r="D72" s="48" t="n"/>
      <c r="E72" s="191" t="n"/>
      <c r="F72" s="127" t="n"/>
      <c r="G72" s="128" t="inlineStr">
        <is>
          <t xml:space="preserve">Coeffciente correttivo β = </t>
        </is>
      </c>
      <c r="H72" s="378" t="n">
        <v>0.85</v>
      </c>
      <c r="I72" s="461" t="n"/>
      <c r="J72" s="117">
        <f>H72*J71</f>
        <v/>
      </c>
      <c r="K72" s="118">
        <f>K71*$H$72</f>
        <v/>
      </c>
      <c r="L72" s="118">
        <f>L71*$H$72</f>
        <v/>
      </c>
      <c r="M72" s="118">
        <f>M71*$H$72</f>
        <v/>
      </c>
      <c r="N72" s="463" t="n"/>
      <c r="O72" s="463" t="n"/>
      <c r="P72" s="488" t="n"/>
      <c r="Q72" s="167" t="n"/>
      <c r="R72" s="167" t="n"/>
      <c r="S72" s="167" t="n"/>
      <c r="V72" s="56" t="n"/>
      <c r="W72" s="56" t="n"/>
      <c r="X72" s="47" t="n"/>
      <c r="Y72" s="47" t="n"/>
      <c r="Z72" s="47" t="n"/>
      <c r="AA72" s="47" t="n"/>
    </row>
    <row r="73" ht="9" customHeight="1" s="444">
      <c r="B73" s="48" t="n"/>
      <c r="C73" s="48" t="n"/>
      <c r="D73" s="48" t="n"/>
      <c r="E73" s="489" t="n"/>
      <c r="F73" s="457" t="n"/>
      <c r="G73" s="457" t="n"/>
      <c r="H73" s="457" t="n"/>
      <c r="I73" s="457" t="n"/>
      <c r="J73" s="457" t="n"/>
      <c r="K73" s="457" t="n"/>
      <c r="L73" s="457" t="n"/>
      <c r="M73" s="457" t="n"/>
      <c r="N73" s="457" t="n"/>
      <c r="O73" s="457" t="n"/>
      <c r="P73" s="490" t="n"/>
      <c r="Q73" s="167" t="n"/>
      <c r="R73" s="167" t="n"/>
      <c r="S73" s="167" t="n"/>
      <c r="V73" s="56" t="n"/>
      <c r="W73" s="56" t="n"/>
      <c r="X73" s="47" t="n"/>
      <c r="Y73" s="47" t="n"/>
      <c r="Z73" s="47" t="n"/>
      <c r="AA73" s="47" t="n"/>
    </row>
    <row r="74" ht="21" customHeight="1" s="444">
      <c r="B74" s="48" t="n"/>
      <c r="C74" s="48" t="n"/>
      <c r="D74" s="48" t="n"/>
      <c r="E74" s="361" t="inlineStr">
        <is>
          <t>STATO</t>
        </is>
      </c>
      <c r="F74" s="461" t="n"/>
      <c r="G74" s="363" t="inlineStr">
        <is>
          <t>Medoto HML</t>
        </is>
      </c>
      <c r="H74" s="130" t="inlineStr">
        <is>
          <t>LEQ</t>
        </is>
      </c>
      <c r="I74" s="131" t="inlineStr">
        <is>
          <t>Leq(A)'</t>
        </is>
      </c>
      <c r="J74" s="133">
        <f>$AK$11-P71</f>
        <v/>
      </c>
      <c r="K74" s="131" t="inlineStr">
        <is>
          <t xml:space="preserve">Lact </t>
        </is>
      </c>
      <c r="L74" s="131" t="n">
        <v>80</v>
      </c>
      <c r="M74" s="365">
        <f>IF(J74&lt;65,"IPERPROTEZIONE",IF(J74&lt;70,"ACCETTABILE",IF(J74&lt;75,"BUONA",IF(J74&lt;80,"ACCETTABILE","INSUFFICIENTE"))))</f>
        <v/>
      </c>
      <c r="N74" s="460" t="n"/>
      <c r="O74" s="460" t="n"/>
      <c r="P74" s="461" t="n"/>
      <c r="Q74" s="167" t="n"/>
      <c r="R74" s="85" t="n"/>
      <c r="S74" s="85" t="n"/>
      <c r="V74" s="56" t="n"/>
      <c r="W74" s="56" t="n"/>
      <c r="X74" s="47" t="n"/>
      <c r="Y74" s="47" t="n"/>
      <c r="Z74" s="47" t="n"/>
      <c r="AA74" s="47" t="n"/>
    </row>
    <row r="75" ht="29.25" customHeight="1" s="444" thickBot="1">
      <c r="B75" s="48" t="n"/>
      <c r="C75" s="48" t="n"/>
      <c r="D75" s="48" t="n"/>
      <c r="E75" s="367" t="inlineStr">
        <is>
          <t>IN DOTAZIONE</t>
        </is>
      </c>
      <c r="F75" s="484" t="n"/>
      <c r="G75" s="463" t="n"/>
      <c r="H75" s="59" t="inlineStr">
        <is>
          <t>PPeak</t>
        </is>
      </c>
      <c r="I75" s="60" t="inlineStr">
        <is>
          <t>dm</t>
        </is>
      </c>
      <c r="J75" s="60">
        <f>M72-5</f>
        <v/>
      </c>
      <c r="K75" s="60" t="inlineStr">
        <is>
          <t xml:space="preserve">Lact </t>
        </is>
      </c>
      <c r="L75" s="60" t="n">
        <v>135</v>
      </c>
      <c r="M75" s="368">
        <f>IF($O$45&lt;135,"VERIFICA NON NECESSARIA",IF(($O$45-J75)&lt;135,"IDONEO","INSUFFICIENTE"))</f>
        <v/>
      </c>
      <c r="N75" s="485" t="n"/>
      <c r="O75" s="485" t="n"/>
      <c r="P75" s="484" t="n"/>
      <c r="Q75" s="167" t="n"/>
      <c r="R75" s="86" t="n"/>
      <c r="S75" s="86" t="n"/>
      <c r="V75" s="56" t="n"/>
      <c r="W75" s="56" t="n"/>
      <c r="X75" s="47" t="n"/>
      <c r="Y75" s="47" t="n"/>
      <c r="Z75" s="47" t="n"/>
      <c r="AA75" s="47" t="n"/>
    </row>
    <row r="76" ht="25.5" customHeight="1" s="444" thickBot="1">
      <c r="C76" s="48" t="n"/>
      <c r="D76" s="48" t="n"/>
      <c r="Q76" s="167" t="n"/>
      <c r="V76" s="56" t="n"/>
      <c r="W76" s="52" t="n"/>
      <c r="X76" s="47" t="n"/>
      <c r="Y76" s="47" t="n"/>
      <c r="Z76" s="47" t="n"/>
      <c r="AA76" s="47" t="n"/>
    </row>
    <row r="77" ht="27" customHeight="1" s="444">
      <c r="B77" s="48" t="n"/>
      <c r="C77" s="48" t="n"/>
      <c r="D77" s="48" t="n"/>
      <c r="E77" s="486" t="inlineStr">
        <is>
          <t>VERIFICA E GIUDIZIO IDONEITA' DEL D.P.I. CON CALCOLO DEL PNR GLOBALE PER LAeq,F</t>
        </is>
      </c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7" t="n"/>
      <c r="Q77" s="167" t="n"/>
      <c r="R77" s="53" t="n"/>
      <c r="S77" s="53" t="n"/>
      <c r="V77" s="56" t="n"/>
      <c r="W77" s="56" t="n"/>
      <c r="X77" s="47" t="n"/>
      <c r="Y77" s="47" t="n"/>
      <c r="Z77" s="47" t="n"/>
      <c r="AA77" s="47" t="n"/>
    </row>
    <row r="78" ht="21" customHeight="1" s="444">
      <c r="B78" s="48" t="n"/>
      <c r="C78" s="48" t="n"/>
      <c r="D78" s="48" t="n"/>
      <c r="E78" s="193" t="inlineStr">
        <is>
          <t>COD.</t>
        </is>
      </c>
      <c r="F78" s="373" t="inlineStr">
        <is>
          <t>Tipologia:</t>
        </is>
      </c>
      <c r="G78" s="373" t="inlineStr">
        <is>
          <t>Marca:</t>
        </is>
      </c>
      <c r="H78" s="373" t="inlineStr">
        <is>
          <t>Modello:</t>
        </is>
      </c>
      <c r="I78" s="461" t="n"/>
      <c r="J78" s="114" t="inlineStr">
        <is>
          <t>SNR</t>
        </is>
      </c>
      <c r="K78" s="115" t="inlineStr">
        <is>
          <t>H</t>
        </is>
      </c>
      <c r="L78" s="116" t="inlineStr">
        <is>
          <t>M</t>
        </is>
      </c>
      <c r="M78" s="116" t="inlineStr">
        <is>
          <t>L</t>
        </is>
      </c>
      <c r="N78" s="388" t="inlineStr">
        <is>
          <t>LEQ(A)F</t>
        </is>
      </c>
      <c r="O78" s="388" t="inlineStr">
        <is>
          <t>LEQ(C)F</t>
        </is>
      </c>
      <c r="P78" s="132" t="inlineStr">
        <is>
          <t>PNR</t>
        </is>
      </c>
      <c r="Q78" s="167" t="n"/>
      <c r="R78" s="54" t="n"/>
      <c r="S78" s="54" t="n"/>
      <c r="V78" s="56" t="n"/>
      <c r="W78" s="52" t="n"/>
      <c r="X78" s="47" t="n"/>
      <c r="Y78" s="47" t="n"/>
      <c r="Z78" s="47" t="n"/>
      <c r="AA78" s="47" t="n"/>
    </row>
    <row r="79" ht="21" customHeight="1" s="444">
      <c r="B79" s="48" t="n"/>
      <c r="E79" s="129" t="inlineStr">
        <is>
          <t>A2</t>
        </is>
      </c>
      <c r="F79" s="126">
        <f>VLOOKUP(E79,$E$112:$L$243,2,FALSE)</f>
        <v/>
      </c>
      <c r="G79" s="126">
        <f>VLOOKUP($E$79,$E$112:$L$243,3,FALSE)</f>
        <v/>
      </c>
      <c r="H79" s="374">
        <f>VLOOKUP($E$79,$E$112:$L$243,4,FALSE)</f>
        <v/>
      </c>
      <c r="I79" s="461" t="n"/>
      <c r="J79" s="46">
        <f>VLOOKUP(E79,$E$112:$L$243,5,FALSE)</f>
        <v/>
      </c>
      <c r="K79" s="46">
        <f>VLOOKUP($E$79,$E$112:$L$243,6,FALSE)</f>
        <v/>
      </c>
      <c r="L79" s="46">
        <f>VLOOKUP($E$79,$E$112:$L$243,7,FALSE)</f>
        <v/>
      </c>
      <c r="M79" s="46">
        <f>VLOOKUP($E$79,$E$112:$L$243,8,FALSE)</f>
        <v/>
      </c>
      <c r="N79" s="375">
        <f>$AK$11</f>
        <v/>
      </c>
      <c r="O79" s="375">
        <f>$AL$11</f>
        <v/>
      </c>
      <c r="P79" s="376">
        <f>IF(($AL$11-$AK$11)&lt;=2,(L80-((K80-L80)/4)*($AL$11-$AK$11-2)),(L80-((L80-M80)/8)*($AL$11-$AK$11-2)))</f>
        <v/>
      </c>
      <c r="Q79" s="167" t="n"/>
      <c r="R79" s="196" t="n"/>
      <c r="S79" s="196" t="n"/>
      <c r="V79" s="56" t="n"/>
      <c r="W79" s="56" t="n"/>
      <c r="X79" s="47" t="n"/>
      <c r="Y79" s="47" t="n"/>
      <c r="Z79" s="47" t="n"/>
      <c r="AA79" s="47" t="n"/>
    </row>
    <row r="80" ht="21" customHeight="1" s="444">
      <c r="B80" s="48" t="n"/>
      <c r="C80" s="48" t="n"/>
      <c r="D80" s="48" t="n"/>
      <c r="E80" s="191" t="n"/>
      <c r="F80" s="127" t="n"/>
      <c r="G80" s="128" t="inlineStr">
        <is>
          <t xml:space="preserve">Coeffciente correttivo β = </t>
        </is>
      </c>
      <c r="H80" s="378" t="n">
        <v>0.85</v>
      </c>
      <c r="I80" s="461" t="n"/>
      <c r="J80" s="117">
        <f>H80*J79</f>
        <v/>
      </c>
      <c r="K80" s="118">
        <f>K79*$H$80</f>
        <v/>
      </c>
      <c r="L80" s="118">
        <f>L79*$H$80</f>
        <v/>
      </c>
      <c r="M80" s="118">
        <f>M79*$H$80</f>
        <v/>
      </c>
      <c r="N80" s="463" t="n"/>
      <c r="O80" s="463" t="n"/>
      <c r="P80" s="488" t="n"/>
      <c r="Q80" s="167" t="n"/>
      <c r="R80" s="167" t="n"/>
      <c r="S80" s="167" t="n"/>
      <c r="V80" s="56" t="n"/>
      <c r="W80" s="56" t="n"/>
      <c r="X80" s="47" t="n"/>
      <c r="Y80" s="47" t="n"/>
      <c r="Z80" s="47" t="n"/>
      <c r="AA80" s="47" t="n"/>
    </row>
    <row r="81" ht="9" customHeight="1" s="444">
      <c r="B81" s="48" t="n"/>
      <c r="C81" s="48" t="n"/>
      <c r="D81" s="48" t="n"/>
      <c r="E81" s="489" t="n"/>
      <c r="F81" s="457" t="n"/>
      <c r="G81" s="457" t="n"/>
      <c r="H81" s="457" t="n"/>
      <c r="I81" s="457" t="n"/>
      <c r="J81" s="457" t="n"/>
      <c r="K81" s="457" t="n"/>
      <c r="L81" s="457" t="n"/>
      <c r="M81" s="457" t="n"/>
      <c r="N81" s="457" t="n"/>
      <c r="O81" s="457" t="n"/>
      <c r="P81" s="490" t="n"/>
      <c r="Q81" s="167" t="n"/>
      <c r="R81" s="167" t="n"/>
      <c r="S81" s="167" t="n"/>
      <c r="V81" s="56" t="n"/>
      <c r="W81" s="56" t="n"/>
      <c r="X81" s="47" t="n"/>
      <c r="Y81" s="47" t="n"/>
      <c r="Z81" s="47" t="n"/>
      <c r="AA81" s="47" t="n"/>
    </row>
    <row r="82" ht="21" customHeight="1" s="444">
      <c r="B82" s="48" t="n"/>
      <c r="C82" s="48" t="n"/>
      <c r="D82" s="48" t="n"/>
      <c r="E82" s="361" t="inlineStr">
        <is>
          <t>STATO</t>
        </is>
      </c>
      <c r="F82" s="461" t="n"/>
      <c r="G82" s="363" t="inlineStr">
        <is>
          <t>Medoto HML</t>
        </is>
      </c>
      <c r="H82" s="130" t="inlineStr">
        <is>
          <t>LEQ</t>
        </is>
      </c>
      <c r="I82" s="131" t="inlineStr">
        <is>
          <t>Leq(A)'</t>
        </is>
      </c>
      <c r="J82" s="133">
        <f>$AK$11-P79</f>
        <v/>
      </c>
      <c r="K82" s="131" t="inlineStr">
        <is>
          <t xml:space="preserve">Lact </t>
        </is>
      </c>
      <c r="L82" s="131" t="n">
        <v>80</v>
      </c>
      <c r="M82" s="365">
        <f>IF(J82&lt;65,"IPERPROTEZIONE",IF(J82&lt;70,"ACCETTABILE",IF(J82&lt;75,"BUONA",IF(J82&lt;80,"ACCETTABILE","INSUFFICIENTE"))))</f>
        <v/>
      </c>
      <c r="N82" s="460" t="n"/>
      <c r="O82" s="460" t="n"/>
      <c r="P82" s="461" t="n"/>
      <c r="Q82" s="167" t="n"/>
      <c r="R82" s="85" t="n"/>
      <c r="S82" s="85" t="n"/>
      <c r="V82" s="56" t="n"/>
      <c r="W82" s="56" t="n"/>
      <c r="X82" s="47" t="n"/>
      <c r="Y82" s="47" t="n"/>
      <c r="Z82" s="47" t="n"/>
      <c r="AA82" s="47" t="n"/>
    </row>
    <row r="83" ht="29.25" customHeight="1" s="444" thickBot="1">
      <c r="B83" s="48" t="n"/>
      <c r="C83" s="48" t="n"/>
      <c r="D83" s="48" t="n"/>
      <c r="E83" s="367" t="inlineStr">
        <is>
          <t>IN DOTAZIONE</t>
        </is>
      </c>
      <c r="F83" s="484" t="n"/>
      <c r="G83" s="463" t="n"/>
      <c r="H83" s="59" t="inlineStr">
        <is>
          <t>PPeak</t>
        </is>
      </c>
      <c r="I83" s="60" t="inlineStr">
        <is>
          <t>dm</t>
        </is>
      </c>
      <c r="J83" s="60">
        <f>M80-5</f>
        <v/>
      </c>
      <c r="K83" s="60" t="inlineStr">
        <is>
          <t xml:space="preserve">Lact </t>
        </is>
      </c>
      <c r="L83" s="60" t="n">
        <v>135</v>
      </c>
      <c r="M83" s="368">
        <f>IF($O$45&lt;135,"VERIFICA NON NECESSARIA",IF(($O$45-J83)&lt;135,"IDONEO","INSUFFICIENTE"))</f>
        <v/>
      </c>
      <c r="N83" s="485" t="n"/>
      <c r="O83" s="485" t="n"/>
      <c r="P83" s="484" t="n"/>
      <c r="Q83" s="167" t="n"/>
      <c r="R83" s="86" t="n"/>
      <c r="S83" s="86" t="n"/>
      <c r="V83" s="56" t="n"/>
      <c r="W83" s="56" t="n"/>
      <c r="X83" s="47" t="n"/>
      <c r="Y83" s="47" t="n"/>
      <c r="Z83" s="47" t="n"/>
      <c r="AA83" s="47" t="n"/>
    </row>
    <row r="84" ht="24" customHeight="1" s="444" thickBot="1">
      <c r="C84" s="48" t="n"/>
      <c r="D84" s="48" t="n"/>
    </row>
    <row r="85" ht="27" customHeight="1" s="444">
      <c r="B85" s="48" t="n"/>
      <c r="C85" s="48" t="n"/>
      <c r="D85" s="48" t="n"/>
      <c r="E85" s="486" t="inlineStr">
        <is>
          <t>VERIFICA E GIUDIZIO IDONEITA' DEL D.P.I. CON CALCOLO DEL PNR GLOBALE PER LAeq,F</t>
        </is>
      </c>
      <c r="F85" s="482" t="n"/>
      <c r="G85" s="482" t="n"/>
      <c r="H85" s="482" t="n"/>
      <c r="I85" s="482" t="n"/>
      <c r="J85" s="482" t="n"/>
      <c r="K85" s="482" t="n"/>
      <c r="L85" s="482" t="n"/>
      <c r="M85" s="482" t="n"/>
      <c r="N85" s="482" t="n"/>
      <c r="O85" s="482" t="n"/>
      <c r="P85" s="487" t="n"/>
      <c r="Q85" s="167" t="n"/>
      <c r="R85" s="53" t="n"/>
      <c r="S85" s="53" t="n"/>
      <c r="V85" s="56" t="n"/>
      <c r="W85" s="56" t="n"/>
      <c r="X85" s="47" t="n"/>
      <c r="Y85" s="47" t="n"/>
      <c r="Z85" s="47" t="n"/>
      <c r="AA85" s="47" t="n"/>
    </row>
    <row r="86" ht="21" customHeight="1" s="444">
      <c r="B86" s="48" t="n"/>
      <c r="C86" s="48" t="n"/>
      <c r="D86" s="48" t="n"/>
      <c r="E86" s="193" t="inlineStr">
        <is>
          <t>COD.</t>
        </is>
      </c>
      <c r="F86" s="373" t="inlineStr">
        <is>
          <t>Tipologia:</t>
        </is>
      </c>
      <c r="G86" s="373" t="inlineStr">
        <is>
          <t>Marca:</t>
        </is>
      </c>
      <c r="H86" s="373" t="inlineStr">
        <is>
          <t>Modello:</t>
        </is>
      </c>
      <c r="I86" s="461" t="n"/>
      <c r="J86" s="114" t="inlineStr">
        <is>
          <t>SNR</t>
        </is>
      </c>
      <c r="K86" s="115" t="inlineStr">
        <is>
          <t>H</t>
        </is>
      </c>
      <c r="L86" s="116" t="inlineStr">
        <is>
          <t>M</t>
        </is>
      </c>
      <c r="M86" s="116" t="inlineStr">
        <is>
          <t>L</t>
        </is>
      </c>
      <c r="N86" s="388" t="inlineStr">
        <is>
          <t>LEQ(A)F</t>
        </is>
      </c>
      <c r="O86" s="388" t="inlineStr">
        <is>
          <t>LEQ(C)F</t>
        </is>
      </c>
      <c r="P86" s="132" t="inlineStr">
        <is>
          <t>PNR</t>
        </is>
      </c>
      <c r="Q86" s="167" t="n"/>
      <c r="R86" s="54" t="n"/>
      <c r="S86" s="54" t="n"/>
      <c r="V86" s="56" t="n"/>
      <c r="W86" s="52" t="n"/>
      <c r="X86" s="47" t="n"/>
      <c r="Y86" s="47" t="n"/>
      <c r="Z86" s="47" t="n"/>
      <c r="AA86" s="47" t="n"/>
    </row>
    <row r="87" ht="39.75" customHeight="1" s="444">
      <c r="B87" s="48" t="n"/>
      <c r="E87" s="129" t="inlineStr">
        <is>
          <t>A3</t>
        </is>
      </c>
      <c r="F87" s="126">
        <f>VLOOKUP(E87,$E$112:$L$243,2,FALSE)</f>
        <v/>
      </c>
      <c r="G87" s="126">
        <f>VLOOKUP($E$87,$E$112:$L$243,3,FALSE)</f>
        <v/>
      </c>
      <c r="H87" s="491">
        <f>VLOOKUP($E$87,$E$112:$L$243,4,FALSE)</f>
        <v/>
      </c>
      <c r="I87" s="461" t="n"/>
      <c r="J87" s="46">
        <f>VLOOKUP(E87,$E$112:$L$243,5,FALSE)</f>
        <v/>
      </c>
      <c r="K87" s="46">
        <f>VLOOKUP($E$87,$E$112:$L$243,6,FALSE)</f>
        <v/>
      </c>
      <c r="L87" s="46">
        <f>VLOOKUP($E$87,$E$112:$L$243,7,FALSE)</f>
        <v/>
      </c>
      <c r="M87" s="46">
        <f>VLOOKUP($E$87,$E$112:$L$243,8,FALSE)</f>
        <v/>
      </c>
      <c r="N87" s="375">
        <f>$AK$11</f>
        <v/>
      </c>
      <c r="O87" s="375">
        <f>$AL$11</f>
        <v/>
      </c>
      <c r="P87" s="376">
        <f>IF(($AL$11-$AK$11)&lt;=2,(L88-((K88-L88)/4)*($AL$11-$AK$11-2)),(L88-((L88-M88)/8)*($AL$11-$AK$11-2)))</f>
        <v/>
      </c>
      <c r="Q87" s="167" t="n"/>
      <c r="R87" s="196" t="n"/>
      <c r="S87" s="196" t="n"/>
      <c r="V87" s="56" t="n"/>
      <c r="W87" s="56" t="n"/>
      <c r="X87" s="47" t="n"/>
      <c r="Y87" s="47" t="n"/>
      <c r="Z87" s="47" t="n"/>
      <c r="AA87" s="47" t="n"/>
    </row>
    <row r="88" ht="21" customHeight="1" s="444">
      <c r="B88" s="48" t="n"/>
      <c r="C88" s="48" t="n"/>
      <c r="D88" s="48" t="n"/>
      <c r="E88" s="191" t="n"/>
      <c r="F88" s="127" t="n"/>
      <c r="G88" s="128" t="inlineStr">
        <is>
          <t xml:space="preserve">Coeffciente correttivo β = </t>
        </is>
      </c>
      <c r="H88" s="378" t="n">
        <v>0.65</v>
      </c>
      <c r="I88" s="461" t="n"/>
      <c r="J88" s="117">
        <f>H88*J87</f>
        <v/>
      </c>
      <c r="K88" s="118">
        <f>K87*$H$88</f>
        <v/>
      </c>
      <c r="L88" s="118">
        <f>L87*$H$88</f>
        <v/>
      </c>
      <c r="M88" s="118">
        <f>M87*$H$88</f>
        <v/>
      </c>
      <c r="N88" s="463" t="n"/>
      <c r="O88" s="463" t="n"/>
      <c r="P88" s="488" t="n"/>
      <c r="Q88" s="167" t="n"/>
      <c r="R88" s="167" t="n"/>
      <c r="S88" s="167" t="n"/>
      <c r="V88" s="56" t="n"/>
      <c r="W88" s="56" t="n"/>
      <c r="X88" s="47" t="n"/>
      <c r="Y88" s="47" t="n"/>
      <c r="Z88" s="47" t="n"/>
      <c r="AA88" s="47" t="n"/>
    </row>
    <row r="89" ht="9" customHeight="1" s="444">
      <c r="B89" s="48" t="n"/>
      <c r="C89" s="48" t="n"/>
      <c r="D89" s="48" t="n"/>
      <c r="E89" s="489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90" t="n"/>
      <c r="Q89" s="167" t="n"/>
      <c r="R89" s="167" t="n"/>
      <c r="S89" s="167" t="n"/>
      <c r="V89" s="56" t="n"/>
      <c r="W89" s="56" t="n"/>
      <c r="X89" s="47" t="n"/>
      <c r="Y89" s="47" t="n"/>
      <c r="Z89" s="47" t="n"/>
      <c r="AA89" s="47" t="n"/>
    </row>
    <row r="90" ht="21" customHeight="1" s="444">
      <c r="B90" s="48" t="n"/>
      <c r="C90" s="48" t="n"/>
      <c r="D90" s="48" t="n"/>
      <c r="E90" s="361" t="inlineStr">
        <is>
          <t>STATO</t>
        </is>
      </c>
      <c r="F90" s="461" t="n"/>
      <c r="G90" s="363" t="inlineStr">
        <is>
          <t>Medoto HML</t>
        </is>
      </c>
      <c r="H90" s="130" t="inlineStr">
        <is>
          <t>LEQ</t>
        </is>
      </c>
      <c r="I90" s="131" t="inlineStr">
        <is>
          <t>Leq(A)'</t>
        </is>
      </c>
      <c r="J90" s="133">
        <f>$AK$11-P87</f>
        <v/>
      </c>
      <c r="K90" s="131" t="inlineStr">
        <is>
          <t xml:space="preserve">Lact </t>
        </is>
      </c>
      <c r="L90" s="131" t="n">
        <v>80</v>
      </c>
      <c r="M90" s="365">
        <f>IF(J90&lt;65,"IPERPROTEZIONE",IF(J90&lt;70,"ACCETTABILE",IF(J90&lt;75,"BUONA",IF(J90&lt;80,"ACCETTABILE","INSUFFICIENTE"))))</f>
        <v/>
      </c>
      <c r="N90" s="460" t="n"/>
      <c r="O90" s="460" t="n"/>
      <c r="P90" s="461" t="n"/>
      <c r="Q90" s="167" t="n"/>
      <c r="R90" s="85" t="n"/>
      <c r="S90" s="85" t="n"/>
      <c r="V90" s="56" t="n"/>
      <c r="W90" s="56" t="n"/>
      <c r="X90" s="47" t="n"/>
      <c r="Y90" s="47" t="n"/>
      <c r="Z90" s="47" t="n"/>
      <c r="AA90" s="47" t="n"/>
    </row>
    <row r="91" ht="29.25" customHeight="1" s="444" thickBot="1">
      <c r="B91" s="48" t="n"/>
      <c r="C91" s="48" t="n"/>
      <c r="D91" s="48" t="n"/>
      <c r="E91" s="367" t="inlineStr">
        <is>
          <t>IN DOTAZIONE</t>
        </is>
      </c>
      <c r="F91" s="484" t="n"/>
      <c r="G91" s="463" t="n"/>
      <c r="H91" s="59" t="inlineStr">
        <is>
          <t>PPeak</t>
        </is>
      </c>
      <c r="I91" s="60" t="inlineStr">
        <is>
          <t>dm</t>
        </is>
      </c>
      <c r="J91" s="60">
        <f>M88-5</f>
        <v/>
      </c>
      <c r="K91" s="60" t="inlineStr">
        <is>
          <t xml:space="preserve">Lact </t>
        </is>
      </c>
      <c r="L91" s="60" t="n">
        <v>135</v>
      </c>
      <c r="M91" s="368">
        <f>IF($O$45&lt;135,"VERIFICA NON NECESSARIA",IF(($O$45-J91)&lt;135,"IDONEO","INSUFFICIENTE"))</f>
        <v/>
      </c>
      <c r="N91" s="485" t="n"/>
      <c r="O91" s="485" t="n"/>
      <c r="P91" s="484" t="n"/>
      <c r="Q91" s="167" t="n"/>
      <c r="R91" s="86" t="n"/>
      <c r="S91" s="86" t="n"/>
      <c r="V91" s="56" t="n"/>
      <c r="W91" s="56" t="n"/>
      <c r="X91" s="47" t="n"/>
      <c r="Y91" s="47" t="n"/>
      <c r="Z91" s="47" t="n"/>
      <c r="AA91" s="47" t="n"/>
    </row>
    <row r="92" ht="18.75" customHeight="1" s="444" thickBot="1">
      <c r="C92" s="48" t="n"/>
      <c r="D92" s="48" t="n"/>
    </row>
    <row r="93" ht="27" customHeight="1" s="444">
      <c r="B93" s="48" t="n"/>
      <c r="C93" s="48" t="n"/>
      <c r="D93" s="48" t="n"/>
      <c r="E93" s="486" t="inlineStr">
        <is>
          <t>VERIFICA E GIUDIZIO IDONEITA' DEL D.P.I. CON CALCOLO DEL PNR GLOBALE PER LAeq,F</t>
        </is>
      </c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7" t="n"/>
      <c r="Q93" s="167" t="n"/>
      <c r="R93" s="53" t="n"/>
      <c r="S93" s="53" t="n"/>
      <c r="V93" s="56" t="n"/>
      <c r="W93" s="56" t="n"/>
      <c r="X93" s="47" t="n"/>
      <c r="Y93" s="47" t="n"/>
      <c r="Z93" s="47" t="n"/>
      <c r="AA93" s="47" t="n"/>
    </row>
    <row r="94" ht="21" customHeight="1" s="444">
      <c r="B94" s="48" t="n"/>
      <c r="C94" s="48" t="n"/>
      <c r="D94" s="48" t="n"/>
      <c r="E94" s="193" t="inlineStr">
        <is>
          <t>COD.</t>
        </is>
      </c>
      <c r="F94" s="373" t="inlineStr">
        <is>
          <t>Tipologia:</t>
        </is>
      </c>
      <c r="G94" s="373" t="inlineStr">
        <is>
          <t>Marca:</t>
        </is>
      </c>
      <c r="H94" s="373" t="inlineStr">
        <is>
          <t>Modello:</t>
        </is>
      </c>
      <c r="I94" s="461" t="n"/>
      <c r="J94" s="114" t="inlineStr">
        <is>
          <t>SNR</t>
        </is>
      </c>
      <c r="K94" s="115" t="inlineStr">
        <is>
          <t>H</t>
        </is>
      </c>
      <c r="L94" s="116" t="inlineStr">
        <is>
          <t>M</t>
        </is>
      </c>
      <c r="M94" s="116" t="inlineStr">
        <is>
          <t>L</t>
        </is>
      </c>
      <c r="N94" s="388" t="inlineStr">
        <is>
          <t>LEQ(A)F</t>
        </is>
      </c>
      <c r="O94" s="388" t="inlineStr">
        <is>
          <t>LEQ(C)F</t>
        </is>
      </c>
      <c r="P94" s="132" t="inlineStr">
        <is>
          <t>PNR</t>
        </is>
      </c>
      <c r="Q94" s="167" t="n"/>
      <c r="R94" s="54" t="n"/>
      <c r="S94" s="54" t="n"/>
      <c r="V94" s="56" t="n"/>
      <c r="W94" s="52" t="n"/>
      <c r="X94" s="47" t="n"/>
      <c r="Y94" s="47" t="n"/>
      <c r="Z94" s="47" t="n"/>
      <c r="AA94" s="47" t="n"/>
    </row>
    <row r="95" ht="42.75" customHeight="1" s="444">
      <c r="B95" s="48" t="n"/>
      <c r="E95" s="129" t="inlineStr">
        <is>
          <t>A4</t>
        </is>
      </c>
      <c r="F95" s="126">
        <f>VLOOKUP(E95,$E$112:$L$243,2,FALSE)</f>
        <v/>
      </c>
      <c r="G95" s="126">
        <f>VLOOKUP($E$95,$E$112:$L$243,3,FALSE)</f>
        <v/>
      </c>
      <c r="H95" s="492">
        <f>VLOOKUP($E$95,$E$112:$L$243,4,FALSE)</f>
        <v/>
      </c>
      <c r="I95" s="461" t="n"/>
      <c r="J95" s="46">
        <f>VLOOKUP(E95,$E$112:$L$243,5,FALSE)</f>
        <v/>
      </c>
      <c r="K95" s="46">
        <f>VLOOKUP($E$95,$E$112:$L$243,6,FALSE)</f>
        <v/>
      </c>
      <c r="L95" s="46">
        <f>VLOOKUP($E$95,$E$112:$L$243,7,FALSE)</f>
        <v/>
      </c>
      <c r="M95" s="46">
        <f>VLOOKUP($E$95,$E$112:$L$243,8,FALSE)</f>
        <v/>
      </c>
      <c r="N95" s="375">
        <f>$AK$11</f>
        <v/>
      </c>
      <c r="O95" s="375">
        <f>$AL$11</f>
        <v/>
      </c>
      <c r="P95" s="376">
        <f>IF(($AL$11-$AK$11)&lt;=2,(L96-((K96-L96)/4)*($AL$11-$AK$11-2)),(L96-((L96-M96)/8)*($AL$11-$AK$11-2)))</f>
        <v/>
      </c>
      <c r="Q95" s="167" t="n"/>
      <c r="R95" s="196" t="n"/>
      <c r="S95" s="196" t="n"/>
      <c r="V95" s="56" t="n"/>
      <c r="W95" s="56" t="n"/>
      <c r="X95" s="47" t="n"/>
      <c r="Y95" s="47" t="n"/>
      <c r="Z95" s="47" t="n"/>
      <c r="AA95" s="47" t="n"/>
    </row>
    <row r="96" ht="21" customHeight="1" s="444">
      <c r="B96" s="48" t="n"/>
      <c r="C96" s="48" t="n"/>
      <c r="D96" s="48" t="n"/>
      <c r="E96" s="191" t="n"/>
      <c r="F96" s="127" t="n"/>
      <c r="G96" s="128" t="inlineStr">
        <is>
          <t xml:space="preserve">Coeffciente correttivo β = </t>
        </is>
      </c>
      <c r="H96" s="378" t="n">
        <v>0.65</v>
      </c>
      <c r="I96" s="461" t="n"/>
      <c r="J96" s="117">
        <f>H96*J95</f>
        <v/>
      </c>
      <c r="K96" s="118">
        <f>K95*$H$96</f>
        <v/>
      </c>
      <c r="L96" s="118">
        <f>L95*$H$96</f>
        <v/>
      </c>
      <c r="M96" s="118">
        <f>M95*$H$96</f>
        <v/>
      </c>
      <c r="N96" s="463" t="n"/>
      <c r="O96" s="463" t="n"/>
      <c r="P96" s="488" t="n"/>
      <c r="Q96" s="167" t="n"/>
      <c r="R96" s="167" t="n"/>
      <c r="S96" s="167" t="n"/>
      <c r="V96" s="56" t="n"/>
      <c r="W96" s="56" t="n"/>
      <c r="X96" s="47" t="n"/>
      <c r="Y96" s="47" t="n"/>
      <c r="Z96" s="47" t="n"/>
      <c r="AA96" s="47" t="n"/>
    </row>
    <row r="97" ht="9" customHeight="1" s="444">
      <c r="B97" s="48" t="n"/>
      <c r="C97" s="48" t="n"/>
      <c r="D97" s="48" t="n"/>
      <c r="E97" s="489" t="n"/>
      <c r="F97" s="457" t="n"/>
      <c r="G97" s="457" t="n"/>
      <c r="H97" s="457" t="n"/>
      <c r="I97" s="457" t="n"/>
      <c r="J97" s="457" t="n"/>
      <c r="K97" s="457" t="n"/>
      <c r="L97" s="457" t="n"/>
      <c r="M97" s="457" t="n"/>
      <c r="N97" s="457" t="n"/>
      <c r="O97" s="457" t="n"/>
      <c r="P97" s="490" t="n"/>
      <c r="Q97" s="167" t="n"/>
      <c r="R97" s="167" t="n"/>
      <c r="S97" s="167" t="n"/>
      <c r="V97" s="56" t="n"/>
      <c r="W97" s="56" t="n"/>
      <c r="X97" s="47" t="n"/>
      <c r="Y97" s="47" t="n"/>
      <c r="Z97" s="47" t="n"/>
      <c r="AA97" s="47" t="n"/>
    </row>
    <row r="98" ht="21" customHeight="1" s="444">
      <c r="B98" s="48" t="n"/>
      <c r="C98" s="48" t="n"/>
      <c r="D98" s="48" t="n"/>
      <c r="E98" s="361" t="inlineStr">
        <is>
          <t>STATO</t>
        </is>
      </c>
      <c r="F98" s="461" t="n"/>
      <c r="G98" s="363" t="inlineStr">
        <is>
          <t>Medoto HML</t>
        </is>
      </c>
      <c r="H98" s="130" t="inlineStr">
        <is>
          <t>LEQ</t>
        </is>
      </c>
      <c r="I98" s="131" t="inlineStr">
        <is>
          <t>Leq(A)'</t>
        </is>
      </c>
      <c r="J98" s="133">
        <f>$AK$11-P95</f>
        <v/>
      </c>
      <c r="K98" s="131" t="inlineStr">
        <is>
          <t xml:space="preserve">Lact </t>
        </is>
      </c>
      <c r="L98" s="131" t="n">
        <v>80</v>
      </c>
      <c r="M98" s="365">
        <f>IF(J98&lt;65,"IPERPROTEZIONE",IF(J98&lt;70,"ACCETTABILE",IF(J98&lt;75,"BUONA",IF(J98&lt;80,"ACCETTABILE","INSUFFICIENTE"))))</f>
        <v/>
      </c>
      <c r="N98" s="460" t="n"/>
      <c r="O98" s="460" t="n"/>
      <c r="P98" s="461" t="n"/>
      <c r="Q98" s="167" t="n"/>
      <c r="R98" s="85" t="n"/>
      <c r="S98" s="85" t="n"/>
      <c r="V98" s="56" t="n"/>
      <c r="W98" s="56" t="n"/>
      <c r="X98" s="47" t="n"/>
      <c r="Y98" s="47" t="n"/>
      <c r="Z98" s="47" t="n"/>
      <c r="AA98" s="47" t="n"/>
    </row>
    <row r="99" ht="29.25" customHeight="1" s="444" thickBot="1">
      <c r="B99" s="48" t="n"/>
      <c r="C99" s="48" t="n"/>
      <c r="D99" s="48" t="n"/>
      <c r="E99" s="367" t="inlineStr">
        <is>
          <t>IN DOTAZIONE</t>
        </is>
      </c>
      <c r="F99" s="484" t="n"/>
      <c r="G99" s="463" t="n"/>
      <c r="H99" s="59" t="inlineStr">
        <is>
          <t>PPeak</t>
        </is>
      </c>
      <c r="I99" s="60" t="inlineStr">
        <is>
          <t>dm</t>
        </is>
      </c>
      <c r="J99" s="60">
        <f>M96-5</f>
        <v/>
      </c>
      <c r="K99" s="60" t="inlineStr">
        <is>
          <t xml:space="preserve">Lact </t>
        </is>
      </c>
      <c r="L99" s="60" t="n">
        <v>135</v>
      </c>
      <c r="M99" s="368">
        <f>IF($O$45&lt;135,"VERIFICA NON NECESSARIA",IF(($O$45-J99)&lt;135,"IDONEO","INSUFFICIENTE"))</f>
        <v/>
      </c>
      <c r="N99" s="485" t="n"/>
      <c r="O99" s="485" t="n"/>
      <c r="P99" s="484" t="n"/>
      <c r="Q99" s="167" t="n"/>
      <c r="R99" s="86" t="n"/>
      <c r="S99" s="86" t="n"/>
      <c r="V99" s="56" t="n"/>
      <c r="W99" s="56" t="n"/>
      <c r="X99" s="47" t="n"/>
      <c r="Y99" s="47" t="n"/>
      <c r="Z99" s="47" t="n"/>
      <c r="AA99" s="47" t="n"/>
    </row>
    <row r="100" ht="18.75" customHeight="1" s="444" thickBot="1">
      <c r="C100" s="48" t="n"/>
      <c r="D100" s="48" t="n"/>
    </row>
    <row r="101" ht="27" customHeight="1" s="444">
      <c r="B101" s="48" t="n"/>
      <c r="C101" s="48" t="n"/>
      <c r="D101" s="48" t="n"/>
      <c r="E101" s="486" t="inlineStr">
        <is>
          <t>VERIFICA E GIUDIZIO IDONEITA' DEL D.P.I. CON CALCOLO DEL PNR GLOBALE PER LAeq,F</t>
        </is>
      </c>
      <c r="F101" s="482" t="n"/>
      <c r="G101" s="482" t="n"/>
      <c r="H101" s="482" t="n"/>
      <c r="I101" s="482" t="n"/>
      <c r="J101" s="482" t="n"/>
      <c r="K101" s="482" t="n"/>
      <c r="L101" s="482" t="n"/>
      <c r="M101" s="482" t="n"/>
      <c r="N101" s="482" t="n"/>
      <c r="O101" s="482" t="n"/>
      <c r="P101" s="487" t="n"/>
      <c r="Q101" s="167" t="n"/>
      <c r="R101" s="53" t="n"/>
      <c r="S101" s="53" t="n"/>
      <c r="V101" s="56" t="n"/>
      <c r="W101" s="56" t="n"/>
      <c r="X101" s="47" t="n"/>
      <c r="Y101" s="47" t="n"/>
      <c r="Z101" s="47" t="n"/>
      <c r="AA101" s="47" t="n"/>
    </row>
    <row r="102" ht="21" customHeight="1" s="444">
      <c r="B102" s="48" t="n"/>
      <c r="C102" s="48" t="n"/>
      <c r="D102" s="48" t="n"/>
      <c r="E102" s="193" t="inlineStr">
        <is>
          <t>COD.</t>
        </is>
      </c>
      <c r="F102" s="373" t="inlineStr">
        <is>
          <t>Tipologia:</t>
        </is>
      </c>
      <c r="G102" s="373" t="inlineStr">
        <is>
          <t>Marca:</t>
        </is>
      </c>
      <c r="H102" s="373" t="inlineStr">
        <is>
          <t>Modello:</t>
        </is>
      </c>
      <c r="I102" s="461" t="n"/>
      <c r="J102" s="114" t="inlineStr">
        <is>
          <t>SNR</t>
        </is>
      </c>
      <c r="K102" s="115" t="inlineStr">
        <is>
          <t>H</t>
        </is>
      </c>
      <c r="L102" s="116" t="inlineStr">
        <is>
          <t>M</t>
        </is>
      </c>
      <c r="M102" s="116" t="inlineStr">
        <is>
          <t>L</t>
        </is>
      </c>
      <c r="N102" s="388" t="inlineStr">
        <is>
          <t>LEQ(A)F</t>
        </is>
      </c>
      <c r="O102" s="388" t="inlineStr">
        <is>
          <t>LEQ(C)F</t>
        </is>
      </c>
      <c r="P102" s="132" t="inlineStr">
        <is>
          <t>PNR</t>
        </is>
      </c>
      <c r="Q102" s="167" t="n"/>
      <c r="R102" s="54" t="n"/>
      <c r="S102" s="54" t="n"/>
      <c r="V102" s="56" t="n"/>
      <c r="W102" s="52" t="n"/>
      <c r="X102" s="47" t="n"/>
      <c r="Y102" s="47" t="n"/>
      <c r="Z102" s="47" t="n"/>
      <c r="AA102" s="47" t="n"/>
    </row>
    <row r="103" ht="21" customHeight="1" s="444">
      <c r="B103" s="48" t="n"/>
      <c r="E103" s="129" t="inlineStr">
        <is>
          <t>A7</t>
        </is>
      </c>
      <c r="F103" s="126">
        <f>VLOOKUP(E103,$E$112:$L$243,2,FALSE)</f>
        <v/>
      </c>
      <c r="G103" s="126">
        <f>VLOOKUP($E$103,$E$112:$L$243,3,FALSE)</f>
        <v/>
      </c>
      <c r="H103" s="374">
        <f>VLOOKUP($E$103,$E$112:$L$243,4,FALSE)</f>
        <v/>
      </c>
      <c r="I103" s="461" t="n"/>
      <c r="J103" s="46">
        <f>VLOOKUP(E103,$E$112:$L$243,5,FALSE)</f>
        <v/>
      </c>
      <c r="K103" s="46">
        <f>VLOOKUP($E$103,$E$112:$L$243,6,FALSE)</f>
        <v/>
      </c>
      <c r="L103" s="46">
        <f>VLOOKUP($E$103,$E$112:$L$243,7,FALSE)</f>
        <v/>
      </c>
      <c r="M103" s="46">
        <f>VLOOKUP($E$103,$E$112:$L$243,8,FALSE)</f>
        <v/>
      </c>
      <c r="N103" s="375">
        <f>$AK$11</f>
        <v/>
      </c>
      <c r="O103" s="375">
        <f>$AL$11</f>
        <v/>
      </c>
      <c r="P103" s="376">
        <f>IF(($AL$11-$AK$11)&lt;=2,(L104-((K104-L104)/4)*($AL$11-$AK$11-2)),(L104-((L104-M104)/8)*($AL$11-$AK$11-2)))</f>
        <v/>
      </c>
      <c r="Q103" s="167" t="n"/>
      <c r="R103" s="196" t="n"/>
      <c r="S103" s="196" t="n"/>
      <c r="V103" s="56" t="n"/>
      <c r="W103" s="56" t="n"/>
      <c r="X103" s="47" t="n"/>
      <c r="Y103" s="47" t="n"/>
      <c r="Z103" s="47" t="n"/>
      <c r="AA103" s="47" t="n"/>
    </row>
    <row r="104" ht="21" customHeight="1" s="444">
      <c r="B104" s="48" t="n"/>
      <c r="C104" s="48" t="n"/>
      <c r="D104" s="48" t="n"/>
      <c r="E104" s="191" t="n"/>
      <c r="F104" s="127" t="n"/>
      <c r="G104" s="128" t="inlineStr">
        <is>
          <t xml:space="preserve">Coeffciente correttivo β = </t>
        </is>
      </c>
      <c r="H104" s="378" t="n">
        <v>0.85</v>
      </c>
      <c r="I104" s="461" t="n"/>
      <c r="J104" s="117">
        <f>H104*J103</f>
        <v/>
      </c>
      <c r="K104" s="118">
        <f>K103*$H$104</f>
        <v/>
      </c>
      <c r="L104" s="118">
        <f>L103*$H$104</f>
        <v/>
      </c>
      <c r="M104" s="118">
        <f>M103*$H$104</f>
        <v/>
      </c>
      <c r="N104" s="463" t="n"/>
      <c r="O104" s="463" t="n"/>
      <c r="P104" s="488" t="n"/>
      <c r="Q104" s="167" t="n"/>
      <c r="R104" s="167" t="n"/>
      <c r="S104" s="167" t="n"/>
      <c r="V104" s="56" t="n"/>
      <c r="W104" s="56" t="n"/>
      <c r="X104" s="47" t="n"/>
      <c r="Y104" s="47" t="n"/>
      <c r="Z104" s="47" t="n"/>
      <c r="AA104" s="47" t="n"/>
    </row>
    <row r="105" ht="9" customHeight="1" s="444">
      <c r="B105" s="48" t="n"/>
      <c r="C105" s="48" t="n"/>
      <c r="D105" s="48" t="n"/>
      <c r="E105" s="489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90" t="n"/>
      <c r="Q105" s="167" t="n"/>
      <c r="R105" s="167" t="n"/>
      <c r="S105" s="167" t="n"/>
      <c r="V105" s="56" t="n"/>
      <c r="W105" s="56" t="n"/>
      <c r="X105" s="47" t="n"/>
      <c r="Y105" s="47" t="n"/>
      <c r="Z105" s="47" t="n"/>
      <c r="AA105" s="47" t="n"/>
    </row>
    <row r="106" ht="21" customHeight="1" s="444">
      <c r="B106" s="48" t="n"/>
      <c r="C106" s="48" t="n"/>
      <c r="D106" s="48" t="n"/>
      <c r="E106" s="361" t="inlineStr">
        <is>
          <t>STATO</t>
        </is>
      </c>
      <c r="F106" s="461" t="n"/>
      <c r="G106" s="363" t="inlineStr">
        <is>
          <t>Medoto HML</t>
        </is>
      </c>
      <c r="H106" s="130" t="inlineStr">
        <is>
          <t>LEQ</t>
        </is>
      </c>
      <c r="I106" s="131" t="inlineStr">
        <is>
          <t>Leq(A)'</t>
        </is>
      </c>
      <c r="J106" s="133">
        <f>$AK$11-P103</f>
        <v/>
      </c>
      <c r="K106" s="131" t="inlineStr">
        <is>
          <t xml:space="preserve">Lact </t>
        </is>
      </c>
      <c r="L106" s="131" t="n">
        <v>80</v>
      </c>
      <c r="M106" s="365">
        <f>IF(J106&lt;65,"IPERPROTEZIONE",IF(J106&lt;70,"ACCETTABILE",IF(J106&lt;75,"BUONA",IF(J106&lt;80,"ACCETTABILE","INSUFFICIENTE"))))</f>
        <v/>
      </c>
      <c r="N106" s="460" t="n"/>
      <c r="O106" s="460" t="n"/>
      <c r="P106" s="461" t="n"/>
      <c r="Q106" s="167" t="n"/>
      <c r="R106" s="85" t="n"/>
      <c r="S106" s="85" t="n"/>
      <c r="V106" s="56" t="n"/>
      <c r="W106" s="56" t="n"/>
      <c r="X106" s="47" t="n"/>
      <c r="Y106" s="47" t="n"/>
      <c r="Z106" s="47" t="n"/>
      <c r="AA106" s="47" t="n"/>
    </row>
    <row r="107" ht="29.25" customHeight="1" s="444" thickBot="1">
      <c r="B107" s="48" t="n"/>
      <c r="C107" s="48" t="n"/>
      <c r="D107" s="48" t="n"/>
      <c r="E107" s="367" t="inlineStr">
        <is>
          <t>DA ACQUISTARE</t>
        </is>
      </c>
      <c r="F107" s="484" t="n"/>
      <c r="G107" s="463" t="n"/>
      <c r="H107" s="59" t="inlineStr">
        <is>
          <t>PPeak</t>
        </is>
      </c>
      <c r="I107" s="60" t="inlineStr">
        <is>
          <t>dm</t>
        </is>
      </c>
      <c r="J107" s="60">
        <f>M104-5</f>
        <v/>
      </c>
      <c r="K107" s="60" t="inlineStr">
        <is>
          <t xml:space="preserve">Lact </t>
        </is>
      </c>
      <c r="L107" s="60" t="n">
        <v>135</v>
      </c>
      <c r="M107" s="368">
        <f>IF($O$45&lt;135,"VERIFICA NON NECESSARIA",IF(($O$45-J107)&lt;135,"IDONEO","INSUFFICIENTE"))</f>
        <v/>
      </c>
      <c r="N107" s="485" t="n"/>
      <c r="O107" s="485" t="n"/>
      <c r="P107" s="484" t="n"/>
      <c r="Q107" s="167" t="n"/>
      <c r="R107" s="86" t="n"/>
      <c r="S107" s="86" t="n"/>
      <c r="V107" s="56" t="n"/>
      <c r="W107" s="56" t="n"/>
      <c r="X107" s="47" t="n"/>
      <c r="Y107" s="47" t="n"/>
      <c r="Z107" s="47" t="n"/>
      <c r="AA107" s="47" t="n"/>
    </row>
    <row r="108" ht="18" customHeight="1" s="444">
      <c r="C108" s="48" t="n"/>
      <c r="D108" s="48" t="n"/>
    </row>
    <row r="109" ht="18" customHeight="1" s="444">
      <c r="C109" s="48" t="n"/>
      <c r="D109" s="48" t="n"/>
    </row>
    <row r="110" ht="18" customHeight="1" s="444">
      <c r="C110" s="48" t="n"/>
      <c r="D110" s="48" t="n"/>
    </row>
    <row r="111" ht="35.25" customHeight="1" s="444">
      <c r="E111" s="388" t="inlineStr">
        <is>
          <t>ID</t>
        </is>
      </c>
      <c r="F111" s="388" t="inlineStr">
        <is>
          <t>Tipologia</t>
        </is>
      </c>
      <c r="G111" s="388" t="inlineStr">
        <is>
          <t>Marca</t>
        </is>
      </c>
      <c r="H111" s="388" t="inlineStr">
        <is>
          <t>Modello</t>
        </is>
      </c>
      <c r="I111" s="388" t="inlineStr">
        <is>
          <t>SNR</t>
        </is>
      </c>
      <c r="J111" s="388" t="inlineStr">
        <is>
          <t>H</t>
        </is>
      </c>
      <c r="K111" s="388" t="inlineStr">
        <is>
          <t>M</t>
        </is>
      </c>
      <c r="L111" s="388" t="inlineStr">
        <is>
          <t>L</t>
        </is>
      </c>
    </row>
    <row r="112" ht="20.25" customHeight="1" s="444">
      <c r="E112" s="45" t="inlineStr">
        <is>
          <t>A1</t>
        </is>
      </c>
      <c r="F112" s="45" t="inlineStr">
        <is>
          <t>Cuffie auricolari</t>
        </is>
      </c>
      <c r="G112" s="45" t="inlineStr">
        <is>
          <t>3M PELTOR</t>
        </is>
      </c>
      <c r="H112" s="45" t="inlineStr">
        <is>
          <t>Optime I H510P3</t>
        </is>
      </c>
      <c r="I112" s="46" t="n">
        <v>26</v>
      </c>
      <c r="J112" s="46" t="n">
        <v>32</v>
      </c>
      <c r="K112" s="46" t="n">
        <v>23</v>
      </c>
      <c r="L112" s="46" t="n">
        <v>15</v>
      </c>
    </row>
    <row r="113" ht="20.25" customHeight="1" s="444">
      <c r="E113" s="45" t="inlineStr">
        <is>
          <t>A2</t>
        </is>
      </c>
      <c r="F113" s="45" t="inlineStr">
        <is>
          <t>Cuffie auricolari</t>
        </is>
      </c>
      <c r="G113" s="45" t="inlineStr">
        <is>
          <t>3M PELTOR</t>
        </is>
      </c>
      <c r="H113" s="309" t="inlineStr">
        <is>
          <t>H505B</t>
        </is>
      </c>
      <c r="I113" s="46" t="n">
        <v>24</v>
      </c>
      <c r="J113" s="46" t="n">
        <v>29</v>
      </c>
      <c r="K113" s="46" t="n">
        <v>20</v>
      </c>
      <c r="L113" s="46" t="n">
        <v>13</v>
      </c>
    </row>
    <row r="114" ht="20.25" customHeight="1" s="444">
      <c r="E114" s="45" t="inlineStr">
        <is>
          <t>A3</t>
        </is>
      </c>
      <c r="F114" s="45" t="inlineStr">
        <is>
          <t>Inserti espandibili</t>
        </is>
      </c>
      <c r="G114" s="45" t="inlineStr">
        <is>
          <t>3M EAR</t>
        </is>
      </c>
      <c r="H114" s="45" t="inlineStr">
        <is>
          <t>CLASSIC</t>
        </is>
      </c>
      <c r="I114" s="46" t="n">
        <v>31</v>
      </c>
      <c r="J114" s="46" t="n">
        <v>31</v>
      </c>
      <c r="K114" s="46" t="n">
        <v>27</v>
      </c>
      <c r="L114" s="46" t="n">
        <v>26</v>
      </c>
    </row>
    <row r="115" ht="20.25" customHeight="1" s="444">
      <c r="E115" s="45" t="inlineStr">
        <is>
          <t>A4</t>
        </is>
      </c>
      <c r="F115" s="45" t="inlineStr">
        <is>
          <t>Inserti espandibili</t>
        </is>
      </c>
      <c r="G115" s="45" t="inlineStr">
        <is>
          <t>UVEX</t>
        </is>
      </c>
      <c r="H115" s="45" t="inlineStr">
        <is>
          <t>X-fit</t>
        </is>
      </c>
      <c r="I115" s="46" t="n">
        <v>37</v>
      </c>
      <c r="J115" s="46" t="n">
        <v>36</v>
      </c>
      <c r="K115" s="46" t="n">
        <v>35</v>
      </c>
      <c r="L115" s="46" t="n">
        <v>34</v>
      </c>
    </row>
    <row r="116" ht="20.25" customHeight="1" s="444">
      <c r="E116" s="45" t="inlineStr">
        <is>
          <t>A5</t>
        </is>
      </c>
      <c r="F116" s="45" t="inlineStr">
        <is>
          <t>Inserti espandibili</t>
        </is>
      </c>
      <c r="G116" s="45" t="inlineStr">
        <is>
          <t>3M EAR</t>
        </is>
      </c>
      <c r="H116" s="45" t="inlineStr">
        <is>
          <t>Ultrafit</t>
        </is>
      </c>
      <c r="I116" s="46" t="n">
        <v>29</v>
      </c>
      <c r="J116" s="46" t="n">
        <v>30</v>
      </c>
      <c r="K116" s="46" t="n">
        <v>35</v>
      </c>
      <c r="L116" s="46" t="n">
        <v>24</v>
      </c>
    </row>
    <row r="117" ht="20.25" customHeight="1" s="444">
      <c r="E117" s="45" t="inlineStr">
        <is>
          <t>A6</t>
        </is>
      </c>
      <c r="F117" s="45" t="inlineStr">
        <is>
          <t>Inserti su calco dell'orecchio</t>
        </is>
      </c>
      <c r="G117" s="45" t="inlineStr">
        <is>
          <t>COTRAL</t>
        </is>
      </c>
      <c r="H117" s="45" t="inlineStr">
        <is>
          <t>Qeos green</t>
        </is>
      </c>
      <c r="I117" s="46" t="n">
        <v>28</v>
      </c>
      <c r="J117" s="46" t="n">
        <v>27</v>
      </c>
      <c r="K117" s="46" t="n">
        <v>26</v>
      </c>
      <c r="L117" s="46" t="n">
        <v>25</v>
      </c>
    </row>
    <row r="118" ht="20.25" customHeight="1" s="444">
      <c r="E118" s="45" t="inlineStr">
        <is>
          <t>A7</t>
        </is>
      </c>
      <c r="F118" s="45" t="inlineStr">
        <is>
          <t>Inserti espandibili</t>
        </is>
      </c>
      <c r="G118" s="45" t="inlineStr">
        <is>
          <t>3M EAR</t>
        </is>
      </c>
      <c r="H118" s="45" t="inlineStr">
        <is>
          <t>soft FX</t>
        </is>
      </c>
      <c r="I118" s="46" t="n">
        <v>37</v>
      </c>
      <c r="J118" s="46" t="n">
        <v>36</v>
      </c>
      <c r="K118" s="46" t="n">
        <v>35</v>
      </c>
      <c r="L118" s="46" t="n">
        <v>33</v>
      </c>
    </row>
    <row r="119" ht="20.25" customHeight="1" s="444">
      <c r="E119" s="45" t="inlineStr">
        <is>
          <t>A8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A9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A10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A11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A12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A13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A14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A15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A16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A17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A18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A19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A20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A21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A22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A23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A24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A25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A26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A27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A28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A29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A30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A31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A32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A33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A34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A35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A36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A37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A38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A39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A40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A41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A42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A43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A44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A45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A46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A47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A48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A49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A50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A51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A52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A53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A54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A55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A56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A57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A58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A59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A60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A61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A62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A63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A64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A65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A66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A67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A68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A69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A70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A71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A72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A73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A74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A75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A76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A77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A78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A79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A80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A81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A82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A83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A84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A85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A86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A87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A88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A89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A90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A91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A92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A93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A94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A95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A96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A97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A98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A99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A100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A101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A102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A103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A104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A105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A106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A107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A108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A109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A110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A111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A112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A113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A114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A115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A116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A117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A118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A119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A120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A121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A122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A123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A124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A125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A126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A127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A128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A129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A130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A131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A132</t>
        </is>
      </c>
      <c r="F243" s="45" t="n"/>
      <c r="G243" s="45" t="n"/>
      <c r="H243" s="45" t="n"/>
      <c r="I243" s="46" t="n"/>
      <c r="J243" s="46" t="n"/>
      <c r="K243" s="46" t="n"/>
      <c r="L243" s="46" t="n"/>
    </row>
  </sheetData>
  <mergeCells count="98">
    <mergeCell ref="G82:G83"/>
    <mergeCell ref="E89:P89"/>
    <mergeCell ref="G65:G66"/>
    <mergeCell ref="G74:G75"/>
    <mergeCell ref="H94:I94"/>
    <mergeCell ref="H79:I79"/>
    <mergeCell ref="M98:P98"/>
    <mergeCell ref="E65:F65"/>
    <mergeCell ref="M107:P107"/>
    <mergeCell ref="K52:L52"/>
    <mergeCell ref="E99:F99"/>
    <mergeCell ref="E81:P81"/>
    <mergeCell ref="P71:P72"/>
    <mergeCell ref="N62:P63"/>
    <mergeCell ref="M82:P82"/>
    <mergeCell ref="H72:I72"/>
    <mergeCell ref="N103:N104"/>
    <mergeCell ref="M53:O53"/>
    <mergeCell ref="P103:P104"/>
    <mergeCell ref="E58:P58"/>
    <mergeCell ref="H96:I96"/>
    <mergeCell ref="M90:P90"/>
    <mergeCell ref="E50:P50"/>
    <mergeCell ref="M99:P99"/>
    <mergeCell ref="E91:F91"/>
    <mergeCell ref="H87:I87"/>
    <mergeCell ref="K53:L53"/>
    <mergeCell ref="M74:P74"/>
    <mergeCell ref="H62:I62"/>
    <mergeCell ref="M52:O52"/>
    <mergeCell ref="H71:I71"/>
    <mergeCell ref="N95:N96"/>
    <mergeCell ref="E75:F75"/>
    <mergeCell ref="P10:Q10"/>
    <mergeCell ref="H63:I63"/>
    <mergeCell ref="E69:P69"/>
    <mergeCell ref="H102:I102"/>
    <mergeCell ref="E77:P77"/>
    <mergeCell ref="E57:P57"/>
    <mergeCell ref="AF9:AG9"/>
    <mergeCell ref="O71:O72"/>
    <mergeCell ref="E90:F90"/>
    <mergeCell ref="P87:P88"/>
    <mergeCell ref="H80:I80"/>
    <mergeCell ref="G106:G107"/>
    <mergeCell ref="H95:I95"/>
    <mergeCell ref="H104:I104"/>
    <mergeCell ref="N79:N80"/>
    <mergeCell ref="M65:P65"/>
    <mergeCell ref="P79:P80"/>
    <mergeCell ref="G90:G91"/>
    <mergeCell ref="E66:F66"/>
    <mergeCell ref="E63:G63"/>
    <mergeCell ref="M91:P91"/>
    <mergeCell ref="E83:F83"/>
    <mergeCell ref="E60:P60"/>
    <mergeCell ref="E107:F107"/>
    <mergeCell ref="O103:O104"/>
    <mergeCell ref="M83:P83"/>
    <mergeCell ref="F2:G2"/>
    <mergeCell ref="H2:I2"/>
    <mergeCell ref="E97:P97"/>
    <mergeCell ref="M75:P75"/>
    <mergeCell ref="H86:I86"/>
    <mergeCell ref="J2:K2"/>
    <mergeCell ref="E64:P64"/>
    <mergeCell ref="E73:P73"/>
    <mergeCell ref="O87:O88"/>
    <mergeCell ref="H46:O47"/>
    <mergeCell ref="E106:F106"/>
    <mergeCell ref="H103:I103"/>
    <mergeCell ref="H78:I78"/>
    <mergeCell ref="M106:P106"/>
    <mergeCell ref="E98:F98"/>
    <mergeCell ref="H43:O43"/>
    <mergeCell ref="N61:P61"/>
    <mergeCell ref="G98:G99"/>
    <mergeCell ref="E82:F82"/>
    <mergeCell ref="N71:N72"/>
    <mergeCell ref="E105:P105"/>
    <mergeCell ref="F52:J53"/>
    <mergeCell ref="M66:P66"/>
    <mergeCell ref="E49:P49"/>
    <mergeCell ref="P95:P96"/>
    <mergeCell ref="E101:P101"/>
    <mergeCell ref="H61:I61"/>
    <mergeCell ref="C9:D9"/>
    <mergeCell ref="H88:I88"/>
    <mergeCell ref="E74:F74"/>
    <mergeCell ref="H70:I70"/>
    <mergeCell ref="O95:O96"/>
    <mergeCell ref="E85:P85"/>
    <mergeCell ref="O79:O80"/>
    <mergeCell ref="N87:N88"/>
    <mergeCell ref="E93:P93"/>
    <mergeCell ref="W9:X9"/>
    <mergeCell ref="F10:H10"/>
    <mergeCell ref="E55:P55"/>
  </mergeCells>
  <conditionalFormatting sqref="C11:C40">
    <cfRule type="containsText" priority="11" operator="containsText" dxfId="10" text="I">
      <formula>NOT(ISERROR(SEARCH("I",C11)))</formula>
    </cfRule>
    <cfRule type="containsText" priority="12" operator="containsText" dxfId="9" text="K">
      <formula>NOT(ISERROR(SEARCH("K",C11)))</formula>
    </cfRule>
  </conditionalFormatting>
  <conditionalFormatting sqref="C11:D40">
    <cfRule type="containsText" priority="13" operator="containsText" dxfId="8" text="T">
      <formula>NOT(ISERROR(SEARCH("T",C11)))</formula>
    </cfRule>
    <cfRule type="containsText" priority="16" operator="containsText" dxfId="2" text="L">
      <formula>NOT(ISERROR(SEARCH("L",C11)))</formula>
    </cfRule>
    <cfRule type="containsText" priority="15" operator="containsText" dxfId="3" text="J">
      <formula>NOT(ISERROR(SEARCH("J",C11)))</formula>
    </cfRule>
  </conditionalFormatting>
  <conditionalFormatting sqref="H46:O47">
    <cfRule type="containsText" priority="2" operator="containsText" dxfId="66" text="CLASSE DI RISCHIO MEDIO">
      <formula>NOT(ISERROR(SEARCH("CLASSE DI RISCHIO MEDIO",H46)))</formula>
    </cfRule>
    <cfRule type="containsText" priority="3" operator="containsText" dxfId="65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priority="1" operator="containsText" dxfId="64" text="CLASSE DI RISCHIO ALTO">
      <formula>NOT(ISERROR(SEARCH("CLASSE DI RISCHIO ALTO",H46)))</formula>
    </cfRule>
  </conditionalFormatting>
  <conditionalFormatting sqref="J65">
    <cfRule type="cellIs" priority="55" operator="greaterThan" dxfId="2">
      <formula>80</formula>
    </cfRule>
    <cfRule type="cellIs" priority="54" operator="between" dxfId="3">
      <formula>70</formula>
      <formula>75</formula>
    </cfRule>
    <cfRule type="cellIs" priority="53" operator="between" dxfId="4">
      <formula>65.00000001</formula>
      <formula>69.999999</formula>
    </cfRule>
    <cfRule type="cellIs" priority="52" operator="between" dxfId="5">
      <formula>75.0000001</formula>
      <formula>79.99999999999</formula>
    </cfRule>
    <cfRule type="cellIs" priority="56" operator="lessThan" dxfId="2">
      <formula>65</formula>
    </cfRule>
  </conditionalFormatting>
  <conditionalFormatting sqref="J74">
    <cfRule type="cellIs" priority="51" operator="lessThan" dxfId="2">
      <formula>65</formula>
    </cfRule>
    <cfRule type="cellIs" priority="50" operator="greaterThan" dxfId="2">
      <formula>80</formula>
    </cfRule>
    <cfRule type="cellIs" priority="47" operator="between" dxfId="5">
      <formula>75.0000001</formula>
      <formula>79.99999999999</formula>
    </cfRule>
    <cfRule type="cellIs" priority="48" operator="between" dxfId="4">
      <formula>65.00000001</formula>
      <formula>69.999999</formula>
    </cfRule>
    <cfRule type="cellIs" priority="49" operator="between" dxfId="3">
      <formula>70</formula>
      <formula>75</formula>
    </cfRule>
  </conditionalFormatting>
  <conditionalFormatting sqref="J82">
    <cfRule type="cellIs" priority="42" operator="between" dxfId="5">
      <formula>75.0000001</formula>
      <formula>79.99999999999</formula>
    </cfRule>
    <cfRule type="cellIs" priority="43" operator="between" dxfId="4">
      <formula>65.00000001</formula>
      <formula>69.999999</formula>
    </cfRule>
    <cfRule type="cellIs" priority="45" operator="greaterThan" dxfId="2">
      <formula>80</formula>
    </cfRule>
    <cfRule type="cellIs" priority="46" operator="lessThan" dxfId="2">
      <formula>65</formula>
    </cfRule>
    <cfRule type="cellIs" priority="44" operator="between" dxfId="3">
      <formula>70</formula>
      <formula>75</formula>
    </cfRule>
  </conditionalFormatting>
  <conditionalFormatting sqref="J90">
    <cfRule type="cellIs" priority="37" operator="between" dxfId="5">
      <formula>75.0000001</formula>
      <formula>79.99999999999</formula>
    </cfRule>
    <cfRule type="cellIs" priority="38" operator="between" dxfId="4">
      <formula>65.00000001</formula>
      <formula>69.999999</formula>
    </cfRule>
    <cfRule type="cellIs" priority="39" operator="between" dxfId="3">
      <formula>70</formula>
      <formula>75</formula>
    </cfRule>
    <cfRule type="cellIs" priority="40" operator="greaterThan" dxfId="2">
      <formula>80</formula>
    </cfRule>
    <cfRule type="cellIs" priority="41" operator="lessThan" dxfId="2">
      <formula>65</formula>
    </cfRule>
  </conditionalFormatting>
  <conditionalFormatting sqref="J98">
    <cfRule type="cellIs" priority="34" operator="between" dxfId="3">
      <formula>70</formula>
      <formula>75</formula>
    </cfRule>
    <cfRule type="cellIs" priority="28" operator="between" dxfId="4">
      <formula>65.00000001</formula>
      <formula>69.999999</formula>
    </cfRule>
    <cfRule type="cellIs" priority="30" operator="greaterThan" dxfId="2">
      <formula>80</formula>
    </cfRule>
    <cfRule type="cellIs" priority="31" operator="lessThan" dxfId="2">
      <formula>65</formula>
    </cfRule>
    <cfRule type="cellIs" priority="32" operator="between" dxfId="5">
      <formula>75.0000001</formula>
      <formula>79.99999999999</formula>
    </cfRule>
    <cfRule type="cellIs" priority="29" operator="between" dxfId="3">
      <formula>70</formula>
      <formula>75</formula>
    </cfRule>
    <cfRule type="cellIs" priority="33" operator="between" dxfId="4">
      <formula>65.00000001</formula>
      <formula>69.999999</formula>
    </cfRule>
    <cfRule type="cellIs" priority="27" operator="between" dxfId="5">
      <formula>75.0000001</formula>
      <formula>79.99999999999</formula>
    </cfRule>
  </conditionalFormatting>
  <conditionalFormatting sqref="J106">
    <cfRule type="cellIs" priority="17" operator="between" dxfId="5">
      <formula>75.0000001</formula>
      <formula>79.99999999999</formula>
    </cfRule>
    <cfRule type="cellIs" priority="18" operator="between" dxfId="4">
      <formula>65.00000001</formula>
      <formula>69.999999</formula>
    </cfRule>
    <cfRule type="cellIs" priority="19" operator="between" dxfId="3">
      <formula>70</formula>
      <formula>75</formula>
    </cfRule>
    <cfRule type="cellIs" priority="20" operator="greaterThan" dxfId="2">
      <formula>80</formula>
    </cfRule>
    <cfRule type="cellIs" priority="21" operator="lessThan" dxfId="2">
      <formula>65</formula>
    </cfRule>
    <cfRule type="cellIs" priority="24" operator="between" dxfId="3">
      <formula>70</formula>
      <formula>75</formula>
    </cfRule>
    <cfRule type="cellIs" priority="23" operator="between" dxfId="4">
      <formula>65.00000001</formula>
      <formula>69.999999</formula>
    </cfRule>
    <cfRule type="cellIs" priority="22" operator="between" dxfId="5">
      <formula>75.0000001</formula>
      <formula>79.99999999999</formula>
    </cfRule>
  </conditionalFormatting>
  <conditionalFormatting sqref="N11:N40">
    <cfRule type="cellIs" priority="5" operator="between" dxfId="4">
      <formula>65.00000001</formula>
      <formula>69.999999</formula>
    </cfRule>
    <cfRule type="cellIs" priority="6" operator="between" dxfId="5">
      <formula>75.0000001</formula>
      <formula>79.99999999999</formula>
    </cfRule>
    <cfRule type="cellIs" priority="8" operator="equal" dxfId="8">
      <formula>0</formula>
    </cfRule>
    <cfRule type="cellIs" priority="9" operator="between" dxfId="0">
      <formula>0.1</formula>
      <formula>65</formula>
    </cfRule>
    <cfRule type="cellIs" priority="10" operator="greaterThan" dxfId="2">
      <formula>80</formula>
    </cfRule>
    <cfRule type="cellIs" priority="7" operator="between" dxfId="3">
      <formula>70</formula>
      <formula>75</formula>
    </cfRule>
  </conditionalFormatting>
  <dataValidations count="7">
    <dataValidation sqref="E11:E39" showDropDown="0" showInputMessage="1" showErrorMessage="1" allowBlank="1" type="list">
      <formula1>Elenco_Misure</formula1>
    </dataValidation>
    <dataValidation sqref="R57" showDropDown="0" showInputMessage="1" showErrorMessage="1" allowBlank="1" type="list">
      <formula1>#REF!</formula1>
    </dataValidation>
    <dataValidation sqref="H63:I63 H72:I72 H80:I80 H88:I88 H96:I96 H104:I104" showDropDown="0" showInputMessage="1" showErrorMessage="1" allowBlank="1" type="list">
      <formula1>$I$3:$I$5</formula1>
    </dataValidation>
    <dataValidation sqref="E62 E71 E73 E79 E81 E87 E89 E95 E97 E103 E105" showDropDown="0" showInputMessage="1" showErrorMessage="1" allowBlank="1" type="list">
      <formula1>$E$112:$E$243</formula1>
    </dataValidation>
    <dataValidation sqref="O67:P68 R67:S69 R77:S77 R85:S85 R93:S93 R101:S101" showDropDown="0" showInputMessage="1" showErrorMessage="1" allowBlank="1" type="list">
      <formula1>$AA$5:$AA$7</formula1>
    </dataValidation>
    <dataValidation sqref="E66:F66 E75 E83 E91 E99 E107" showDropDown="0" showInputMessage="1" showErrorMessage="1" allowBlank="1" type="list">
      <formula1>$K$3:$K$4</formula1>
    </dataValidation>
    <dataValidation sqref="F112:F243" showDropDown="0" showInputMessage="1" showErrorMessage="1" allowBlank="1" type="list">
      <formula1>$L$3:$L$7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4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DH246"/>
  <sheetViews>
    <sheetView zoomScale="70" zoomScaleNormal="70" zoomScaleSheetLayoutView="55" workbookViewId="0">
      <pane xSplit="2" ySplit="10" topLeftCell="C11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85546875" customWidth="1" style="81" min="14" max="14"/>
    <col width="9.28515625" customWidth="1" style="81" min="15" max="15"/>
    <col hidden="1" width="9.140625" customWidth="1" style="81" min="16" max="16"/>
    <col hidden="1" width="15.42578125" customWidth="1" style="81" min="17" max="17"/>
    <col width="9.140625" customWidth="1" style="81" min="18" max="18"/>
    <col hidden="1" width="9.140625" customWidth="1" style="81" min="19" max="20"/>
    <col width="9.140625" customWidth="1" style="81" min="21" max="21"/>
    <col hidden="1" width="9.140625" customWidth="1" style="81" min="22" max="22"/>
    <col hidden="1" width="12.28515625" customWidth="1" style="81" min="23" max="23"/>
    <col width="9.140625" customWidth="1" style="81" min="24" max="24"/>
    <col hidden="1" width="9.140625" customWidth="1" style="81" min="25" max="25"/>
    <col hidden="1" width="15" customWidth="1" style="81" min="26" max="26"/>
    <col width="9.140625" customWidth="1" style="81" min="27" max="28"/>
    <col width="11.42578125" customWidth="1" style="81" min="29" max="29"/>
    <col width="9.140625" customWidth="1" style="81" min="30" max="34"/>
    <col width="11.42578125" customWidth="1" style="81" min="35" max="35"/>
    <col width="2" customWidth="1" style="286" min="36" max="36"/>
    <col width="15.42578125" customWidth="1" style="81" min="37" max="37"/>
    <col width="11.28515625" bestFit="1" customWidth="1" style="81" min="38" max="38"/>
    <col width="18.140625" customWidth="1" style="81" min="39" max="39"/>
    <col width="19" customWidth="1" style="81" min="40" max="40"/>
    <col width="12.5703125" customWidth="1" style="81" min="41" max="41"/>
    <col width="9.140625" customWidth="1" style="81" min="42" max="43"/>
    <col width="13" customWidth="1" style="81" min="44" max="44"/>
    <col width="9.140625" customWidth="1" style="81" min="45" max="46"/>
    <col width="7.85546875" customWidth="1" style="81" min="47" max="47"/>
    <col width="2.140625" customWidth="1" style="213" min="48" max="48"/>
    <col width="9.42578125" bestFit="1" customWidth="1" style="81" min="49" max="49"/>
    <col width="9.5703125" customWidth="1" style="81" min="50" max="50"/>
    <col width="10.140625" bestFit="1" customWidth="1" style="81" min="51" max="51"/>
    <col width="8" bestFit="1" customWidth="1" style="167" min="52" max="52"/>
    <col width="8.5703125" customWidth="1" style="167" min="53" max="53"/>
    <col width="11.85546875" customWidth="1" style="167" min="54" max="54"/>
    <col width="1.85546875" customWidth="1" style="211" min="55" max="55"/>
    <col width="9.42578125" bestFit="1" customWidth="1" style="81" min="56" max="56"/>
    <col width="9.5703125" customWidth="1" style="81" min="57" max="57"/>
    <col width="10.140625" bestFit="1" customWidth="1" style="81" min="58" max="58"/>
    <col width="8" bestFit="1" customWidth="1" style="167" min="59" max="59"/>
    <col width="8.5703125" customWidth="1" style="167" min="60" max="60"/>
    <col width="11.85546875" customWidth="1" style="167" min="61" max="61"/>
    <col width="2.42578125" customWidth="1" style="211" min="62" max="62"/>
    <col width="10" bestFit="1" customWidth="1" style="81" min="63" max="63"/>
    <col width="9.5703125" customWidth="1" style="81" min="64" max="64"/>
    <col width="10.140625" bestFit="1" customWidth="1" style="81" min="65" max="65"/>
    <col width="8" bestFit="1" customWidth="1" style="167" min="66" max="66"/>
    <col width="8.5703125" customWidth="1" style="167" min="67" max="67"/>
    <col width="11.85546875" customWidth="1" style="167" min="68" max="68"/>
    <col width="1.7109375" customWidth="1" style="211" min="69" max="69"/>
    <col width="9.42578125" bestFit="1" customWidth="1" style="81" min="70" max="70"/>
    <col width="9.5703125" customWidth="1" style="81" min="71" max="71"/>
    <col width="10.140625" bestFit="1" customWidth="1" style="81" min="72" max="72"/>
    <col width="8" bestFit="1" customWidth="1" style="167" min="73" max="73"/>
    <col width="8.5703125" customWidth="1" style="167" min="74" max="74"/>
    <col width="11.85546875" customWidth="1" style="167" min="75" max="75"/>
    <col width="2" customWidth="1" style="213" min="76" max="76"/>
    <col width="10.140625" bestFit="1" customWidth="1" style="81" min="77" max="77"/>
    <col width="9.5703125" customWidth="1" style="81" min="78" max="78"/>
    <col width="10.140625" bestFit="1" customWidth="1" style="81" min="79" max="79"/>
    <col width="8" bestFit="1" customWidth="1" style="167" min="80" max="80"/>
    <col width="8.5703125" customWidth="1" style="167" min="81" max="81"/>
    <col width="11.85546875" customWidth="1" style="167" min="82" max="82"/>
    <col width="2.85546875" customWidth="1" style="213" min="83" max="83"/>
    <col width="9.42578125" bestFit="1" customWidth="1" style="81" min="84" max="84"/>
    <col width="9.5703125" customWidth="1" style="81" min="85" max="85"/>
    <col width="10.140625" bestFit="1" customWidth="1" style="81" min="86" max="86"/>
    <col width="8" bestFit="1" customWidth="1" style="167" min="87" max="87"/>
    <col width="8.5703125" customWidth="1" style="167" min="88" max="88"/>
    <col width="11.85546875" customWidth="1" style="167" min="89" max="89"/>
    <col width="6" customWidth="1" style="81" min="90" max="90"/>
    <col width="13" customWidth="1" style="81" min="91" max="91"/>
    <col width="10.42578125" customWidth="1" style="81" min="92" max="98"/>
    <col width="16.140625" customWidth="1" style="81" min="99" max="105"/>
    <col width="22.42578125" customWidth="1" style="81" min="106" max="106"/>
    <col width="13.28515625" customWidth="1" style="81" min="107" max="107"/>
    <col width="16.140625" customWidth="1" style="81" min="108" max="108"/>
    <col width="9.7109375" bestFit="1" customWidth="1" style="81" min="109" max="109"/>
    <col width="9.28515625" bestFit="1" customWidth="1" style="81" min="110" max="110"/>
    <col width="9.140625" customWidth="1" style="81" min="111" max="16384"/>
  </cols>
  <sheetData>
    <row r="1" ht="38.25" customHeight="1" s="444"/>
    <row r="2" ht="30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  <c r="W2" s="265" t="n"/>
      <c r="X2" s="265" t="n"/>
      <c r="Y2" s="265" t="n"/>
      <c r="Z2" s="265" t="n"/>
      <c r="AA2" s="265" t="n"/>
      <c r="AB2" s="265" t="n"/>
      <c r="AC2" s="265" t="n"/>
      <c r="AD2" s="265" t="n"/>
      <c r="AE2" s="265" t="n"/>
      <c r="AF2" s="265" t="n"/>
      <c r="AG2" s="265" t="n"/>
      <c r="AH2" s="265" t="n"/>
      <c r="AI2" s="265" t="n"/>
      <c r="AJ2" s="287" t="n"/>
      <c r="AK2" s="265" t="n"/>
      <c r="AL2" s="265" t="n"/>
      <c r="AM2" s="265" t="n"/>
    </row>
    <row r="3" ht="15.75" customHeight="1" s="444">
      <c r="F3" s="98" t="inlineStr">
        <is>
          <t>Incert. strumentale considerata U2</t>
        </is>
      </c>
      <c r="G3" s="241" t="n">
        <v>0.7</v>
      </c>
      <c r="H3" s="102" t="inlineStr">
        <is>
          <t>Inserti auricolari =</t>
        </is>
      </c>
      <c r="I3" s="103" t="n">
        <v>0.65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242" t="n">
        <v>1</v>
      </c>
      <c r="H4" s="102" t="inlineStr">
        <is>
          <t>Cuffie =</t>
        </is>
      </c>
      <c r="I4" s="103" t="n">
        <v>0.85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F5" s="240" t="inlineStr">
        <is>
          <t>To   (tempo di rif. girono)</t>
        </is>
      </c>
      <c r="G5" s="243" t="n">
        <v>480</v>
      </c>
      <c r="H5" s="104" t="inlineStr">
        <is>
          <t>Altro =</t>
        </is>
      </c>
      <c r="I5" s="105" t="n">
        <v>0.5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4" customHeight="1" s="444" thickBot="1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AW7" s="175" t="n"/>
      <c r="AX7" s="175" t="n"/>
      <c r="BD7" s="175" t="n"/>
      <c r="BE7" s="175" t="n"/>
      <c r="BK7" s="175" t="n"/>
      <c r="BL7" s="175" t="n"/>
      <c r="BR7" s="175" t="n"/>
      <c r="BS7" s="175" t="n"/>
      <c r="BY7" s="175" t="n"/>
      <c r="BZ7" s="175" t="n"/>
      <c r="CF7" s="175" t="n"/>
      <c r="CG7" s="175" t="n"/>
    </row>
    <row r="8" ht="21.75" customHeight="1" s="444">
      <c r="C8" s="263" t="n"/>
      <c r="D8" s="263" t="n"/>
      <c r="E8" s="18" t="n"/>
      <c r="F8" s="199" t="n"/>
      <c r="G8" s="415" t="n"/>
      <c r="S8" s="81">
        <f>IF(S41&gt;0,"x","")</f>
        <v/>
      </c>
      <c r="T8" s="81">
        <f>IF(T41&gt;0,"x","")</f>
        <v/>
      </c>
      <c r="V8" s="81">
        <f>IF(V41&gt;0,"x","")</f>
        <v/>
      </c>
      <c r="W8" s="81">
        <f>IF(W41&gt;0,"x","")</f>
        <v/>
      </c>
      <c r="Y8" s="81">
        <f>IF(Y41&gt;0,"x","")</f>
        <v/>
      </c>
      <c r="Z8" s="81">
        <f>IF(Z41&gt;0,"x","")</f>
        <v/>
      </c>
      <c r="AB8" s="81">
        <f>IF(AB41&gt;0,"x","")</f>
        <v/>
      </c>
      <c r="AC8" s="81">
        <f>IF(AC41&gt;0,"x","")</f>
        <v/>
      </c>
      <c r="AE8" s="81">
        <f>IF(AE41&gt;0,"x","")</f>
        <v/>
      </c>
      <c r="AF8" s="81">
        <f>IF(AF41&gt;0,"x","")</f>
        <v/>
      </c>
      <c r="AK8" s="493" t="inlineStr">
        <is>
          <t>VERIFICA DPI n°1</t>
        </is>
      </c>
      <c r="AL8" s="441" t="n"/>
      <c r="AM8" s="441" t="n"/>
      <c r="AN8" s="442" t="n"/>
      <c r="AP8" s="443" t="inlineStr">
        <is>
          <t>GIORNATA N°1</t>
        </is>
      </c>
      <c r="AW8" s="443" t="inlineStr">
        <is>
          <t>GIORNATA N°2</t>
        </is>
      </c>
      <c r="BD8" s="443" t="inlineStr">
        <is>
          <t>GIORNATA N°3</t>
        </is>
      </c>
      <c r="BK8" s="443" t="inlineStr">
        <is>
          <t>GIORNATA N°4</t>
        </is>
      </c>
      <c r="BR8" s="443" t="inlineStr">
        <is>
          <t>GIORNATA N°5</t>
        </is>
      </c>
      <c r="BY8" s="443" t="inlineStr">
        <is>
          <t>GIORNATA N°6</t>
        </is>
      </c>
      <c r="CF8" s="443" t="inlineStr">
        <is>
          <t>GIORNATA N°7</t>
        </is>
      </c>
    </row>
    <row r="9" ht="34.5" customHeight="1" s="444" thickBot="1">
      <c r="C9" s="466" t="inlineStr">
        <is>
          <t>Verifica D.P.I.</t>
        </is>
      </c>
      <c r="D9" s="461" t="n"/>
      <c r="O9" s="282" t="inlineStr">
        <is>
          <t>Giorn.
1</t>
        </is>
      </c>
      <c r="R9" s="282" t="inlineStr">
        <is>
          <t>Giorn.
2</t>
        </is>
      </c>
      <c r="U9" s="282" t="inlineStr">
        <is>
          <t>Giorn.
3</t>
        </is>
      </c>
      <c r="X9" s="282" t="inlineStr">
        <is>
          <t>Giorn.
4</t>
        </is>
      </c>
      <c r="AA9" s="282" t="inlineStr">
        <is>
          <t>Giorn.
5</t>
        </is>
      </c>
      <c r="AD9" s="282" t="inlineStr">
        <is>
          <t>Giorn.
6</t>
        </is>
      </c>
      <c r="AG9" s="282" t="inlineStr">
        <is>
          <t>Giorn.
7</t>
        </is>
      </c>
      <c r="AK9" s="206" t="inlineStr">
        <is>
          <t>DPI n°1</t>
        </is>
      </c>
      <c r="AL9" s="197" t="inlineStr">
        <is>
          <t>DPI n°1</t>
        </is>
      </c>
      <c r="AM9" s="19" t="n"/>
      <c r="AN9" s="207" t="n"/>
      <c r="AP9" s="467" t="inlineStr">
        <is>
          <t>U2Lex</t>
        </is>
      </c>
      <c r="AQ9" s="461" t="n"/>
      <c r="AR9" s="494">
        <f>SUM(AP11:AQ40)</f>
        <v/>
      </c>
      <c r="AS9" s="177" t="n"/>
      <c r="AT9" s="177" t="n"/>
      <c r="AU9" s="167" t="n"/>
      <c r="AW9" s="467" t="inlineStr">
        <is>
          <t>U2Lex</t>
        </is>
      </c>
      <c r="AX9" s="461" t="n"/>
      <c r="AY9" s="176" t="n"/>
      <c r="AZ9" s="177" t="n"/>
      <c r="BA9" s="177" t="n"/>
      <c r="BD9" s="467" t="inlineStr">
        <is>
          <t>U2Lex</t>
        </is>
      </c>
      <c r="BE9" s="461" t="n"/>
      <c r="BF9" s="176" t="n"/>
      <c r="BG9" s="177" t="n"/>
      <c r="BH9" s="177" t="n"/>
      <c r="BK9" s="495" t="inlineStr">
        <is>
          <t>U2Lex</t>
        </is>
      </c>
      <c r="BL9" s="461" t="n"/>
      <c r="BM9" s="176" t="n"/>
      <c r="BN9" s="177" t="n"/>
      <c r="BO9" s="177" t="n"/>
      <c r="BR9" s="467" t="inlineStr">
        <is>
          <t>U2Lex</t>
        </is>
      </c>
      <c r="BS9" s="461" t="n"/>
      <c r="BT9" s="176" t="n"/>
      <c r="BU9" s="177" t="n"/>
      <c r="BV9" s="177" t="n"/>
      <c r="BY9" s="467" t="inlineStr">
        <is>
          <t>U2Lex</t>
        </is>
      </c>
      <c r="BZ9" s="461" t="n"/>
      <c r="CA9" s="176" t="n"/>
      <c r="CB9" s="177" t="n"/>
      <c r="CC9" s="177" t="n"/>
      <c r="CF9" s="467" t="inlineStr">
        <is>
          <t>U2Lex</t>
        </is>
      </c>
      <c r="CG9" s="461" t="n"/>
      <c r="CH9" s="176" t="n"/>
      <c r="CI9" s="177" t="n"/>
      <c r="CJ9" s="177" t="n"/>
      <c r="CN9" s="466" t="inlineStr">
        <is>
          <t xml:space="preserve">Parziali LEX, 8h </t>
        </is>
      </c>
      <c r="CO9" s="460" t="n"/>
      <c r="CP9" s="460" t="n"/>
      <c r="CQ9" s="460" t="n"/>
      <c r="CR9" s="460" t="n"/>
      <c r="CS9" s="460" t="n"/>
      <c r="CT9" s="461" t="n"/>
      <c r="CU9" s="449" t="inlineStr">
        <is>
          <t>Calcoli per idoneità DPI</t>
        </is>
      </c>
      <c r="CV9" s="460" t="n"/>
      <c r="CW9" s="460" t="n"/>
      <c r="CX9" s="460" t="n"/>
      <c r="CY9" s="460" t="n"/>
      <c r="CZ9" s="460" t="n"/>
      <c r="DA9" s="461" t="n"/>
      <c r="DB9" s="178" t="inlineStr">
        <is>
          <t>Parziale e totali 
Tm LAeq&gt;0</t>
        </is>
      </c>
    </row>
    <row r="10" ht="60" customHeight="1" s="444" thickBot="1">
      <c r="C10" s="277" t="inlineStr">
        <is>
          <t>Laeq</t>
        </is>
      </c>
      <c r="D10" s="278" t="inlineStr">
        <is>
          <t>Lpicco</t>
        </is>
      </c>
      <c r="E10" s="279" t="inlineStr">
        <is>
          <t>ID</t>
        </is>
      </c>
      <c r="F10" s="450" t="inlineStr">
        <is>
          <t>Categoria-marca-modello/posizione di misura</t>
        </is>
      </c>
      <c r="G10" s="472" t="n"/>
      <c r="H10" s="472" t="n"/>
      <c r="I10" s="275" t="inlineStr">
        <is>
          <t>U1a,m</t>
        </is>
      </c>
      <c r="J10" s="276" t="inlineStr">
        <is>
          <t>Lpicco,C</t>
        </is>
      </c>
      <c r="K10" s="276" t="inlineStr">
        <is>
          <t>LAeq,T</t>
        </is>
      </c>
      <c r="L10" s="276" t="inlineStr">
        <is>
          <t>LCeq,T</t>
        </is>
      </c>
      <c r="M10" s="271" t="inlineStr">
        <is>
          <t>D.P.I. 
(PNR)</t>
        </is>
      </c>
      <c r="N10" s="272" t="inlineStr">
        <is>
          <t>LEQ(A)Ti
-
(PNR)</t>
        </is>
      </c>
      <c r="O10" s="283" t="inlineStr">
        <is>
          <t>Tm 
(max)</t>
        </is>
      </c>
      <c r="P10" s="266" t="inlineStr">
        <is>
          <t xml:space="preserve">Tmax   -   </t>
        </is>
      </c>
      <c r="Q10" s="403" t="inlineStr">
        <is>
          <t>Tmin</t>
        </is>
      </c>
      <c r="R10" s="284" t="inlineStr">
        <is>
          <t>Tm 
(max)</t>
        </is>
      </c>
      <c r="S10" s="468" t="inlineStr">
        <is>
          <t>In caso di variablità di Tm
Tmax   -   Tmin</t>
        </is>
      </c>
      <c r="T10" s="461" t="n"/>
      <c r="U10" s="284" t="inlineStr">
        <is>
          <t>Tm 
(max)</t>
        </is>
      </c>
      <c r="V10" s="468" t="inlineStr">
        <is>
          <t>In caso di variablità di Tm
Tmax   -   Tmin</t>
        </is>
      </c>
      <c r="W10" s="461" t="n"/>
      <c r="X10" s="284" t="inlineStr">
        <is>
          <t>Tm 
(max)</t>
        </is>
      </c>
      <c r="Y10" s="468" t="inlineStr">
        <is>
          <t>In caso di variablità di Tm
Tmax   -   Tmin</t>
        </is>
      </c>
      <c r="Z10" s="461" t="n"/>
      <c r="AA10" s="284" t="inlineStr">
        <is>
          <t>Tm 
(max)</t>
        </is>
      </c>
      <c r="AB10" s="468" t="inlineStr">
        <is>
          <t>In caso di variablità di Tm
Tmax   -   Tmin</t>
        </is>
      </c>
      <c r="AC10" s="461" t="n"/>
      <c r="AD10" s="284" t="inlineStr">
        <is>
          <t>Tm 
(max)</t>
        </is>
      </c>
      <c r="AE10" s="468" t="inlineStr">
        <is>
          <t>In caso di variablità di Tm
Tmax   -   Tmin</t>
        </is>
      </c>
      <c r="AF10" s="461" t="n"/>
      <c r="AG10" s="284" t="inlineStr">
        <is>
          <t>Tm 
(max)</t>
        </is>
      </c>
      <c r="AH10" s="468" t="inlineStr">
        <is>
          <t>In caso di variablità di Tm
Tmax   -   Tmin</t>
        </is>
      </c>
      <c r="AI10" s="461" t="n"/>
      <c r="AJ10" s="288" t="n"/>
      <c r="AK10" s="208" t="inlineStr">
        <is>
          <t>PNR</t>
        </is>
      </c>
      <c r="AL10" s="209" t="inlineStr">
        <is>
          <t>Picco</t>
        </is>
      </c>
      <c r="AM10" s="209" t="inlineStr">
        <is>
          <t>Laeq -PNR (anche per LAeq&lt;87)</t>
        </is>
      </c>
      <c r="AN10" s="210" t="inlineStr">
        <is>
          <t>Energia</t>
        </is>
      </c>
      <c r="AO10" s="202" t="n"/>
      <c r="AP10" s="340" t="inlineStr">
        <is>
          <t>I TERM</t>
        </is>
      </c>
      <c r="AQ10" s="340" t="inlineStr">
        <is>
          <t>II TERM.</t>
        </is>
      </c>
      <c r="AR10" s="340" t="inlineStr">
        <is>
          <t>U1b</t>
        </is>
      </c>
      <c r="AS10" s="340" t="inlineStr">
        <is>
          <t>C1a</t>
        </is>
      </c>
      <c r="AT10" s="340" t="inlineStr">
        <is>
          <t>C1b</t>
        </is>
      </c>
      <c r="AU10" s="109" t="inlineStr">
        <is>
          <t>Conversione minuti/ore</t>
        </is>
      </c>
      <c r="AW10" s="340" t="inlineStr">
        <is>
          <t>I TERM</t>
        </is>
      </c>
      <c r="AX10" s="340" t="inlineStr">
        <is>
          <t>II TERM.</t>
        </is>
      </c>
      <c r="AY10" s="340" t="inlineStr">
        <is>
          <t>U1b</t>
        </is>
      </c>
      <c r="AZ10" s="340" t="inlineStr">
        <is>
          <t>C1a</t>
        </is>
      </c>
      <c r="BA10" s="340" t="inlineStr">
        <is>
          <t>C1b</t>
        </is>
      </c>
      <c r="BB10" s="109" t="inlineStr">
        <is>
          <t>Conversione minuti/ore</t>
        </is>
      </c>
      <c r="BD10" s="340" t="inlineStr">
        <is>
          <t>I TERM</t>
        </is>
      </c>
      <c r="BE10" s="340" t="inlineStr">
        <is>
          <t>II TERM.</t>
        </is>
      </c>
      <c r="BF10" s="340" t="inlineStr">
        <is>
          <t>U1b</t>
        </is>
      </c>
      <c r="BG10" s="340" t="inlineStr">
        <is>
          <t>C1a</t>
        </is>
      </c>
      <c r="BH10" s="340" t="inlineStr">
        <is>
          <t>C1b</t>
        </is>
      </c>
      <c r="BI10" s="109" t="inlineStr">
        <is>
          <t>Conversione minuti/ore</t>
        </is>
      </c>
      <c r="BK10" s="340" t="inlineStr">
        <is>
          <t>I TERM</t>
        </is>
      </c>
      <c r="BL10" s="340" t="inlineStr">
        <is>
          <t>II TERM.</t>
        </is>
      </c>
      <c r="BM10" s="340" t="inlineStr">
        <is>
          <t>U1b</t>
        </is>
      </c>
      <c r="BN10" s="340" t="inlineStr">
        <is>
          <t>C1a</t>
        </is>
      </c>
      <c r="BO10" s="340" t="inlineStr">
        <is>
          <t>C1b</t>
        </is>
      </c>
      <c r="BP10" s="109" t="inlineStr">
        <is>
          <t>Conversione minuti/ore</t>
        </is>
      </c>
      <c r="BR10" s="340" t="inlineStr">
        <is>
          <t>I TERM</t>
        </is>
      </c>
      <c r="BS10" s="340" t="inlineStr">
        <is>
          <t>II TERM.</t>
        </is>
      </c>
      <c r="BT10" s="340" t="inlineStr">
        <is>
          <t>U1b</t>
        </is>
      </c>
      <c r="BU10" s="340" t="inlineStr">
        <is>
          <t>C1a</t>
        </is>
      </c>
      <c r="BV10" s="340" t="inlineStr">
        <is>
          <t>C1b</t>
        </is>
      </c>
      <c r="BW10" s="109" t="inlineStr">
        <is>
          <t>Conversione minuti/ore</t>
        </is>
      </c>
      <c r="BY10" s="340" t="inlineStr">
        <is>
          <t>I TERM</t>
        </is>
      </c>
      <c r="BZ10" s="340" t="inlineStr">
        <is>
          <t>II TERM.</t>
        </is>
      </c>
      <c r="CA10" s="340" t="inlineStr">
        <is>
          <t>U1b</t>
        </is>
      </c>
      <c r="CB10" s="340" t="inlineStr">
        <is>
          <t>C1a</t>
        </is>
      </c>
      <c r="CC10" s="340" t="inlineStr">
        <is>
          <t>C1b</t>
        </is>
      </c>
      <c r="CD10" s="109" t="inlineStr">
        <is>
          <t>Conversione minuti/ore</t>
        </is>
      </c>
      <c r="CF10" s="340" t="inlineStr">
        <is>
          <t>I TERM</t>
        </is>
      </c>
      <c r="CG10" s="340" t="inlineStr">
        <is>
          <t>II TERM.</t>
        </is>
      </c>
      <c r="CH10" s="340" t="inlineStr">
        <is>
          <t>U1b</t>
        </is>
      </c>
      <c r="CI10" s="340" t="inlineStr">
        <is>
          <t>C1a</t>
        </is>
      </c>
      <c r="CJ10" s="340" t="inlineStr">
        <is>
          <t>C1b</t>
        </is>
      </c>
      <c r="CK10" s="109" t="inlineStr">
        <is>
          <t>Conversione minuti/ore</t>
        </is>
      </c>
      <c r="CN10" s="223" t="inlineStr">
        <is>
          <t xml:space="preserve">Giornata 1 Laeq </t>
        </is>
      </c>
      <c r="CO10" s="223" t="inlineStr">
        <is>
          <t xml:space="preserve">Giornata 2 Laeq </t>
        </is>
      </c>
      <c r="CP10" s="223" t="inlineStr">
        <is>
          <t xml:space="preserve">Giornata 3 Laeq </t>
        </is>
      </c>
      <c r="CQ10" s="223" t="inlineStr">
        <is>
          <t xml:space="preserve">Giornata 4 Laeq </t>
        </is>
      </c>
      <c r="CR10" s="223" t="inlineStr">
        <is>
          <t xml:space="preserve">Giornata 5 Laeq </t>
        </is>
      </c>
      <c r="CS10" s="223" t="inlineStr">
        <is>
          <t xml:space="preserve">Giornata 6 Laeq </t>
        </is>
      </c>
      <c r="CT10" s="223" t="inlineStr">
        <is>
          <t xml:space="preserve">Giornata 7 Laeq </t>
        </is>
      </c>
      <c r="CU10" s="239" t="inlineStr">
        <is>
          <t xml:space="preserve">Giornata 1 Laeq - PNR </t>
        </is>
      </c>
      <c r="CV10" s="239" t="inlineStr">
        <is>
          <t xml:space="preserve">Giornata 2 Laeq  - PNR </t>
        </is>
      </c>
      <c r="CW10" s="239" t="inlineStr">
        <is>
          <t xml:space="preserve">Giornata 3 Laeq  - PNR </t>
        </is>
      </c>
      <c r="CX10" s="239" t="inlineStr">
        <is>
          <t xml:space="preserve">Giornata 4 Laeq  - PNR </t>
        </is>
      </c>
      <c r="CY10" s="239" t="inlineStr">
        <is>
          <t xml:space="preserve">Giornata 5 Laeq  - PNR </t>
        </is>
      </c>
      <c r="CZ10" s="239" t="inlineStr">
        <is>
          <t xml:space="preserve">Giornata 6 Laeq  - PNR </t>
        </is>
      </c>
      <c r="DA10" s="239" t="inlineStr">
        <is>
          <t xml:space="preserve">Giornata 7 Laeq  - PNR </t>
        </is>
      </c>
      <c r="DB10" s="388">
        <f>SUM(DB11:DB40)</f>
        <v/>
      </c>
      <c r="DC10" s="388" t="inlineStr">
        <is>
          <t>En(C)&gt;80</t>
        </is>
      </c>
      <c r="DD10" s="388" t="inlineStr">
        <is>
          <t>En(A)&gt;80</t>
        </is>
      </c>
      <c r="DE10" s="388" t="inlineStr">
        <is>
          <t>LAeq(F)</t>
        </is>
      </c>
      <c r="DF10" s="388" t="inlineStr">
        <is>
          <t>LCeq(F)</t>
        </is>
      </c>
      <c r="DG10" s="388" t="inlineStr">
        <is>
          <t>LEX',8h</t>
        </is>
      </c>
    </row>
    <row r="11" ht="27" customHeight="1" s="444">
      <c r="C11" s="264">
        <f>IF(AK11="0","T",IF((K11-AK11)&lt;65,"I",IF((K11-AK11)&lt;70,"K",IF((K11-AK11)&lt;75,"J",IF((K11-AK11)&lt;80,"K","L")))))</f>
        <v/>
      </c>
      <c r="D11" s="273">
        <f>IF(J11&lt;135,"T",IF((J11-$J$69)&lt;135,"J","L"))</f>
        <v/>
      </c>
      <c r="E11" s="267" t="n">
        <v>48</v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268">
        <f>VLOOKUP(E11,Misure_Campionate,12,FALSE)</f>
        <v/>
      </c>
      <c r="J11" s="268">
        <f>VLOOKUP(E11,Misure_Campionate,13,FALSE)</f>
        <v/>
      </c>
      <c r="K11" s="269">
        <f>VLOOKUP(E11,Misure_Campionate,14,FALSE)</f>
        <v/>
      </c>
      <c r="L11" s="274">
        <f>VLOOKUP(E11,Misure_Campionate,15,FALSE)</f>
        <v/>
      </c>
      <c r="M11" s="270">
        <f>IF(AND($O$47&gt;87,K11&gt;80),AK11,0)</f>
        <v/>
      </c>
      <c r="N11" s="262">
        <f>IF(M11=0,"",K11-M11)</f>
        <v/>
      </c>
      <c r="O11" s="224" t="n">
        <v>180</v>
      </c>
      <c r="P11" s="294" t="n"/>
      <c r="Q11" s="294" t="n"/>
      <c r="R11" s="224" t="n">
        <v>180</v>
      </c>
      <c r="S11" s="294" t="n"/>
      <c r="T11" s="294" t="n"/>
      <c r="U11" s="224" t="n"/>
      <c r="V11" s="294" t="n"/>
      <c r="W11" s="294" t="n"/>
      <c r="X11" s="224" t="n"/>
      <c r="Y11" s="294" t="n"/>
      <c r="Z11" s="294" t="n"/>
      <c r="AA11" s="224" t="n"/>
      <c r="AB11" s="294" t="n"/>
      <c r="AC11" s="294" t="n"/>
      <c r="AD11" s="224" t="n"/>
      <c r="AE11" s="294" t="n"/>
      <c r="AF11" s="294" t="n"/>
      <c r="AG11" s="224" t="n"/>
      <c r="AH11" s="294" t="n"/>
      <c r="AI11" s="294" t="n"/>
      <c r="AJ11" s="289" t="n"/>
      <c r="AK11" s="151">
        <f>IF(K11&lt;80,"0",IF((L11-K11)&lt;=2,($L$66-(($K$66-$L$66)/4)*(L11-K11-2)),($L$66-(($L$66-$M$66)/8)*(L11-K11-2))))</f>
        <v/>
      </c>
      <c r="AL11" s="151">
        <f>IF(J11&lt;135,"",J11-$J$69)</f>
        <v/>
      </c>
      <c r="AM11" s="111">
        <f>K11-AK11</f>
        <v/>
      </c>
      <c r="AN11" s="151">
        <f>O11/$G$5*10^(AM11/10)</f>
        <v/>
      </c>
      <c r="AO11" s="84" t="n"/>
      <c r="AP11" s="469">
        <f>IF((AS11^2*(I11^2+$G$3^2+$G$4^2)&gt;0),(AS11^2*(I11^2+$G$3^2+$G$4^2)),0)</f>
        <v/>
      </c>
      <c r="AQ11" s="180">
        <f>IF(AP11=0,0,(AT11*AR11)^2)</f>
        <v/>
      </c>
      <c r="AR11" s="181">
        <f>0.5*((P11-Q11)/60)</f>
        <v/>
      </c>
      <c r="AS11" s="470">
        <f>O11/$G$5*10^((K11-$O$42)/10)</f>
        <v/>
      </c>
      <c r="AT11" s="397">
        <f>IF(AU11=0,0,4.34*(AS11/AU11))</f>
        <v/>
      </c>
      <c r="AU11" s="183">
        <f>O11/60</f>
        <v/>
      </c>
      <c r="AW11" s="496">
        <f>IF((AZ11^2*(I11^2+$G$3^2+$G$4^2)&gt;0),(AZ11^2*(I11^2+$G$3^2+$G$4^2)),0)</f>
        <v/>
      </c>
      <c r="AX11" s="297">
        <f>IF(AW11=0,0,(BA11*AY11)^2)</f>
        <v/>
      </c>
      <c r="AY11" s="298">
        <f>0.5*((S11-T11)/60)</f>
        <v/>
      </c>
      <c r="AZ11" s="497">
        <f>R11/$G$5*10^((K11-$R$42)/10)</f>
        <v/>
      </c>
      <c r="BA11" s="300">
        <f>IF(BB11=0,0,4.34*(AZ11/BB11))</f>
        <v/>
      </c>
      <c r="BB11" s="300">
        <f>R11/60</f>
        <v/>
      </c>
      <c r="BD11" s="496">
        <f>IF((BG11^2*(I11^2+$G$3^2+$G$4^2)&gt;0),(BG11^2*(I11^2+$G$3^2+$G$4^2)),0)</f>
        <v/>
      </c>
      <c r="BE11" s="297">
        <f>IF(BD11=0,0,(BH11*BF11)^2)</f>
        <v/>
      </c>
      <c r="BF11" s="298">
        <f>0.5*((V11-W11)/60)</f>
        <v/>
      </c>
      <c r="BG11" s="497">
        <f>U11/$G$5*10^((K11-$U$42)/10)</f>
        <v/>
      </c>
      <c r="BH11" s="300">
        <f>IF(BI11=0,0,4.34*(BG11/BI11))</f>
        <v/>
      </c>
      <c r="BI11" s="300">
        <f>U11/60</f>
        <v/>
      </c>
      <c r="BK11" s="496">
        <f>IF((BN11^2*(I11^2+$G$3^2+$G$4^2)&gt;0),(BN11^2*(I11^2+$G$3^2+$G$4^2)),0)</f>
        <v/>
      </c>
      <c r="BL11" s="297">
        <f>IF(BK11=0,0,(BO11*BM11)^2)</f>
        <v/>
      </c>
      <c r="BM11" s="298">
        <f>0.5*((Y11-Z11)/60)</f>
        <v/>
      </c>
      <c r="BN11" s="497">
        <f>(X11/$G$5)*(10^((K11-$X$42)*0.1))</f>
        <v/>
      </c>
      <c r="BO11" s="300">
        <f>IF(BP11=0,0,(4.34*(BN11/BP11)))</f>
        <v/>
      </c>
      <c r="BP11" s="300">
        <f>X11/60</f>
        <v/>
      </c>
      <c r="BR11" s="496">
        <f>IF((BU11^2*(I11^2+$G$3^2+$G$4^2)&gt;0),(BU11^2*(I11^2+$G$3^2+$G$4^2)),0)</f>
        <v/>
      </c>
      <c r="BS11" s="297">
        <f>IF(BR11=0,0,(BV11*BT11)^2)</f>
        <v/>
      </c>
      <c r="BT11" s="298">
        <f>0.5*((AB11-AC11)/60)</f>
        <v/>
      </c>
      <c r="BU11" s="497">
        <f>AA11/$G$5*10^((K11-$AA$42)/10)</f>
        <v/>
      </c>
      <c r="BV11" s="300">
        <f>IF(BW11=0,0,4.34*(BU11/BW11))</f>
        <v/>
      </c>
      <c r="BW11" s="300">
        <f>AA11/60</f>
        <v/>
      </c>
      <c r="BY11" s="496">
        <f>IF((CB11^2*(I11^2+$G$3^2+$G$4^2)&gt;0),(CB11^2*(I11^2+$G$3^2+$G$4^2)),0)</f>
        <v/>
      </c>
      <c r="BZ11" s="297">
        <f>IF(BY11=0,0,(CC11*CA11)^2)</f>
        <v/>
      </c>
      <c r="CA11" s="298">
        <f>0.5*((AE11-AF11)/60)</f>
        <v/>
      </c>
      <c r="CB11" s="497">
        <f>AD11/$G$5*10^((K11-$AD$42)/10)</f>
        <v/>
      </c>
      <c r="CC11" s="300">
        <f>IF(CD11=0,0,4.34*(CB11/CD11))</f>
        <v/>
      </c>
      <c r="CD11" s="300">
        <f>AD11/60</f>
        <v/>
      </c>
      <c r="CF11" s="496">
        <f>IF((CI11^2*(I11^2+$G$3^2+$G$4^2)&gt;0),(CI11^2*(I11^2+$G$3^2+$G$4^2)),0)</f>
        <v/>
      </c>
      <c r="CG11" s="297">
        <f>IF(CF11=0,0,(CJ11*CH11)^2)</f>
        <v/>
      </c>
      <c r="CH11" s="298">
        <f>0.5*((AH11-AI11)/60)</f>
        <v/>
      </c>
      <c r="CI11" s="497">
        <f>AG11/$G$5*10^((K11-$AG$42)/10)</f>
        <v/>
      </c>
      <c r="CJ11" s="300">
        <f>IF(CK11=0,0,4.34*(CI11/CK11))</f>
        <v/>
      </c>
      <c r="CK11" s="300">
        <f>AG11/60</f>
        <v/>
      </c>
      <c r="CN11" s="183">
        <f>O11/$G$5*10^(K11/10)</f>
        <v/>
      </c>
      <c r="CO11" s="183">
        <f>R11/$G$5*10^(K11/10)</f>
        <v/>
      </c>
      <c r="CP11" s="183">
        <f>U11/$G$5*10^(K11/10)</f>
        <v/>
      </c>
      <c r="CQ11" s="183">
        <f>X11/$G$5*10^(K11/10)</f>
        <v/>
      </c>
      <c r="CR11" s="183">
        <f>AA11/$G$5*10^(K11/10)</f>
        <v/>
      </c>
      <c r="CS11" s="183">
        <f>AD11/$G$5*10^(K11/10)</f>
        <v/>
      </c>
      <c r="CT11" s="183">
        <f>AG11/$G$5*10^(K11/10)</f>
        <v/>
      </c>
      <c r="CU11" s="183">
        <f>O11/$G$5*10^(AM11/10)</f>
        <v/>
      </c>
      <c r="CV11" s="183">
        <f>R11/$G$5*10^(AM11/10)</f>
        <v/>
      </c>
      <c r="CW11" s="183">
        <f>U11/$G$5*10^(AM11/10)</f>
        <v/>
      </c>
      <c r="CX11" s="183">
        <f>X11/$G$5*10^(AM11/10)</f>
        <v/>
      </c>
      <c r="CY11" s="183">
        <f>AA11/$G$5*10^(AM11/10)</f>
        <v/>
      </c>
      <c r="CZ11" s="183">
        <f>AD11/$G$5*10^(AM11/10)</f>
        <v/>
      </c>
      <c r="DA11" s="183">
        <f>AG11/$G$5*10^(AM11/10)</f>
        <v/>
      </c>
      <c r="DB11" s="388">
        <f>IF(K11&gt;80,O11,"")</f>
        <v/>
      </c>
      <c r="DC11" s="388">
        <f>IF(K11&gt;80,O11/$DB$10*10^(L11/10),"")</f>
        <v/>
      </c>
      <c r="DD11" s="388">
        <f>IF(K11&gt;80,O11/$DB$10*10^(K11/10),"")</f>
        <v/>
      </c>
      <c r="DE11" s="373">
        <f>IF((MAX(K11:K40)&gt;80),10*LOG(SUM($DD$11:$DD$40)),"")</f>
        <v/>
      </c>
      <c r="DF11" s="373">
        <f>IF((MAX(K11:K40)&gt;80),10*LOG(SUM($DC$11:$DC$40)),"")</f>
        <v/>
      </c>
      <c r="DG11" s="110">
        <f>10*LOG(SUM(CM11:CM40))</f>
        <v/>
      </c>
    </row>
    <row r="12" ht="27" customHeight="1" s="444">
      <c r="C12" s="264">
        <f>IF(AK12="0","T",IF((K12-AK12)&lt;65,"I",IF((K12-AK12)&lt;70,"K",IF((K12-AK12)&lt;75,"J",IF((K12-AK12)&lt;80,"K","L")))))</f>
        <v/>
      </c>
      <c r="D12" s="273">
        <f>IF(J12&lt;135,"T",IF((J12-$J$69)&lt;135,"J","L"))</f>
        <v/>
      </c>
      <c r="E12" s="267" t="n">
        <v>49</v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IF(AND($O$47&gt;87,K12&gt;80),AK12,0)</f>
        <v/>
      </c>
      <c r="N12" s="262">
        <f>IF(M12=0,"",K12-M12)</f>
        <v/>
      </c>
      <c r="O12" s="225" t="n">
        <v>180</v>
      </c>
      <c r="P12" s="295" t="n"/>
      <c r="Q12" s="295" t="n"/>
      <c r="R12" s="225" t="n">
        <v>180</v>
      </c>
      <c r="S12" s="295" t="n"/>
      <c r="T12" s="295" t="n"/>
      <c r="U12" s="225" t="n"/>
      <c r="V12" s="295" t="n"/>
      <c r="W12" s="295" t="n"/>
      <c r="X12" s="225" t="n"/>
      <c r="Y12" s="295" t="n"/>
      <c r="Z12" s="295" t="n"/>
      <c r="AA12" s="225" t="n"/>
      <c r="AB12" s="295" t="n"/>
      <c r="AC12" s="295" t="n"/>
      <c r="AD12" s="225" t="n"/>
      <c r="AE12" s="295" t="n"/>
      <c r="AF12" s="295" t="n"/>
      <c r="AG12" s="225" t="n"/>
      <c r="AH12" s="295" t="n"/>
      <c r="AI12" s="295" t="n"/>
      <c r="AJ12" s="289" t="n"/>
      <c r="AK12" s="151">
        <f>IF(K12&lt;80,"0",IF((L12-K12)&lt;=2,($L$66-(($K$66-$L$66)/4)*(L12-K12-2)),($L$66-(($L$66-$M$66)/8)*(L12-K12-2))))</f>
        <v/>
      </c>
      <c r="AL12" s="111">
        <f>IF(J12&lt;135,"",J12-$J$69)</f>
        <v/>
      </c>
      <c r="AM12" s="111">
        <f>K12-AK12</f>
        <v/>
      </c>
      <c r="AN12" s="151">
        <f>O12/$G$5*10^(AM12/10)</f>
        <v/>
      </c>
      <c r="AO12" s="84" t="n"/>
      <c r="AP12" s="469">
        <f>IF((AS12^2*(I12^2+$G$3^2+$G$4^2)&gt;0),(AS12^2*(I12^2+$G$3^2+$G$4^2)),0)</f>
        <v/>
      </c>
      <c r="AQ12" s="180">
        <f>IF(AP12=0,0,(AT12*AR12)^2)</f>
        <v/>
      </c>
      <c r="AR12" s="181">
        <f>0.5*((P12-Q12)/60)</f>
        <v/>
      </c>
      <c r="AS12" s="470">
        <f>O12/$G$5*10^((K12-$O$42)/10)</f>
        <v/>
      </c>
      <c r="AT12" s="397">
        <f>IF(AU12=0,0,4.34*(AS12/AU12))</f>
        <v/>
      </c>
      <c r="AU12" s="183">
        <f>O12/60</f>
        <v/>
      </c>
      <c r="AW12" s="496">
        <f>IF((AZ12^2*(I12^2+$G$3^2+$G$4^2)&gt;0),(AZ12^2*(I12^2+$G$3^2+$G$4^2)),0)</f>
        <v/>
      </c>
      <c r="AX12" s="297">
        <f>IF(AW12=0,0,(BA12*AY12)^2)</f>
        <v/>
      </c>
      <c r="AY12" s="298">
        <f>0.5*((S12-T12)/60)</f>
        <v/>
      </c>
      <c r="AZ12" s="497">
        <f>R12/$G$5*10^((K12-$R$42)/10)</f>
        <v/>
      </c>
      <c r="BA12" s="300">
        <f>IF(BB12=0,0,4.34*(AZ12/BB12))</f>
        <v/>
      </c>
      <c r="BB12" s="300">
        <f>R12/60</f>
        <v/>
      </c>
      <c r="BD12" s="496">
        <f>IF((BG12^2*(I12^2+$G$3^2+$G$4^2)&gt;0),(BG12^2*(I12^2+$G$3^2+$G$4^2)),0)</f>
        <v/>
      </c>
      <c r="BE12" s="297">
        <f>IF(BD12=0,0,(BH12*BF12)^2)</f>
        <v/>
      </c>
      <c r="BF12" s="298">
        <f>0.5*((V12-W12)/60)</f>
        <v/>
      </c>
      <c r="BG12" s="497">
        <f>U12/$G$5*10^((K12-$U$42)/10)</f>
        <v/>
      </c>
      <c r="BH12" s="300">
        <f>IF(BI12=0,0,4.34*(BG12/BI12))</f>
        <v/>
      </c>
      <c r="BI12" s="300">
        <f>U12/60</f>
        <v/>
      </c>
      <c r="BK12" s="496">
        <f>IF((BN12^2*(I12^2+$G$3^2+$G$4^2)&gt;0),(BN12^2*(I12^2+$G$3^2+$G$4^2)),0)</f>
        <v/>
      </c>
      <c r="BL12" s="297">
        <f>IF(BK12=0,0,(BO12*BM12)^2)</f>
        <v/>
      </c>
      <c r="BM12" s="298">
        <f>0.5*((Y12-Z12)/60)</f>
        <v/>
      </c>
      <c r="BN12" s="497">
        <f>(X12/$G$5)*(10^((K12-$X$42)*0.1))</f>
        <v/>
      </c>
      <c r="BO12" s="300">
        <f>IF(BP12=0,0,(4.34*(BN12/BP12)))</f>
        <v/>
      </c>
      <c r="BP12" s="300">
        <f>X12/60</f>
        <v/>
      </c>
      <c r="BR12" s="496">
        <f>IF((BU12^2*(I12^2+$G$3^2+$G$4^2)&gt;0),(BU12^2*(I12^2+$G$3^2+$G$4^2)),0)</f>
        <v/>
      </c>
      <c r="BS12" s="297">
        <f>IF(BR12=0,0,(BV12*BT12)^2)</f>
        <v/>
      </c>
      <c r="BT12" s="298">
        <f>0.5*((AB12-AC12)/60)</f>
        <v/>
      </c>
      <c r="BU12" s="497">
        <f>AA12/$G$5*10^((K12-$AA$42)/10)</f>
        <v/>
      </c>
      <c r="BV12" s="300">
        <f>IF(BW12=0,0,4.34*(BU12/BW12))</f>
        <v/>
      </c>
      <c r="BW12" s="300">
        <f>AA12/60</f>
        <v/>
      </c>
      <c r="BY12" s="496">
        <f>IF((CB12^2*(I12^2+$G$3^2+$G$4^2)&gt;0),(CB12^2*(I12^2+$G$3^2+$G$4^2)),0)</f>
        <v/>
      </c>
      <c r="BZ12" s="297">
        <f>IF(BY12=0,0,(CC12*CA12)^2)</f>
        <v/>
      </c>
      <c r="CA12" s="298">
        <f>0.5*((AE12-AF12)/60)</f>
        <v/>
      </c>
      <c r="CB12" s="497">
        <f>AD12/$G$5*10^((K12-$AD$42)/10)</f>
        <v/>
      </c>
      <c r="CC12" s="300">
        <f>IF(CD12=0,0,4.34*(CB12/CD12))</f>
        <v/>
      </c>
      <c r="CD12" s="300">
        <f>AD12/60</f>
        <v/>
      </c>
      <c r="CF12" s="496">
        <f>IF((CI12^2*(I12^2+$G$3^2+$G$4^2)&gt;0),(CI12^2*(I12^2+$G$3^2+$G$4^2)),0)</f>
        <v/>
      </c>
      <c r="CG12" s="297">
        <f>IF(CF12=0,0,(CJ12*CH12)^2)</f>
        <v/>
      </c>
      <c r="CH12" s="298">
        <f>0.5*((AH12-AI12)/60)</f>
        <v/>
      </c>
      <c r="CI12" s="497">
        <f>AG12/$G$5*10^((K12-$AG$42)/10)</f>
        <v/>
      </c>
      <c r="CJ12" s="300">
        <f>IF(CK12=0,0,4.34*(CI12/CK12))</f>
        <v/>
      </c>
      <c r="CK12" s="300">
        <f>AG12/60</f>
        <v/>
      </c>
      <c r="CN12" s="183">
        <f>O12/$G$5*10^(K12/10)</f>
        <v/>
      </c>
      <c r="CO12" s="183">
        <f>R12/$G$5*10^(K12/10)</f>
        <v/>
      </c>
      <c r="CP12" s="183">
        <f>U12/$G$5*10^(K12/10)</f>
        <v/>
      </c>
      <c r="CQ12" s="183">
        <f>X12/$G$5*10^(K12/10)</f>
        <v/>
      </c>
      <c r="CR12" s="183">
        <f>AA12/$G$5*10^(K12/10)</f>
        <v/>
      </c>
      <c r="CS12" s="183">
        <f>AD12/$G$5*10^(K12/10)</f>
        <v/>
      </c>
      <c r="CT12" s="183">
        <f>AG12/$G$5*10^(K12/10)</f>
        <v/>
      </c>
      <c r="CU12" s="183">
        <f>O12/$G$5*10^(AM12/10)</f>
        <v/>
      </c>
      <c r="CV12" s="183">
        <f>R12/$G$5*10^(AM12/10)</f>
        <v/>
      </c>
      <c r="CW12" s="183">
        <f>U12/$G$5*10^(AM12/10)</f>
        <v/>
      </c>
      <c r="CX12" s="183">
        <f>X12/$G$5*10^(AM12/10)</f>
        <v/>
      </c>
      <c r="CY12" s="183">
        <f>AA12/$G$5*10^(AM12/10)</f>
        <v/>
      </c>
      <c r="CZ12" s="183">
        <f>AD12/$G$5*10^(AM12/10)</f>
        <v/>
      </c>
      <c r="DA12" s="183">
        <f>AG12/$G$5*10^(AM12/10)</f>
        <v/>
      </c>
      <c r="DB12" s="388">
        <f>IF(K12&gt;80,O12,"")</f>
        <v/>
      </c>
      <c r="DC12" s="388">
        <f>IF(K12&gt;80,O12/$DB$10*10^(L12/10),"")</f>
        <v/>
      </c>
      <c r="DD12" s="388">
        <f>IF(K12&gt;80,O12/$DB$10*10^(K12/10),"")</f>
        <v/>
      </c>
      <c r="DF12" s="184" t="n"/>
    </row>
    <row r="13" ht="27" customHeight="1" s="444">
      <c r="C13" s="264">
        <f>IF(AK13="0","T",IF((K13-AK13)&lt;65,"I",IF((K13-AK13)&lt;70,"K",IF((K13-AK13)&lt;75,"J",IF((K13-AK13)&lt;80,"K","L")))))</f>
        <v/>
      </c>
      <c r="D13" s="273">
        <f>IF(J13&lt;135,"T",IF((J13-$J$69)&lt;135,"J","L"))</f>
        <v/>
      </c>
      <c r="E13" s="267" t="n">
        <v>54</v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IF(AND($O$47&gt;87,K13&gt;80),AK13,0)</f>
        <v/>
      </c>
      <c r="N13" s="262">
        <f>IF(M13=0,"",K13-M13)</f>
        <v/>
      </c>
      <c r="O13" s="225" t="n">
        <v>120</v>
      </c>
      <c r="P13" s="295" t="n"/>
      <c r="Q13" s="295" t="n"/>
      <c r="R13" s="225" t="n">
        <v>120</v>
      </c>
      <c r="S13" s="295" t="n"/>
      <c r="T13" s="295" t="n"/>
      <c r="U13" s="225" t="n"/>
      <c r="V13" s="295" t="n"/>
      <c r="W13" s="295" t="n"/>
      <c r="X13" s="225" t="n"/>
      <c r="Y13" s="295" t="n"/>
      <c r="Z13" s="295" t="n"/>
      <c r="AA13" s="225" t="n"/>
      <c r="AB13" s="295" t="n"/>
      <c r="AC13" s="295" t="n"/>
      <c r="AD13" s="225" t="n"/>
      <c r="AE13" s="295" t="n"/>
      <c r="AF13" s="295" t="n"/>
      <c r="AG13" s="225" t="n"/>
      <c r="AH13" s="295" t="n"/>
      <c r="AI13" s="295" t="n"/>
      <c r="AJ13" s="289" t="n"/>
      <c r="AK13" s="151">
        <f>IF(K13&lt;80,"0",IF((L13-K13)&lt;=2,($L$66-(($K$66-$L$66)/4)*(L13-K13-2)),($L$66-(($L$66-$M$66)/8)*(L13-K13-2))))</f>
        <v/>
      </c>
      <c r="AL13" s="111">
        <f>IF(J13&lt;135,"",J13-$J$69)</f>
        <v/>
      </c>
      <c r="AM13" s="111">
        <f>K13-AK13</f>
        <v/>
      </c>
      <c r="AN13" s="151">
        <f>O13/$G$5*10^(AM13/10)</f>
        <v/>
      </c>
      <c r="AO13" s="84" t="n"/>
      <c r="AP13" s="469">
        <f>IF((AS13^2*(I13^2+$G$3^2+$G$4^2)&gt;0),(AS13^2*(I13^2+$G$3^2+$G$4^2)),0)</f>
        <v/>
      </c>
      <c r="AQ13" s="180">
        <f>IF(AP13=0,0,(AT13*AR13)^2)</f>
        <v/>
      </c>
      <c r="AR13" s="181">
        <f>0.5*((P13-Q13)/60)</f>
        <v/>
      </c>
      <c r="AS13" s="470">
        <f>O13/$G$5*10^((K13-$O$42)/10)</f>
        <v/>
      </c>
      <c r="AT13" s="397">
        <f>IF(AU13=0,0,4.34*(AS13/AU13))</f>
        <v/>
      </c>
      <c r="AU13" s="183">
        <f>O13/60</f>
        <v/>
      </c>
      <c r="AW13" s="496">
        <f>IF((AZ13^2*(I13^2+$G$3^2+$G$4^2)&gt;0),(AZ13^2*(I13^2+$G$3^2+$G$4^2)),0)</f>
        <v/>
      </c>
      <c r="AX13" s="297">
        <f>IF(AW13=0,0,(BA13*AY13)^2)</f>
        <v/>
      </c>
      <c r="AY13" s="298">
        <f>0.5*((S13-T13)/60)</f>
        <v/>
      </c>
      <c r="AZ13" s="497">
        <f>R13/$G$5*10^((K13-$R$42)/10)</f>
        <v/>
      </c>
      <c r="BA13" s="300">
        <f>IF(BB13=0,0,4.34*(AZ13/BB13))</f>
        <v/>
      </c>
      <c r="BB13" s="300">
        <f>R13/60</f>
        <v/>
      </c>
      <c r="BD13" s="496">
        <f>IF((BG13^2*(I13^2+$G$3^2+$G$4^2)&gt;0),(BG13^2*(I13^2+$G$3^2+$G$4^2)),0)</f>
        <v/>
      </c>
      <c r="BE13" s="297">
        <f>IF(BD13=0,0,(BH13*BF13)^2)</f>
        <v/>
      </c>
      <c r="BF13" s="298">
        <f>0.5*((V13-W13)/60)</f>
        <v/>
      </c>
      <c r="BG13" s="497">
        <f>U13/$G$5*10^((K13-$U$42)/10)</f>
        <v/>
      </c>
      <c r="BH13" s="300">
        <f>IF(BI13=0,0,4.34*(BG13/BI13))</f>
        <v/>
      </c>
      <c r="BI13" s="300">
        <f>U13/60</f>
        <v/>
      </c>
      <c r="BK13" s="496">
        <f>IF((BN13^2*(I13^2+$G$3^2+$G$4^2)&gt;0),(BN13^2*(I13^2+$G$3^2+$G$4^2)),0)</f>
        <v/>
      </c>
      <c r="BL13" s="297">
        <f>IF(BK13=0,0,(BO13*BM13)^2)</f>
        <v/>
      </c>
      <c r="BM13" s="298">
        <f>0.5*((Y13-Z13)/60)</f>
        <v/>
      </c>
      <c r="BN13" s="497">
        <f>(X13/$G$5)*(10^((K13-$X$42)*0.1))</f>
        <v/>
      </c>
      <c r="BO13" s="300">
        <f>IF(BP13=0,0,(4.34*(BN13/BP13)))</f>
        <v/>
      </c>
      <c r="BP13" s="300">
        <f>X13/60</f>
        <v/>
      </c>
      <c r="BR13" s="496">
        <f>IF((BU13^2*(I13^2+$G$3^2+$G$4^2)&gt;0),(BU13^2*(I13^2+$G$3^2+$G$4^2)),0)</f>
        <v/>
      </c>
      <c r="BS13" s="297">
        <f>IF(BR13=0,0,(BV13*BT13)^2)</f>
        <v/>
      </c>
      <c r="BT13" s="298">
        <f>0.5*((AB13-AC13)/60)</f>
        <v/>
      </c>
      <c r="BU13" s="497">
        <f>AA13/$G$5*10^((K13-$AA$42)/10)</f>
        <v/>
      </c>
      <c r="BV13" s="300">
        <f>IF(BW13=0,0,4.34*(BU13/BW13))</f>
        <v/>
      </c>
      <c r="BW13" s="300">
        <f>AA13/60</f>
        <v/>
      </c>
      <c r="BY13" s="496">
        <f>IF((CB13^2*(I13^2+$G$3^2+$G$4^2)&gt;0),(CB13^2*(I13^2+$G$3^2+$G$4^2)),0)</f>
        <v/>
      </c>
      <c r="BZ13" s="297">
        <f>IF(BY13=0,0,(CC13*CA13)^2)</f>
        <v/>
      </c>
      <c r="CA13" s="298">
        <f>0.5*((AE13-AF13)/60)</f>
        <v/>
      </c>
      <c r="CB13" s="497">
        <f>AD13/$G$5*10^((K13-$AD$42)/10)</f>
        <v/>
      </c>
      <c r="CC13" s="300">
        <f>IF(CD13=0,0,4.34*(CB13/CD13))</f>
        <v/>
      </c>
      <c r="CD13" s="300">
        <f>AD13/60</f>
        <v/>
      </c>
      <c r="CF13" s="496">
        <f>IF((CI13^2*(I13^2+$G$3^2+$G$4^2)&gt;0),(CI13^2*(I13^2+$G$3^2+$G$4^2)),0)</f>
        <v/>
      </c>
      <c r="CG13" s="297">
        <f>IF(CF13=0,0,(CJ13*CH13)^2)</f>
        <v/>
      </c>
      <c r="CH13" s="298">
        <f>0.5*((AH13-AI13)/60)</f>
        <v/>
      </c>
      <c r="CI13" s="497">
        <f>AG13/$G$5*10^((K13-$AG$42)/10)</f>
        <v/>
      </c>
      <c r="CJ13" s="300">
        <f>IF(CK13=0,0,4.34*(CI13/CK13))</f>
        <v/>
      </c>
      <c r="CK13" s="300">
        <f>AG13/60</f>
        <v/>
      </c>
      <c r="CN13" s="183">
        <f>O13/$G$5*10^(K13/10)</f>
        <v/>
      </c>
      <c r="CO13" s="183">
        <f>R13/$G$5*10^(K13/10)</f>
        <v/>
      </c>
      <c r="CP13" s="183">
        <f>U13/$G$5*10^(K13/10)</f>
        <v/>
      </c>
      <c r="CQ13" s="183">
        <f>X13/$G$5*10^(K13/10)</f>
        <v/>
      </c>
      <c r="CR13" s="183">
        <f>AA13/$G$5*10^(K13/10)</f>
        <v/>
      </c>
      <c r="CS13" s="183">
        <f>AD13/$G$5*10^(K13/10)</f>
        <v/>
      </c>
      <c r="CT13" s="183">
        <f>AG13/$G$5*10^(K13/10)</f>
        <v/>
      </c>
      <c r="CU13" s="183">
        <f>O13/$G$5*10^(AM13/10)</f>
        <v/>
      </c>
      <c r="CV13" s="183">
        <f>R13/$G$5*10^(AM13/10)</f>
        <v/>
      </c>
      <c r="CW13" s="183">
        <f>U13/$G$5*10^(AM13/10)</f>
        <v/>
      </c>
      <c r="CX13" s="183">
        <f>X13/$G$5*10^(AM13/10)</f>
        <v/>
      </c>
      <c r="CY13" s="183">
        <f>AA13/$G$5*10^(AM13/10)</f>
        <v/>
      </c>
      <c r="CZ13" s="183">
        <f>AD13/$G$5*10^(AM13/10)</f>
        <v/>
      </c>
      <c r="DA13" s="183">
        <f>AG13/$G$5*10^(AM13/10)</f>
        <v/>
      </c>
      <c r="DB13" s="388">
        <f>IF(K13&gt;80,O13,"")</f>
        <v/>
      </c>
      <c r="DC13" s="388">
        <f>IF(K13&gt;80,O13/$DB$10*10^(L13/10),"")</f>
        <v/>
      </c>
      <c r="DD13" s="388">
        <f>IF(K13&gt;80,O13/$DB$10*10^(K13/10),"")</f>
        <v/>
      </c>
      <c r="DF13" s="184" t="n"/>
    </row>
    <row r="14" ht="27" customHeight="1" s="444">
      <c r="C14" s="264">
        <f>IF(AK14="0","T",IF((K14-AK14)&lt;65,"I",IF((K14-AK14)&lt;70,"K",IF((K14-AK14)&lt;75,"J",IF((K14-AK14)&lt;80,"K","L")))))</f>
        <v/>
      </c>
      <c r="D14" s="273">
        <f>IF(J14&lt;135,"T",IF((J14-$J$69)&lt;135,"J","L"))</f>
        <v/>
      </c>
      <c r="E14" s="267" t="n">
        <v>84</v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IF(AND($O$47&gt;87,K14&gt;80),AK14,0)</f>
        <v/>
      </c>
      <c r="N14" s="262">
        <f>IF(M14=0,"",K14-M14)</f>
        <v/>
      </c>
      <c r="O14" s="25" t="n"/>
      <c r="P14" s="25" t="n"/>
      <c r="Q14" s="25" t="n"/>
      <c r="R14" s="25" t="n"/>
      <c r="S14" s="25" t="n"/>
      <c r="T14" s="25" t="n"/>
      <c r="U14" s="25" t="n">
        <v>300</v>
      </c>
      <c r="V14" s="25" t="n"/>
      <c r="W14" s="25" t="n"/>
      <c r="X14" s="25" t="n">
        <v>300</v>
      </c>
      <c r="Y14" s="25" t="n"/>
      <c r="Z14" s="25" t="n"/>
      <c r="AA14" s="25" t="n">
        <v>300</v>
      </c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89" t="n"/>
      <c r="AK14" s="151">
        <f>IF(K14&lt;80,"0",IF((L14-K14)&lt;=2,($L$66-(($K$66-$L$66)/4)*(L14-K14-2)),($L$66-(($L$66-$M$66)/8)*(L14-K14-2))))</f>
        <v/>
      </c>
      <c r="AL14" s="111">
        <f>IF(J14&lt;135,"",J14-$J$69)</f>
        <v/>
      </c>
      <c r="AM14" s="111">
        <f>K14-AK14</f>
        <v/>
      </c>
      <c r="AN14" s="151">
        <f>O14/$G$5*10^(AM14/10)</f>
        <v/>
      </c>
      <c r="AO14" s="84" t="n"/>
      <c r="AP14" s="469">
        <f>IF((AS14^2*(I14^2+$G$3^2+$G$4^2)&gt;0),(AS14^2*(I14^2+$G$3^2+$G$4^2)),0)</f>
        <v/>
      </c>
      <c r="AQ14" s="180">
        <f>IF(AP14=0,0,(AT14*AR14)^2)</f>
        <v/>
      </c>
      <c r="AR14" s="181">
        <f>0.5*((P14-Q14)/60)</f>
        <v/>
      </c>
      <c r="AS14" s="470">
        <f>O14/$G$5*10^((K14-$O$42)/10)</f>
        <v/>
      </c>
      <c r="AT14" s="397">
        <f>IF(AU14=0,0,4.34*(AS14/AU14))</f>
        <v/>
      </c>
      <c r="AU14" s="183">
        <f>O14/60</f>
        <v/>
      </c>
      <c r="AW14" s="496">
        <f>IF((AZ14^2*(I14^2+$G$3^2+$G$4^2)&gt;0),(AZ14^2*(I14^2+$G$3^2+$G$4^2)),0)</f>
        <v/>
      </c>
      <c r="AX14" s="297">
        <f>IF(AW14=0,0,(BA14*AY14)^2)</f>
        <v/>
      </c>
      <c r="AY14" s="298">
        <f>0.5*((S14-T14)/60)</f>
        <v/>
      </c>
      <c r="AZ14" s="497">
        <f>R14/$G$5*10^((K14-$R$42)/10)</f>
        <v/>
      </c>
      <c r="BA14" s="300">
        <f>IF(BB14=0,0,4.34*(AZ14/BB14))</f>
        <v/>
      </c>
      <c r="BB14" s="300">
        <f>R14/60</f>
        <v/>
      </c>
      <c r="BD14" s="496">
        <f>IF((BG14^2*(I14^2+$G$3^2+$G$4^2)&gt;0),(BG14^2*(I14^2+$G$3^2+$G$4^2)),0)</f>
        <v/>
      </c>
      <c r="BE14" s="297">
        <f>IF(BD14=0,0,(BH14*BF14)^2)</f>
        <v/>
      </c>
      <c r="BF14" s="298">
        <f>0.5*((V14-W14)/60)</f>
        <v/>
      </c>
      <c r="BG14" s="497">
        <f>U14/$G$5*10^((K14-$U$42)/10)</f>
        <v/>
      </c>
      <c r="BH14" s="300">
        <f>IF(BI14=0,0,4.34*(BG14/BI14))</f>
        <v/>
      </c>
      <c r="BI14" s="300">
        <f>U14/60</f>
        <v/>
      </c>
      <c r="BK14" s="496">
        <f>IF((BN14^2*(I14^2+$G$3^2+$G$4^2)&gt;0),(BN14^2*(I14^2+$G$3^2+$G$4^2)),0)</f>
        <v/>
      </c>
      <c r="BL14" s="297">
        <f>IF(BK14=0,0,(BO14*BM14)^2)</f>
        <v/>
      </c>
      <c r="BM14" s="298">
        <f>0.5*((Y14-Z14)/60)</f>
        <v/>
      </c>
      <c r="BN14" s="497">
        <f>(X14/$G$5)*(10^((K14-$X$42)*0.1))</f>
        <v/>
      </c>
      <c r="BO14" s="300">
        <f>IF(BP14=0,0,(4.34*(BN14/BP14)))</f>
        <v/>
      </c>
      <c r="BP14" s="300">
        <f>X14/60</f>
        <v/>
      </c>
      <c r="BR14" s="496">
        <f>IF((BU14^2*(I14^2+$G$3^2+$G$4^2)&gt;0),(BU14^2*(I14^2+$G$3^2+$G$4^2)),0)</f>
        <v/>
      </c>
      <c r="BS14" s="297">
        <f>IF(BR14=0,0,(BV14*BT14)^2)</f>
        <v/>
      </c>
      <c r="BT14" s="298">
        <f>0.5*((AB14-AC14)/60)</f>
        <v/>
      </c>
      <c r="BU14" s="497">
        <f>AA14/$G$5*10^((K14-$AA$42)/10)</f>
        <v/>
      </c>
      <c r="BV14" s="300">
        <f>IF(BW14=0,0,4.34*(BU14/BW14))</f>
        <v/>
      </c>
      <c r="BW14" s="300">
        <f>AA14/60</f>
        <v/>
      </c>
      <c r="BY14" s="496">
        <f>IF((CB14^2*(I14^2+$G$3^2+$G$4^2)&gt;0),(CB14^2*(I14^2+$G$3^2+$G$4^2)),0)</f>
        <v/>
      </c>
      <c r="BZ14" s="297">
        <f>IF(BY14=0,0,(CC14*CA14)^2)</f>
        <v/>
      </c>
      <c r="CA14" s="298">
        <f>0.5*((AE14-AF14)/60)</f>
        <v/>
      </c>
      <c r="CB14" s="497">
        <f>AD14/$G$5*10^((K14-$AD$42)/10)</f>
        <v/>
      </c>
      <c r="CC14" s="300">
        <f>IF(CD14=0,0,4.34*(CB14/CD14))</f>
        <v/>
      </c>
      <c r="CD14" s="300">
        <f>AD14/60</f>
        <v/>
      </c>
      <c r="CF14" s="496">
        <f>IF((CI14^2*(I14^2+$G$3^2+$G$4^2)&gt;0),(CI14^2*(I14^2+$G$3^2+$G$4^2)),0)</f>
        <v/>
      </c>
      <c r="CG14" s="297">
        <f>IF(CF14=0,0,(CJ14*CH14)^2)</f>
        <v/>
      </c>
      <c r="CH14" s="298">
        <f>0.5*((AH14-AI14)/60)</f>
        <v/>
      </c>
      <c r="CI14" s="497">
        <f>AG14/$G$5*10^((K14-$AG$42)/10)</f>
        <v/>
      </c>
      <c r="CJ14" s="300">
        <f>IF(CK14=0,0,4.34*(CI14/CK14))</f>
        <v/>
      </c>
      <c r="CK14" s="300">
        <f>AG14/60</f>
        <v/>
      </c>
      <c r="CN14" s="183">
        <f>O14/$G$5*10^(K14/10)</f>
        <v/>
      </c>
      <c r="CO14" s="183">
        <f>R14/$G$5*10^(K14/10)</f>
        <v/>
      </c>
      <c r="CP14" s="183">
        <f>U14/$G$5*10^(K14/10)</f>
        <v/>
      </c>
      <c r="CQ14" s="183">
        <f>X14/$G$5*10^(K14/10)</f>
        <v/>
      </c>
      <c r="CR14" s="183">
        <f>AA14/$G$5*10^(K14/10)</f>
        <v/>
      </c>
      <c r="CS14" s="183">
        <f>AD14/$G$5*10^(K14/10)</f>
        <v/>
      </c>
      <c r="CT14" s="183">
        <f>AG14/$G$5*10^(K14/10)</f>
        <v/>
      </c>
      <c r="CU14" s="183">
        <f>O14/$G$5*10^(AM14/10)</f>
        <v/>
      </c>
      <c r="CV14" s="183">
        <f>R14/$G$5*10^(AM14/10)</f>
        <v/>
      </c>
      <c r="CW14" s="183">
        <f>U14/$G$5*10^(AM14/10)</f>
        <v/>
      </c>
      <c r="CX14" s="183">
        <f>X14/$G$5*10^(AM14/10)</f>
        <v/>
      </c>
      <c r="CY14" s="183">
        <f>AA14/$G$5*10^(AM14/10)</f>
        <v/>
      </c>
      <c r="CZ14" s="183">
        <f>AD14/$G$5*10^(AM14/10)</f>
        <v/>
      </c>
      <c r="DA14" s="183">
        <f>AG14/$G$5*10^(AM14/10)</f>
        <v/>
      </c>
      <c r="DB14" s="388">
        <f>IF(K14&gt;80,O14,"")</f>
        <v/>
      </c>
      <c r="DC14" s="388">
        <f>IF(K14&gt;80,O14/$DB$10*10^(L14/10),"")</f>
        <v/>
      </c>
      <c r="DD14" s="388">
        <f>IF(K14&gt;80,O14/$DB$10*10^(K14/10),"")</f>
        <v/>
      </c>
      <c r="DF14" s="184" t="n"/>
    </row>
    <row r="15" ht="27" customHeight="1" s="444">
      <c r="C15" s="264">
        <f>IF(AK15="0","T",IF((K15-AK15)&lt;65,"I",IF((K15-AK15)&lt;70,"K",IF((K15-AK15)&lt;75,"J",IF((K15-AK15)&lt;80,"K","L")))))</f>
        <v/>
      </c>
      <c r="D15" s="273">
        <f>IF(J15&lt;135,"T",IF((J15-$J$69)&lt;135,"J","L"))</f>
        <v/>
      </c>
      <c r="E15" s="267" t="n">
        <v>85</v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IF(AND($O$47&gt;87,K15&gt;80),AK15,0)</f>
        <v/>
      </c>
      <c r="N15" s="262">
        <f>IF(M15=0,"",K15-M15)</f>
        <v/>
      </c>
      <c r="O15" s="25" t="n"/>
      <c r="P15" s="25" t="n"/>
      <c r="Q15" s="25" t="n"/>
      <c r="R15" s="25" t="n"/>
      <c r="S15" s="25" t="n"/>
      <c r="T15" s="25" t="n"/>
      <c r="U15" s="25" t="n">
        <v>30</v>
      </c>
      <c r="V15" s="25" t="n"/>
      <c r="W15" s="25" t="n"/>
      <c r="X15" s="25" t="n">
        <v>30</v>
      </c>
      <c r="Y15" s="25" t="n"/>
      <c r="Z15" s="25" t="n"/>
      <c r="AA15" s="25" t="n">
        <v>30</v>
      </c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89" t="n"/>
      <c r="AK15" s="151">
        <f>IF(K15&lt;80,"0",IF((L15-K15)&lt;=2,($L$66-(($K$66-$L$66)/4)*(L15-K15-2)),($L$66-(($L$66-$M$66)/8)*(L15-K15-2))))</f>
        <v/>
      </c>
      <c r="AL15" s="111">
        <f>IF(J15&lt;135,"",J15-$J$69)</f>
        <v/>
      </c>
      <c r="AM15" s="111">
        <f>K15-AK15</f>
        <v/>
      </c>
      <c r="AN15" s="151">
        <f>O15/$G$5*10^(AM15/10)</f>
        <v/>
      </c>
      <c r="AO15" s="84" t="n"/>
      <c r="AP15" s="469">
        <f>IF((AS15^2*(I15^2+$G$3^2+$G$4^2)&gt;0),(AS15^2*(I15^2+$G$3^2+$G$4^2)),0)</f>
        <v/>
      </c>
      <c r="AQ15" s="180">
        <f>IF(AP15=0,0,(AT15*AR15)^2)</f>
        <v/>
      </c>
      <c r="AR15" s="181">
        <f>0.5*((P15-Q15)/60)</f>
        <v/>
      </c>
      <c r="AS15" s="470">
        <f>O15/$G$5*10^((K15-$O$42)/10)</f>
        <v/>
      </c>
      <c r="AT15" s="397">
        <f>IF(AU15=0,0,4.34*(AS15/AU15))</f>
        <v/>
      </c>
      <c r="AU15" s="183">
        <f>O15/60</f>
        <v/>
      </c>
      <c r="AW15" s="496">
        <f>IF((AZ15^2*(I15^2+$G$3^2+$G$4^2)&gt;0),(AZ15^2*(I15^2+$G$3^2+$G$4^2)),0)</f>
        <v/>
      </c>
      <c r="AX15" s="297">
        <f>IF(AW15=0,0,(BA15*AY15)^2)</f>
        <v/>
      </c>
      <c r="AY15" s="298">
        <f>0.5*((S15-T15)/60)</f>
        <v/>
      </c>
      <c r="AZ15" s="497">
        <f>R15/$G$5*10^((K15-$R$42)/10)</f>
        <v/>
      </c>
      <c r="BA15" s="300">
        <f>IF(BB15=0,0,4.34*(AZ15/BB15))</f>
        <v/>
      </c>
      <c r="BB15" s="300">
        <f>R15/60</f>
        <v/>
      </c>
      <c r="BD15" s="496">
        <f>IF((BG15^2*(I15^2+$G$3^2+$G$4^2)&gt;0),(BG15^2*(I15^2+$G$3^2+$G$4^2)),0)</f>
        <v/>
      </c>
      <c r="BE15" s="297">
        <f>IF(BD15=0,0,(BH15*BF15)^2)</f>
        <v/>
      </c>
      <c r="BF15" s="298">
        <f>0.5*((V15-W15)/60)</f>
        <v/>
      </c>
      <c r="BG15" s="497">
        <f>U15/$G$5*10^((K15-$U$42)/10)</f>
        <v/>
      </c>
      <c r="BH15" s="300">
        <f>IF(BI15=0,0,4.34*(BG15/BI15))</f>
        <v/>
      </c>
      <c r="BI15" s="300">
        <f>U15/60</f>
        <v/>
      </c>
      <c r="BK15" s="496">
        <f>IF((BN15^2*(I15^2+$G$3^2+$G$4^2)&gt;0),(BN15^2*(I15^2+$G$3^2+$G$4^2)),0)</f>
        <v/>
      </c>
      <c r="BL15" s="297">
        <f>IF(BK15=0,0,(BO15*BM15)^2)</f>
        <v/>
      </c>
      <c r="BM15" s="298">
        <f>0.5*((Y15-Z15)/60)</f>
        <v/>
      </c>
      <c r="BN15" s="497">
        <f>(X15/$G$5)*(10^((K15-$X$42)*0.1))</f>
        <v/>
      </c>
      <c r="BO15" s="300">
        <f>IF(BP15=0,0,(4.34*(BN15/BP15)))</f>
        <v/>
      </c>
      <c r="BP15" s="300">
        <f>X15/60</f>
        <v/>
      </c>
      <c r="BR15" s="496">
        <f>IF((BU15^2*(I15^2+$G$3^2+$G$4^2)&gt;0),(BU15^2*(I15^2+$G$3^2+$G$4^2)),0)</f>
        <v/>
      </c>
      <c r="BS15" s="297">
        <f>IF(BR15=0,0,(BV15*BT15)^2)</f>
        <v/>
      </c>
      <c r="BT15" s="298">
        <f>0.5*((AB15-AC15)/60)</f>
        <v/>
      </c>
      <c r="BU15" s="497">
        <f>AA15/$G$5*10^((K15-$AA$42)/10)</f>
        <v/>
      </c>
      <c r="BV15" s="300">
        <f>IF(BW15=0,0,4.34*(BU15/BW15))</f>
        <v/>
      </c>
      <c r="BW15" s="300">
        <f>AA15/60</f>
        <v/>
      </c>
      <c r="BY15" s="496">
        <f>IF((CB15^2*(I15^2+$G$3^2+$G$4^2)&gt;0),(CB15^2*(I15^2+$G$3^2+$G$4^2)),0)</f>
        <v/>
      </c>
      <c r="BZ15" s="297">
        <f>IF(BY15=0,0,(CC15*CA15)^2)</f>
        <v/>
      </c>
      <c r="CA15" s="298">
        <f>0.5*((AE15-AF15)/60)</f>
        <v/>
      </c>
      <c r="CB15" s="497">
        <f>AD15/$G$5*10^((K15-$AD$42)/10)</f>
        <v/>
      </c>
      <c r="CC15" s="300">
        <f>IF(CD15=0,0,4.34*(CB15/CD15))</f>
        <v/>
      </c>
      <c r="CD15" s="300">
        <f>AD15/60</f>
        <v/>
      </c>
      <c r="CF15" s="496">
        <f>IF((CI15^2*(I15^2+$G$3^2+$G$4^2)&gt;0),(CI15^2*(I15^2+$G$3^2+$G$4^2)),0)</f>
        <v/>
      </c>
      <c r="CG15" s="297">
        <f>IF(CF15=0,0,(CJ15*CH15)^2)</f>
        <v/>
      </c>
      <c r="CH15" s="298">
        <f>0.5*((AH15-AI15)/60)</f>
        <v/>
      </c>
      <c r="CI15" s="497">
        <f>AG15/$G$5*10^((K15-$AG$42)/10)</f>
        <v/>
      </c>
      <c r="CJ15" s="300">
        <f>IF(CK15=0,0,4.34*(CI15/CK15))</f>
        <v/>
      </c>
      <c r="CK15" s="300">
        <f>AG15/60</f>
        <v/>
      </c>
      <c r="CN15" s="183">
        <f>O15/$G$5*10^(K15/10)</f>
        <v/>
      </c>
      <c r="CO15" s="183">
        <f>R15/$G$5*10^(K15/10)</f>
        <v/>
      </c>
      <c r="CP15" s="183">
        <f>U15/$G$5*10^(K15/10)</f>
        <v/>
      </c>
      <c r="CQ15" s="183">
        <f>X15/$G$5*10^(K15/10)</f>
        <v/>
      </c>
      <c r="CR15" s="183">
        <f>AA15/$G$5*10^(K15/10)</f>
        <v/>
      </c>
      <c r="CS15" s="183">
        <f>AD15/$G$5*10^(K15/10)</f>
        <v/>
      </c>
      <c r="CT15" s="183">
        <f>AG15/$G$5*10^(K15/10)</f>
        <v/>
      </c>
      <c r="CU15" s="183">
        <f>O15/$G$5*10^(AM15/10)</f>
        <v/>
      </c>
      <c r="CV15" s="183">
        <f>R15/$G$5*10^(AM15/10)</f>
        <v/>
      </c>
      <c r="CW15" s="183">
        <f>U15/$G$5*10^(AM15/10)</f>
        <v/>
      </c>
      <c r="CX15" s="183">
        <f>X15/$G$5*10^(AM15/10)</f>
        <v/>
      </c>
      <c r="CY15" s="183">
        <f>AA15/$G$5*10^(AM15/10)</f>
        <v/>
      </c>
      <c r="CZ15" s="183">
        <f>AD15/$G$5*10^(AM15/10)</f>
        <v/>
      </c>
      <c r="DA15" s="183">
        <f>AG15/$G$5*10^(AM15/10)</f>
        <v/>
      </c>
      <c r="DB15" s="388">
        <f>IF(K15&gt;80,O15,"")</f>
        <v/>
      </c>
      <c r="DC15" s="388">
        <f>IF(K15&gt;80,O15/$DB$10*10^(L15/10),"")</f>
        <v/>
      </c>
      <c r="DD15" s="388">
        <f>IF(K15&gt;80,O15/$DB$10*10^(K15/10),"")</f>
        <v/>
      </c>
      <c r="DF15" s="184" t="n"/>
    </row>
    <row r="16" ht="27" customHeight="1" s="444">
      <c r="C16" s="264">
        <f>IF(AK16="0","T",IF((K16-AK16)&lt;65,"I",IF((K16-AK16)&lt;70,"K",IF((K16-AK16)&lt;75,"J",IF((K16-AK16)&lt;80,"K","L")))))</f>
        <v/>
      </c>
      <c r="D16" s="273">
        <f>IF(J16&lt;135,"T",IF((J16-$J$69)&lt;135,"J","L"))</f>
        <v/>
      </c>
      <c r="E16" s="267" t="n">
        <v>86</v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IF(AND($O$47&gt;87,K16&gt;80),AK16,0)</f>
        <v/>
      </c>
      <c r="N16" s="262">
        <f>IF(M16=0,"",K16-M16)</f>
        <v/>
      </c>
      <c r="O16" s="25" t="n"/>
      <c r="P16" s="25" t="n"/>
      <c r="Q16" s="25" t="n"/>
      <c r="R16" s="25" t="n"/>
      <c r="S16" s="25" t="n"/>
      <c r="T16" s="25" t="n"/>
      <c r="U16" s="25" t="n">
        <v>150</v>
      </c>
      <c r="V16" s="25" t="n"/>
      <c r="W16" s="25" t="n"/>
      <c r="X16" s="25" t="n">
        <v>150</v>
      </c>
      <c r="Y16" s="25" t="n"/>
      <c r="Z16" s="25" t="n"/>
      <c r="AA16" s="25" t="n">
        <v>150</v>
      </c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89" t="n"/>
      <c r="AK16" s="151">
        <f>IF(K16&lt;80,"0",IF((L16-K16)&lt;=2,($L$66-(($K$66-$L$66)/4)*(L16-K16-2)),($L$66-(($L$66-$M$66)/8)*(L16-K16-2))))</f>
        <v/>
      </c>
      <c r="AL16" s="111">
        <f>IF(J16&lt;135,"",J16-$J$69)</f>
        <v/>
      </c>
      <c r="AM16" s="111">
        <f>K16-AK16</f>
        <v/>
      </c>
      <c r="AN16" s="151">
        <f>O16/$G$5*10^(AM16/10)</f>
        <v/>
      </c>
      <c r="AO16" s="84" t="n"/>
      <c r="AP16" s="469">
        <f>IF((AS16^2*(I16^2+$G$3^2+$G$4^2)&gt;0),(AS16^2*(I16^2+$G$3^2+$G$4^2)),0)</f>
        <v/>
      </c>
      <c r="AQ16" s="180">
        <f>IF(AP16=0,0,(AT16*AR16)^2)</f>
        <v/>
      </c>
      <c r="AR16" s="181">
        <f>0.5*((P16-Q16)/60)</f>
        <v/>
      </c>
      <c r="AS16" s="470">
        <f>O16/$G$5*10^((K16-$O$42)/10)</f>
        <v/>
      </c>
      <c r="AT16" s="397">
        <f>IF(AU16=0,0,4.34*(AS16/AU16))</f>
        <v/>
      </c>
      <c r="AU16" s="183">
        <f>O16/60</f>
        <v/>
      </c>
      <c r="AW16" s="496">
        <f>IF((AZ16^2*(I16^2+$G$3^2+$G$4^2)&gt;0),(AZ16^2*(I16^2+$G$3^2+$G$4^2)),0)</f>
        <v/>
      </c>
      <c r="AX16" s="297">
        <f>IF(AW16=0,0,(BA16*AY16)^2)</f>
        <v/>
      </c>
      <c r="AY16" s="298">
        <f>0.5*((S16-T16)/60)</f>
        <v/>
      </c>
      <c r="AZ16" s="497">
        <f>R16/$G$5*10^((K16-$R$42)/10)</f>
        <v/>
      </c>
      <c r="BA16" s="300">
        <f>IF(BB16=0,0,4.34*(AZ16/BB16))</f>
        <v/>
      </c>
      <c r="BB16" s="300">
        <f>R16/60</f>
        <v/>
      </c>
      <c r="BD16" s="496">
        <f>IF((BG16^2*(I16^2+$G$3^2+$G$4^2)&gt;0),(BG16^2*(I16^2+$G$3^2+$G$4^2)),0)</f>
        <v/>
      </c>
      <c r="BE16" s="297">
        <f>IF(BD16=0,0,(BH16*BF16)^2)</f>
        <v/>
      </c>
      <c r="BF16" s="298">
        <f>0.5*((V16-W16)/60)</f>
        <v/>
      </c>
      <c r="BG16" s="497">
        <f>U16/$G$5*10^((K16-$U$42)/10)</f>
        <v/>
      </c>
      <c r="BH16" s="300">
        <f>IF(BI16=0,0,4.34*(BG16/BI16))</f>
        <v/>
      </c>
      <c r="BI16" s="300">
        <f>U16/60</f>
        <v/>
      </c>
      <c r="BK16" s="496">
        <f>IF((BN16^2*(I16^2+$G$3^2+$G$4^2)&gt;0),(BN16^2*(I16^2+$G$3^2+$G$4^2)),0)</f>
        <v/>
      </c>
      <c r="BL16" s="297">
        <f>IF(BK16=0,0,(BO16*BM16)^2)</f>
        <v/>
      </c>
      <c r="BM16" s="298">
        <f>0.5*((Y16-Z16)/60)</f>
        <v/>
      </c>
      <c r="BN16" s="497">
        <f>(X16/$G$5)*(10^((K16-$X$42)*0.1))</f>
        <v/>
      </c>
      <c r="BO16" s="300">
        <f>IF(BP16=0,0,(4.34*(BN16/BP16)))</f>
        <v/>
      </c>
      <c r="BP16" s="300">
        <f>X16/60</f>
        <v/>
      </c>
      <c r="BR16" s="496">
        <f>IF((BU16^2*(I16^2+$G$3^2+$G$4^2)&gt;0),(BU16^2*(I16^2+$G$3^2+$G$4^2)),0)</f>
        <v/>
      </c>
      <c r="BS16" s="297">
        <f>IF(BR16=0,0,(BV16*BT16)^2)</f>
        <v/>
      </c>
      <c r="BT16" s="298">
        <f>0.5*((AB16-AC16)/60)</f>
        <v/>
      </c>
      <c r="BU16" s="497">
        <f>AA16/$G$5*10^((K16-$AA$42)/10)</f>
        <v/>
      </c>
      <c r="BV16" s="300">
        <f>IF(BW16=0,0,4.34*(BU16/BW16))</f>
        <v/>
      </c>
      <c r="BW16" s="300">
        <f>AA16/60</f>
        <v/>
      </c>
      <c r="BY16" s="496">
        <f>IF((CB16^2*(I16^2+$G$3^2+$G$4^2)&gt;0),(CB16^2*(I16^2+$G$3^2+$G$4^2)),0)</f>
        <v/>
      </c>
      <c r="BZ16" s="297">
        <f>IF(BY16=0,0,(CC16*CA16)^2)</f>
        <v/>
      </c>
      <c r="CA16" s="298">
        <f>0.5*((AE16-AF16)/60)</f>
        <v/>
      </c>
      <c r="CB16" s="497">
        <f>AD16/$G$5*10^((K16-$AD$42)/10)</f>
        <v/>
      </c>
      <c r="CC16" s="300">
        <f>IF(CD16=0,0,4.34*(CB16/CD16))</f>
        <v/>
      </c>
      <c r="CD16" s="300">
        <f>AD16/60</f>
        <v/>
      </c>
      <c r="CF16" s="496">
        <f>IF((CI16^2*(I16^2+$G$3^2+$G$4^2)&gt;0),(CI16^2*(I16^2+$G$3^2+$G$4^2)),0)</f>
        <v/>
      </c>
      <c r="CG16" s="297">
        <f>IF(CF16=0,0,(CJ16*CH16)^2)</f>
        <v/>
      </c>
      <c r="CH16" s="298">
        <f>0.5*((AH16-AI16)/60)</f>
        <v/>
      </c>
      <c r="CI16" s="497">
        <f>AG16/$G$5*10^((K16-$AG$42)/10)</f>
        <v/>
      </c>
      <c r="CJ16" s="300">
        <f>IF(CK16=0,0,4.34*(CI16/CK16))</f>
        <v/>
      </c>
      <c r="CK16" s="300">
        <f>AG16/60</f>
        <v/>
      </c>
      <c r="CN16" s="183">
        <f>O16/$G$5*10^(K16/10)</f>
        <v/>
      </c>
      <c r="CO16" s="183">
        <f>R16/$G$5*10^(K16/10)</f>
        <v/>
      </c>
      <c r="CP16" s="183">
        <f>U16/$G$5*10^(K16/10)</f>
        <v/>
      </c>
      <c r="CQ16" s="183">
        <f>X16/$G$5*10^(K16/10)</f>
        <v/>
      </c>
      <c r="CR16" s="183">
        <f>AA16/$G$5*10^(K16/10)</f>
        <v/>
      </c>
      <c r="CS16" s="183">
        <f>AD16/$G$5*10^(K16/10)</f>
        <v/>
      </c>
      <c r="CT16" s="183">
        <f>AG16/$G$5*10^(K16/10)</f>
        <v/>
      </c>
      <c r="CU16" s="183">
        <f>O16/$G$5*10^(AM16/10)</f>
        <v/>
      </c>
      <c r="CV16" s="183">
        <f>R16/$G$5*10^(AM16/10)</f>
        <v/>
      </c>
      <c r="CW16" s="183">
        <f>U16/$G$5*10^(AM16/10)</f>
        <v/>
      </c>
      <c r="CX16" s="183">
        <f>X16/$G$5*10^(AM16/10)</f>
        <v/>
      </c>
      <c r="CY16" s="183">
        <f>AA16/$G$5*10^(AM16/10)</f>
        <v/>
      </c>
      <c r="CZ16" s="183">
        <f>AD16/$G$5*10^(AM16/10)</f>
        <v/>
      </c>
      <c r="DA16" s="183">
        <f>AG16/$G$5*10^(AM16/10)</f>
        <v/>
      </c>
      <c r="DB16" s="388">
        <f>IF(K16&gt;80,O16,"")</f>
        <v/>
      </c>
      <c r="DC16" s="388">
        <f>IF(K16&gt;80,O16/$DB$10*10^(L16/10),"")</f>
        <v/>
      </c>
      <c r="DD16" s="388">
        <f>IF(K16&gt;80,O16/$DB$10*10^(K16/10),"")</f>
        <v/>
      </c>
      <c r="DF16" s="184" t="n"/>
    </row>
    <row r="17" hidden="1" ht="27" customHeight="1" s="444">
      <c r="C17" s="264">
        <f>IF(AK17="0","T",IF((K17-AK17)&lt;65,"I",IF((K17-AK17)&lt;70,"K",IF((K17-AK17)&lt;75,"J",IF((K17-AK17)&lt;80,"K","L")))))</f>
        <v/>
      </c>
      <c r="D17" s="273">
        <f>IF(J17&lt;135,"T",IF((J17-$J$69)&lt;135,"J","L"))</f>
        <v/>
      </c>
      <c r="E17" s="267" t="inlineStr">
        <is>
          <t>⌂</t>
        </is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IF(AND($O$47&gt;87,K17&gt;80),AK17,0)</f>
        <v/>
      </c>
      <c r="N17" s="262">
        <f>IF(M17=0,"",K17-M17)</f>
        <v/>
      </c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89" t="n"/>
      <c r="AK17" s="151">
        <f>IF(K17&lt;80,"0",IF((L17-K17)&lt;=2,($L$66-(($K$66-$L$66)/4)*(L17-K17-2)),($L$66-(($L$66-$M$66)/8)*(L17-K17-2))))</f>
        <v/>
      </c>
      <c r="AL17" s="111">
        <f>IF(J17&lt;135,"",J17-$J$69)</f>
        <v/>
      </c>
      <c r="AM17" s="111">
        <f>K17-AK17</f>
        <v/>
      </c>
      <c r="AN17" s="151">
        <f>O17/$G$5*10^(AM17/10)</f>
        <v/>
      </c>
      <c r="AO17" s="84" t="n"/>
      <c r="AP17" s="469">
        <f>IF((AS17^2*(I17^2+$G$3^2+$G$4^2)&gt;0),(AS17^2*(I17^2+$G$3^2+$G$4^2)),0)</f>
        <v/>
      </c>
      <c r="AQ17" s="180">
        <f>IF(AP17=0,0,(AT17*AR17)^2)</f>
        <v/>
      </c>
      <c r="AR17" s="181">
        <f>0.5*((P17-Q17)/60)</f>
        <v/>
      </c>
      <c r="AS17" s="470">
        <f>O17/$G$5*10^((K17-$O$42)/10)</f>
        <v/>
      </c>
      <c r="AT17" s="397">
        <f>IF(AU17=0,0,4.34*(AS17/AU17))</f>
        <v/>
      </c>
      <c r="AU17" s="183">
        <f>O17/60</f>
        <v/>
      </c>
      <c r="AW17" s="496">
        <f>IF((AZ17^2*(I17^2+$G$3^2+$G$4^2)&gt;0),(AZ17^2*(I17^2+$G$3^2+$G$4^2)),0)</f>
        <v/>
      </c>
      <c r="AX17" s="297">
        <f>IF(AW17=0,0,(BA17*AY17)^2)</f>
        <v/>
      </c>
      <c r="AY17" s="298">
        <f>0.5*((S17-T17)/60)</f>
        <v/>
      </c>
      <c r="AZ17" s="497">
        <f>R17/$G$5*10^((K17-$R$42)/10)</f>
        <v/>
      </c>
      <c r="BA17" s="300">
        <f>IF(BB17=0,0,4.34*(AZ17/BB17))</f>
        <v/>
      </c>
      <c r="BB17" s="300">
        <f>R17/60</f>
        <v/>
      </c>
      <c r="BD17" s="496">
        <f>IF((BG17^2*(I17^2+$G$3^2+$G$4^2)&gt;0),(BG17^2*(I17^2+$G$3^2+$G$4^2)),0)</f>
        <v/>
      </c>
      <c r="BE17" s="297">
        <f>IF(BD17=0,0,(BH17*BF17)^2)</f>
        <v/>
      </c>
      <c r="BF17" s="298">
        <f>0.5*((V17-W17)/60)</f>
        <v/>
      </c>
      <c r="BG17" s="497">
        <f>U17/$G$5*10^((K17-$U$42)/10)</f>
        <v/>
      </c>
      <c r="BH17" s="300">
        <f>IF(BI17=0,0,4.34*(BG17/BI17))</f>
        <v/>
      </c>
      <c r="BI17" s="300">
        <f>U17/60</f>
        <v/>
      </c>
      <c r="BK17" s="496">
        <f>IF((BN17^2*(I17^2+$G$3^2+$G$4^2)&gt;0),(BN17^2*(I17^2+$G$3^2+$G$4^2)),0)</f>
        <v/>
      </c>
      <c r="BL17" s="297">
        <f>IF(BK17=0,0,(BO17*BM17)^2)</f>
        <v/>
      </c>
      <c r="BM17" s="298">
        <f>0.5*((Y17-Z17)/60)</f>
        <v/>
      </c>
      <c r="BN17" s="497">
        <f>(X17/$G$5)*(10^((K17-$X$42)*0.1))</f>
        <v/>
      </c>
      <c r="BO17" s="300">
        <f>IF(BP17=0,0,(4.34*(BN17/BP17)))</f>
        <v/>
      </c>
      <c r="BP17" s="300">
        <f>X17/60</f>
        <v/>
      </c>
      <c r="BR17" s="496">
        <f>IF((BU17^2*(I17^2+$G$3^2+$G$4^2)&gt;0),(BU17^2*(I17^2+$G$3^2+$G$4^2)),0)</f>
        <v/>
      </c>
      <c r="BS17" s="297">
        <f>IF(BR17=0,0,(BV17*BT17)^2)</f>
        <v/>
      </c>
      <c r="BT17" s="298">
        <f>0.5*((AB17-AC17)/60)</f>
        <v/>
      </c>
      <c r="BU17" s="497">
        <f>AA17/$G$5*10^((K17-$AA$42)/10)</f>
        <v/>
      </c>
      <c r="BV17" s="300">
        <f>IF(BW17=0,0,4.34*(BU17/BW17))</f>
        <v/>
      </c>
      <c r="BW17" s="300">
        <f>AA17/60</f>
        <v/>
      </c>
      <c r="BY17" s="496">
        <f>IF((CB17^2*(I17^2+$G$3^2+$G$4^2)&gt;0),(CB17^2*(I17^2+$G$3^2+$G$4^2)),0)</f>
        <v/>
      </c>
      <c r="BZ17" s="297">
        <f>IF(BY17=0,0,(CC17*CA17)^2)</f>
        <v/>
      </c>
      <c r="CA17" s="298">
        <f>0.5*((AE17-AF17)/60)</f>
        <v/>
      </c>
      <c r="CB17" s="497">
        <f>AD17/$G$5*10^((K17-$AD$42)/10)</f>
        <v/>
      </c>
      <c r="CC17" s="300">
        <f>IF(CD17=0,0,4.34*(CB17/CD17))</f>
        <v/>
      </c>
      <c r="CD17" s="300">
        <f>AD17/60</f>
        <v/>
      </c>
      <c r="CF17" s="496">
        <f>IF((CI17^2*(I17^2+$G$3^2+$G$4^2)&gt;0),(CI17^2*(I17^2+$G$3^2+$G$4^2)),0)</f>
        <v/>
      </c>
      <c r="CG17" s="297">
        <f>IF(CF17=0,0,(CJ17*CH17)^2)</f>
        <v/>
      </c>
      <c r="CH17" s="298">
        <f>0.5*((AH17-AI17)/60)</f>
        <v/>
      </c>
      <c r="CI17" s="497">
        <f>AG17/$G$5*10^((K17-$AG$42)/10)</f>
        <v/>
      </c>
      <c r="CJ17" s="300">
        <f>IF(CK17=0,0,4.34*(CI17/CK17))</f>
        <v/>
      </c>
      <c r="CK17" s="300">
        <f>AG17/60</f>
        <v/>
      </c>
      <c r="CN17" s="183">
        <f>O17/$G$5*10^(K17/10)</f>
        <v/>
      </c>
      <c r="CO17" s="183">
        <f>R17/$G$5*10^(K17/10)</f>
        <v/>
      </c>
      <c r="CP17" s="183">
        <f>U17/$G$5*10^(K17/10)</f>
        <v/>
      </c>
      <c r="CQ17" s="183">
        <f>X17/$G$5*10^(K17/10)</f>
        <v/>
      </c>
      <c r="CR17" s="183">
        <f>AA17/$G$5*10^(K17/10)</f>
        <v/>
      </c>
      <c r="CS17" s="183">
        <f>AD17/$G$5*10^(K17/10)</f>
        <v/>
      </c>
      <c r="CT17" s="183">
        <f>AG17/$G$5*10^(K17/10)</f>
        <v/>
      </c>
      <c r="CU17" s="183">
        <f>O17/$G$5*10^(AM17/10)</f>
        <v/>
      </c>
      <c r="CV17" s="183">
        <f>R17/$G$5*10^(AM17/10)</f>
        <v/>
      </c>
      <c r="CW17" s="183">
        <f>U17/$G$5*10^(AM17/10)</f>
        <v/>
      </c>
      <c r="CX17" s="183">
        <f>X17/$G$5*10^(AM17/10)</f>
        <v/>
      </c>
      <c r="CY17" s="183">
        <f>AA17/$G$5*10^(AM17/10)</f>
        <v/>
      </c>
      <c r="CZ17" s="183">
        <f>AD17/$G$5*10^(AM17/10)</f>
        <v/>
      </c>
      <c r="DA17" s="183">
        <f>AG17/$G$5*10^(AM17/10)</f>
        <v/>
      </c>
      <c r="DB17" s="388">
        <f>IF(K17&gt;80,O17,"")</f>
        <v/>
      </c>
      <c r="DC17" s="388">
        <f>IF(K17&gt;80,O17/$DB$10*10^(L17/10),"")</f>
        <v/>
      </c>
      <c r="DD17" s="388">
        <f>IF(K17&gt;80,O17/$DB$10*10^(K17/10),"")</f>
        <v/>
      </c>
      <c r="DF17" s="184" t="n"/>
    </row>
    <row r="18" hidden="1" ht="27" customHeight="1" s="444">
      <c r="C18" s="264">
        <f>IF(AK18="0","T",IF((K18-AK18)&lt;65,"I",IF((K18-AK18)&lt;70,"K",IF((K18-AK18)&lt;75,"J",IF((K18-AK18)&lt;80,"K","L")))))</f>
        <v/>
      </c>
      <c r="D18" s="273">
        <f>IF(J18&lt;135,"T",IF((J18-$J$69)&lt;135,"J","L"))</f>
        <v/>
      </c>
      <c r="E18" s="267" t="inlineStr">
        <is>
          <t>⌂</t>
        </is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IF(AND($O$47&gt;87,K18&gt;80),AK18,0)</f>
        <v/>
      </c>
      <c r="N18" s="262">
        <f>IF(M18=0,"",K18-M18)</f>
        <v/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89" t="n"/>
      <c r="AK18" s="151">
        <f>IF(K18&lt;80,"0",IF((L18-K18)&lt;=2,($L$66-(($K$66-$L$66)/4)*(L18-K18-2)),($L$66-(($L$66-$M$66)/8)*(L18-K18-2))))</f>
        <v/>
      </c>
      <c r="AL18" s="111">
        <f>IF(J18&lt;135,"",J18-$J$69)</f>
        <v/>
      </c>
      <c r="AM18" s="111">
        <f>K18-AK18</f>
        <v/>
      </c>
      <c r="AN18" s="151">
        <f>O18/$G$5*10^(AM18/10)</f>
        <v/>
      </c>
      <c r="AO18" s="84" t="n"/>
      <c r="AP18" s="469">
        <f>IF((AS18^2*(I18^2+$G$3^2+$G$4^2)&gt;0),(AS18^2*(I18^2+$G$3^2+$G$4^2)),0)</f>
        <v/>
      </c>
      <c r="AQ18" s="180">
        <f>IF(AP18=0,0,(AT18*AR18)^2)</f>
        <v/>
      </c>
      <c r="AR18" s="181">
        <f>0.5*((P18-Q18)/60)</f>
        <v/>
      </c>
      <c r="AS18" s="470">
        <f>O18/$G$5*10^((K18-$O$42)/10)</f>
        <v/>
      </c>
      <c r="AT18" s="397">
        <f>IF(AU18=0,0,4.34*(AS18/AU18))</f>
        <v/>
      </c>
      <c r="AU18" s="183">
        <f>O18/60</f>
        <v/>
      </c>
      <c r="AW18" s="496">
        <f>IF((AZ18^2*(I18^2+$G$3^2+$G$4^2)&gt;0),(AZ18^2*(I18^2+$G$3^2+$G$4^2)),0)</f>
        <v/>
      </c>
      <c r="AX18" s="297">
        <f>IF(AW18=0,0,(BA18*AY18)^2)</f>
        <v/>
      </c>
      <c r="AY18" s="298">
        <f>0.5*((S18-T18)/60)</f>
        <v/>
      </c>
      <c r="AZ18" s="497">
        <f>R18/$G$5*10^((K18-$R$42)/10)</f>
        <v/>
      </c>
      <c r="BA18" s="300">
        <f>IF(BB18=0,0,4.34*(AZ18/BB18))</f>
        <v/>
      </c>
      <c r="BB18" s="300">
        <f>R18/60</f>
        <v/>
      </c>
      <c r="BD18" s="496">
        <f>IF((BG18^2*(I18^2+$G$3^2+$G$4^2)&gt;0),(BG18^2*(I18^2+$G$3^2+$G$4^2)),0)</f>
        <v/>
      </c>
      <c r="BE18" s="297">
        <f>IF(BD18=0,0,(BH18*BF18)^2)</f>
        <v/>
      </c>
      <c r="BF18" s="298">
        <f>0.5*((V18-W18)/60)</f>
        <v/>
      </c>
      <c r="BG18" s="497">
        <f>U18/$G$5*10^((K18-$U$42)/10)</f>
        <v/>
      </c>
      <c r="BH18" s="300">
        <f>IF(BI18=0,0,4.34*(BG18/BI18))</f>
        <v/>
      </c>
      <c r="BI18" s="300">
        <f>U18/60</f>
        <v/>
      </c>
      <c r="BK18" s="496">
        <f>IF((BN18^2*(I18^2+$G$3^2+$G$4^2)&gt;0),(BN18^2*(I18^2+$G$3^2+$G$4^2)),0)</f>
        <v/>
      </c>
      <c r="BL18" s="297">
        <f>IF(BK18=0,0,(BO18*BM18)^2)</f>
        <v/>
      </c>
      <c r="BM18" s="298">
        <f>0.5*((Y18-Z18)/60)</f>
        <v/>
      </c>
      <c r="BN18" s="497">
        <f>(X18/$G$5)*(10^((K18-$X$42)*0.1))</f>
        <v/>
      </c>
      <c r="BO18" s="300">
        <f>IF(BP18=0,0,(4.34*(BN18/BP18)))</f>
        <v/>
      </c>
      <c r="BP18" s="300">
        <f>X18/60</f>
        <v/>
      </c>
      <c r="BR18" s="496">
        <f>IF((BU18^2*(I18^2+$G$3^2+$G$4^2)&gt;0),(BU18^2*(I18^2+$G$3^2+$G$4^2)),0)</f>
        <v/>
      </c>
      <c r="BS18" s="297">
        <f>IF(BR18=0,0,(BV18*BT18)^2)</f>
        <v/>
      </c>
      <c r="BT18" s="298">
        <f>0.5*((AB18-AC18)/60)</f>
        <v/>
      </c>
      <c r="BU18" s="497">
        <f>AA18/$G$5*10^((K18-$AA$42)/10)</f>
        <v/>
      </c>
      <c r="BV18" s="300">
        <f>IF(BW18=0,0,4.34*(BU18/BW18))</f>
        <v/>
      </c>
      <c r="BW18" s="300">
        <f>AA18/60</f>
        <v/>
      </c>
      <c r="BY18" s="496">
        <f>IF((CB18^2*(I18^2+$G$3^2+$G$4^2)&gt;0),(CB18^2*(I18^2+$G$3^2+$G$4^2)),0)</f>
        <v/>
      </c>
      <c r="BZ18" s="297">
        <f>IF(BY18=0,0,(CC18*CA18)^2)</f>
        <v/>
      </c>
      <c r="CA18" s="298">
        <f>0.5*((AE18-AF18)/60)</f>
        <v/>
      </c>
      <c r="CB18" s="497">
        <f>AD18/$G$5*10^((K18-$AD$42)/10)</f>
        <v/>
      </c>
      <c r="CC18" s="300">
        <f>IF(CD18=0,0,4.34*(CB18/CD18))</f>
        <v/>
      </c>
      <c r="CD18" s="300">
        <f>AD18/60</f>
        <v/>
      </c>
      <c r="CF18" s="496">
        <f>IF((CI18^2*(I18^2+$G$3^2+$G$4^2)&gt;0),(CI18^2*(I18^2+$G$3^2+$G$4^2)),0)</f>
        <v/>
      </c>
      <c r="CG18" s="297">
        <f>IF(CF18=0,0,(CJ18*CH18)^2)</f>
        <v/>
      </c>
      <c r="CH18" s="298">
        <f>0.5*((AH18-AI18)/60)</f>
        <v/>
      </c>
      <c r="CI18" s="497">
        <f>AG18/$G$5*10^((K18-$AG$42)/10)</f>
        <v/>
      </c>
      <c r="CJ18" s="300">
        <f>IF(CK18=0,0,4.34*(CI18/CK18))</f>
        <v/>
      </c>
      <c r="CK18" s="300">
        <f>AG18/60</f>
        <v/>
      </c>
      <c r="CN18" s="183">
        <f>O18/$G$5*10^(K18/10)</f>
        <v/>
      </c>
      <c r="CO18" s="183">
        <f>R18/$G$5*10^(K18/10)</f>
        <v/>
      </c>
      <c r="CP18" s="183">
        <f>U18/$G$5*10^(K18/10)</f>
        <v/>
      </c>
      <c r="CQ18" s="183">
        <f>X18/$G$5*10^(K18/10)</f>
        <v/>
      </c>
      <c r="CR18" s="183">
        <f>AA18/$G$5*10^(K18/10)</f>
        <v/>
      </c>
      <c r="CS18" s="183">
        <f>AD18/$G$5*10^(K18/10)</f>
        <v/>
      </c>
      <c r="CT18" s="183">
        <f>AG18/$G$5*10^(K18/10)</f>
        <v/>
      </c>
      <c r="CU18" s="183">
        <f>O18/$G$5*10^(AM18/10)</f>
        <v/>
      </c>
      <c r="CV18" s="183">
        <f>R18/$G$5*10^(AM18/10)</f>
        <v/>
      </c>
      <c r="CW18" s="183">
        <f>U18/$G$5*10^(AM18/10)</f>
        <v/>
      </c>
      <c r="CX18" s="183">
        <f>X18/$G$5*10^(AM18/10)</f>
        <v/>
      </c>
      <c r="CY18" s="183">
        <f>AA18/$G$5*10^(AM18/10)</f>
        <v/>
      </c>
      <c r="CZ18" s="183">
        <f>AD18/$G$5*10^(AM18/10)</f>
        <v/>
      </c>
      <c r="DA18" s="183">
        <f>AG18/$G$5*10^(AM18/10)</f>
        <v/>
      </c>
      <c r="DB18" s="388">
        <f>IF(K18&gt;80,O18,"")</f>
        <v/>
      </c>
      <c r="DC18" s="388">
        <f>IF(K18&gt;80,O18/$DB$10*10^(L18/10),"")</f>
        <v/>
      </c>
      <c r="DD18" s="388">
        <f>IF(K18&gt;80,O18/$DB$10*10^(K18/10),"")</f>
        <v/>
      </c>
      <c r="DF18" s="184" t="n"/>
    </row>
    <row r="19" hidden="1" ht="27" customHeight="1" s="444">
      <c r="C19" s="264">
        <f>IF(AK19="0","T",IF((K19-AK19)&lt;65,"I",IF((K19-AK19)&lt;70,"K",IF((K19-AK19)&lt;75,"J",IF((K19-AK19)&lt;80,"K","L")))))</f>
        <v/>
      </c>
      <c r="D19" s="273">
        <f>IF(J19&lt;135,"T",IF((J19-$J$69)&lt;135,"J","L"))</f>
        <v/>
      </c>
      <c r="E19" s="267" t="inlineStr">
        <is>
          <t>⌂</t>
        </is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IF(AND($O$47&gt;87,K19&gt;80),AK19,0)</f>
        <v/>
      </c>
      <c r="N19" s="262">
        <f>IF(M19=0,"",K19-M19)</f>
        <v/>
      </c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89" t="n"/>
      <c r="AK19" s="151">
        <f>IF(K19&lt;80,"0",IF((L19-K19)&lt;=2,($L$66-(($K$66-$L$66)/4)*(L19-K19-2)),($L$66-(($L$66-$M$66)/8)*(L19-K19-2))))</f>
        <v/>
      </c>
      <c r="AL19" s="111">
        <f>IF(J19&lt;135,"",J19-$J$69)</f>
        <v/>
      </c>
      <c r="AM19" s="111">
        <f>K19-AK19</f>
        <v/>
      </c>
      <c r="AN19" s="151">
        <f>O19/$G$5*10^(AM19/10)</f>
        <v/>
      </c>
      <c r="AO19" s="84" t="n"/>
      <c r="AP19" s="469">
        <f>IF((AS19^2*(I19^2+$G$3^2+$G$4^2)&gt;0),(AS19^2*(I19^2+$G$3^2+$G$4^2)),0)</f>
        <v/>
      </c>
      <c r="AQ19" s="180">
        <f>IF(AP19=0,0,(AT19*AR19)^2)</f>
        <v/>
      </c>
      <c r="AR19" s="181">
        <f>0.5*((P19-Q19)/60)</f>
        <v/>
      </c>
      <c r="AS19" s="470">
        <f>O19/$G$5*10^((K19-$O$42)/10)</f>
        <v/>
      </c>
      <c r="AT19" s="397">
        <f>IF(AU19=0,0,4.34*(AS19/AU19))</f>
        <v/>
      </c>
      <c r="AU19" s="183">
        <f>O19/60</f>
        <v/>
      </c>
      <c r="AW19" s="496">
        <f>IF((AZ19^2*(I19^2+$G$3^2+$G$4^2)&gt;0),(AZ19^2*(I19^2+$G$3^2+$G$4^2)),0)</f>
        <v/>
      </c>
      <c r="AX19" s="297">
        <f>IF(AW19=0,0,(BA19*AY19)^2)</f>
        <v/>
      </c>
      <c r="AY19" s="298">
        <f>0.5*((S19-T19)/60)</f>
        <v/>
      </c>
      <c r="AZ19" s="497">
        <f>R19/$G$5*10^((K19-$R$42)/10)</f>
        <v/>
      </c>
      <c r="BA19" s="300">
        <f>IF(BB19=0,0,4.34*(AZ19/BB19))</f>
        <v/>
      </c>
      <c r="BB19" s="300">
        <f>R19/60</f>
        <v/>
      </c>
      <c r="BD19" s="496">
        <f>IF((BG19^2*(I19^2+$G$3^2+$G$4^2)&gt;0),(BG19^2*(I19^2+$G$3^2+$G$4^2)),0)</f>
        <v/>
      </c>
      <c r="BE19" s="297">
        <f>IF(BD19=0,0,(BH19*BF19)^2)</f>
        <v/>
      </c>
      <c r="BF19" s="298">
        <f>0.5*((V19-W19)/60)</f>
        <v/>
      </c>
      <c r="BG19" s="497">
        <f>U19/$G$5*10^((K19-$U$42)/10)</f>
        <v/>
      </c>
      <c r="BH19" s="300">
        <f>IF(BI19=0,0,4.34*(BG19/BI19))</f>
        <v/>
      </c>
      <c r="BI19" s="300">
        <f>U19/60</f>
        <v/>
      </c>
      <c r="BK19" s="496">
        <f>IF((BN19^2*(I19^2+$G$3^2+$G$4^2)&gt;0),(BN19^2*(I19^2+$G$3^2+$G$4^2)),0)</f>
        <v/>
      </c>
      <c r="BL19" s="297">
        <f>IF(BK19=0,0,(BO19*BM19)^2)</f>
        <v/>
      </c>
      <c r="BM19" s="298">
        <f>0.5*((Y19-Z19)/60)</f>
        <v/>
      </c>
      <c r="BN19" s="497">
        <f>(X19/$G$5)*(10^((K19-$X$42)*0.1))</f>
        <v/>
      </c>
      <c r="BO19" s="300">
        <f>IF(BP19=0,0,(4.34*(BN19/BP19)))</f>
        <v/>
      </c>
      <c r="BP19" s="300">
        <f>X19/60</f>
        <v/>
      </c>
      <c r="BR19" s="496">
        <f>IF((BU19^2*(I19^2+$G$3^2+$G$4^2)&gt;0),(BU19^2*(I19^2+$G$3^2+$G$4^2)),0)</f>
        <v/>
      </c>
      <c r="BS19" s="297">
        <f>IF(BR19=0,0,(BV19*BT19)^2)</f>
        <v/>
      </c>
      <c r="BT19" s="298">
        <f>0.5*((AB19-AC19)/60)</f>
        <v/>
      </c>
      <c r="BU19" s="497">
        <f>AA19/$G$5*10^((K19-$AA$42)/10)</f>
        <v/>
      </c>
      <c r="BV19" s="300">
        <f>IF(BW19=0,0,4.34*(BU19/BW19))</f>
        <v/>
      </c>
      <c r="BW19" s="300">
        <f>AA19/60</f>
        <v/>
      </c>
      <c r="BY19" s="496">
        <f>IF((CB19^2*(I19^2+$G$3^2+$G$4^2)&gt;0),(CB19^2*(I19^2+$G$3^2+$G$4^2)),0)</f>
        <v/>
      </c>
      <c r="BZ19" s="297">
        <f>IF(BY19=0,0,(CC19*CA19)^2)</f>
        <v/>
      </c>
      <c r="CA19" s="298">
        <f>0.5*((AE19-AF19)/60)</f>
        <v/>
      </c>
      <c r="CB19" s="497">
        <f>AD19/$G$5*10^((K19-$AD$42)/10)</f>
        <v/>
      </c>
      <c r="CC19" s="300">
        <f>IF(CD19=0,0,4.34*(CB19/CD19))</f>
        <v/>
      </c>
      <c r="CD19" s="300">
        <f>AD19/60</f>
        <v/>
      </c>
      <c r="CF19" s="496">
        <f>IF((CI19^2*(I19^2+$G$3^2+$G$4^2)&gt;0),(CI19^2*(I19^2+$G$3^2+$G$4^2)),0)</f>
        <v/>
      </c>
      <c r="CG19" s="297">
        <f>IF(CF19=0,0,(CJ19*CH19)^2)</f>
        <v/>
      </c>
      <c r="CH19" s="298">
        <f>0.5*((AH19-AI19)/60)</f>
        <v/>
      </c>
      <c r="CI19" s="497">
        <f>AG19/$G$5*10^((K19-$AG$42)/10)</f>
        <v/>
      </c>
      <c r="CJ19" s="300">
        <f>IF(CK19=0,0,4.34*(CI19/CK19))</f>
        <v/>
      </c>
      <c r="CK19" s="300">
        <f>AG19/60</f>
        <v/>
      </c>
      <c r="CN19" s="183">
        <f>O19/$G$5*10^(K19/10)</f>
        <v/>
      </c>
      <c r="CO19" s="183">
        <f>R19/$G$5*10^(K19/10)</f>
        <v/>
      </c>
      <c r="CP19" s="183">
        <f>U19/$G$5*10^(K19/10)</f>
        <v/>
      </c>
      <c r="CQ19" s="183">
        <f>X19/$G$5*10^(K19/10)</f>
        <v/>
      </c>
      <c r="CR19" s="183">
        <f>AA19/$G$5*10^(K19/10)</f>
        <v/>
      </c>
      <c r="CS19" s="183">
        <f>AD19/$G$5*10^(K19/10)</f>
        <v/>
      </c>
      <c r="CT19" s="183">
        <f>AG19/$G$5*10^(K19/10)</f>
        <v/>
      </c>
      <c r="CU19" s="183">
        <f>O19/$G$5*10^(AM19/10)</f>
        <v/>
      </c>
      <c r="CV19" s="183">
        <f>R19/$G$5*10^(AM19/10)</f>
        <v/>
      </c>
      <c r="CW19" s="183">
        <f>U19/$G$5*10^(AM19/10)</f>
        <v/>
      </c>
      <c r="CX19" s="183">
        <f>X19/$G$5*10^(AM19/10)</f>
        <v/>
      </c>
      <c r="CY19" s="183">
        <f>AA19/$G$5*10^(AM19/10)</f>
        <v/>
      </c>
      <c r="CZ19" s="183">
        <f>AD19/$G$5*10^(AM19/10)</f>
        <v/>
      </c>
      <c r="DA19" s="183">
        <f>AG19/$G$5*10^(AM19/10)</f>
        <v/>
      </c>
      <c r="DB19" s="388">
        <f>IF(K19&gt;80,O19,"")</f>
        <v/>
      </c>
      <c r="DC19" s="388">
        <f>IF(K19&gt;80,O19/$DB$10*10^(L19/10),"")</f>
        <v/>
      </c>
      <c r="DD19" s="388">
        <f>IF(K19&gt;80,O19/$DB$10*10^(K19/10),"")</f>
        <v/>
      </c>
      <c r="DF19" s="184" t="n"/>
    </row>
    <row r="20" hidden="1" ht="27" customHeight="1" s="444">
      <c r="C20" s="264">
        <f>IF(AK20="0","T",IF((K20-AK20)&lt;65,"I",IF((K20-AK20)&lt;70,"K",IF((K20-AK20)&lt;75,"J",IF((K20-AK20)&lt;80,"K","L")))))</f>
        <v/>
      </c>
      <c r="D20" s="273">
        <f>IF(J20&lt;135,"T",IF((J20-$J$69)&lt;135,"J","L"))</f>
        <v/>
      </c>
      <c r="E20" s="267" t="inlineStr">
        <is>
          <t>⌂</t>
        </is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IF(AND($O$47&gt;87,K20&gt;80),AK20,0)</f>
        <v/>
      </c>
      <c r="N20" s="262">
        <f>IF(M20=0,"",K20-M20)</f>
        <v/>
      </c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89" t="n"/>
      <c r="AK20" s="151">
        <f>IF(K20&lt;80,"0",IF((L20-K20)&lt;=2,($L$66-(($K$66-$L$66)/4)*(L20-K20-2)),($L$66-(($L$66-$M$66)/8)*(L20-K20-2))))</f>
        <v/>
      </c>
      <c r="AL20" s="111">
        <f>IF(J20&lt;135,"",J20-$J$69)</f>
        <v/>
      </c>
      <c r="AM20" s="111">
        <f>K20-AK20</f>
        <v/>
      </c>
      <c r="AN20" s="151">
        <f>O20/$G$5*10^(AM20/10)</f>
        <v/>
      </c>
      <c r="AO20" s="84" t="n"/>
      <c r="AP20" s="469">
        <f>IF((AS20^2*(I20^2+$G$3^2+$G$4^2)&gt;0),(AS20^2*(I20^2+$G$3^2+$G$4^2)),0)</f>
        <v/>
      </c>
      <c r="AQ20" s="180">
        <f>IF(AP20=0,0,(AT20*AR20)^2)</f>
        <v/>
      </c>
      <c r="AR20" s="181">
        <f>0.5*((P20-Q20)/60)</f>
        <v/>
      </c>
      <c r="AS20" s="470">
        <f>O20/$G$5*10^((K20-$O$42)/10)</f>
        <v/>
      </c>
      <c r="AT20" s="397">
        <f>IF(AU20=0,0,4.34*(AS20/AU20))</f>
        <v/>
      </c>
      <c r="AU20" s="183">
        <f>O20/60</f>
        <v/>
      </c>
      <c r="AW20" s="496">
        <f>IF((AZ20^2*(I20^2+$G$3^2+$G$4^2)&gt;0),(AZ20^2*(I20^2+$G$3^2+$G$4^2)),0)</f>
        <v/>
      </c>
      <c r="AX20" s="297">
        <f>IF(AW20=0,0,(BA20*AY20)^2)</f>
        <v/>
      </c>
      <c r="AY20" s="298">
        <f>0.5*((S20-T20)/60)</f>
        <v/>
      </c>
      <c r="AZ20" s="497">
        <f>R20/$G$5*10^((K20-$R$42)/10)</f>
        <v/>
      </c>
      <c r="BA20" s="300">
        <f>IF(BB20=0,0,4.34*(AZ20/BB20))</f>
        <v/>
      </c>
      <c r="BB20" s="300">
        <f>R20/60</f>
        <v/>
      </c>
      <c r="BD20" s="496">
        <f>IF((BG20^2*(I20^2+$G$3^2+$G$4^2)&gt;0),(BG20^2*(I20^2+$G$3^2+$G$4^2)),0)</f>
        <v/>
      </c>
      <c r="BE20" s="297">
        <f>IF(BD20=0,0,(BH20*BF20)^2)</f>
        <v/>
      </c>
      <c r="BF20" s="298">
        <f>0.5*((V20-W20)/60)</f>
        <v/>
      </c>
      <c r="BG20" s="497">
        <f>U20/$G$5*10^((K20-$U$42)/10)</f>
        <v/>
      </c>
      <c r="BH20" s="300">
        <f>IF(BI20=0,0,4.34*(BG20/BI20))</f>
        <v/>
      </c>
      <c r="BI20" s="300">
        <f>U20/60</f>
        <v/>
      </c>
      <c r="BK20" s="496">
        <f>IF((BN20^2*(I20^2+$G$3^2+$G$4^2)&gt;0),(BN20^2*(I20^2+$G$3^2+$G$4^2)),0)</f>
        <v/>
      </c>
      <c r="BL20" s="297">
        <f>IF(BK20=0,0,(BO20*BM20)^2)</f>
        <v/>
      </c>
      <c r="BM20" s="298">
        <f>0.5*((Y20-Z20)/60)</f>
        <v/>
      </c>
      <c r="BN20" s="497">
        <f>(X20/$G$5)*(10^((K20-$X$42)*0.1))</f>
        <v/>
      </c>
      <c r="BO20" s="300">
        <f>IF(BP20=0,0,(4.34*(BN20/BP20)))</f>
        <v/>
      </c>
      <c r="BP20" s="300">
        <f>X20/60</f>
        <v/>
      </c>
      <c r="BR20" s="496">
        <f>IF((BU20^2*(I20^2+$G$3^2+$G$4^2)&gt;0),(BU20^2*(I20^2+$G$3^2+$G$4^2)),0)</f>
        <v/>
      </c>
      <c r="BS20" s="297">
        <f>IF(BR20=0,0,(BV20*BT20)^2)</f>
        <v/>
      </c>
      <c r="BT20" s="298">
        <f>0.5*((AB20-AC20)/60)</f>
        <v/>
      </c>
      <c r="BU20" s="497">
        <f>AA20/$G$5*10^((K20-$AA$42)/10)</f>
        <v/>
      </c>
      <c r="BV20" s="300">
        <f>IF(BW20=0,0,4.34*(BU20/BW20))</f>
        <v/>
      </c>
      <c r="BW20" s="300">
        <f>AA20/60</f>
        <v/>
      </c>
      <c r="BY20" s="496">
        <f>IF((CB20^2*(I20^2+$G$3^2+$G$4^2)&gt;0),(CB20^2*(I20^2+$G$3^2+$G$4^2)),0)</f>
        <v/>
      </c>
      <c r="BZ20" s="297">
        <f>IF(BY20=0,0,(CC20*CA20)^2)</f>
        <v/>
      </c>
      <c r="CA20" s="298">
        <f>0.5*((AE20-AF20)/60)</f>
        <v/>
      </c>
      <c r="CB20" s="497">
        <f>AD20/$G$5*10^((K20-$AD$42)/10)</f>
        <v/>
      </c>
      <c r="CC20" s="300">
        <f>IF(CD20=0,0,4.34*(CB20/CD20))</f>
        <v/>
      </c>
      <c r="CD20" s="300">
        <f>AD20/60</f>
        <v/>
      </c>
      <c r="CF20" s="496">
        <f>IF((CI20^2*(I20^2+$G$3^2+$G$4^2)&gt;0),(CI20^2*(I20^2+$G$3^2+$G$4^2)),0)</f>
        <v/>
      </c>
      <c r="CG20" s="297">
        <f>IF(CF20=0,0,(CJ20*CH20)^2)</f>
        <v/>
      </c>
      <c r="CH20" s="298">
        <f>0.5*((AH20-AI20)/60)</f>
        <v/>
      </c>
      <c r="CI20" s="497">
        <f>AG20/$G$5*10^((K20-$AG$42)/10)</f>
        <v/>
      </c>
      <c r="CJ20" s="300">
        <f>IF(CK20=0,0,4.34*(CI20/CK20))</f>
        <v/>
      </c>
      <c r="CK20" s="300">
        <f>AG20/60</f>
        <v/>
      </c>
      <c r="CN20" s="183">
        <f>O20/$G$5*10^(K20/10)</f>
        <v/>
      </c>
      <c r="CO20" s="183">
        <f>R20/$G$5*10^(K20/10)</f>
        <v/>
      </c>
      <c r="CP20" s="183">
        <f>U20/$G$5*10^(K20/10)</f>
        <v/>
      </c>
      <c r="CQ20" s="183">
        <f>X20/$G$5*10^(K20/10)</f>
        <v/>
      </c>
      <c r="CR20" s="183">
        <f>AA20/$G$5*10^(K20/10)</f>
        <v/>
      </c>
      <c r="CS20" s="183">
        <f>AD20/$G$5*10^(K20/10)</f>
        <v/>
      </c>
      <c r="CT20" s="183">
        <f>AG20/$G$5*10^(K20/10)</f>
        <v/>
      </c>
      <c r="CU20" s="183">
        <f>O20/$G$5*10^(AM20/10)</f>
        <v/>
      </c>
      <c r="CV20" s="183">
        <f>R20/$G$5*10^(AM20/10)</f>
        <v/>
      </c>
      <c r="CW20" s="183">
        <f>U20/$G$5*10^(AM20/10)</f>
        <v/>
      </c>
      <c r="CX20" s="183">
        <f>X20/$G$5*10^(AM20/10)</f>
        <v/>
      </c>
      <c r="CY20" s="183">
        <f>AA20/$G$5*10^(AM20/10)</f>
        <v/>
      </c>
      <c r="CZ20" s="183">
        <f>AD20/$G$5*10^(AM20/10)</f>
        <v/>
      </c>
      <c r="DA20" s="183">
        <f>AG20/$G$5*10^(AM20/10)</f>
        <v/>
      </c>
      <c r="DB20" s="388">
        <f>IF(K20&gt;80,O20,"")</f>
        <v/>
      </c>
      <c r="DC20" s="388">
        <f>IF(K20&gt;80,O20/$DB$10*10^(L20/10),"")</f>
        <v/>
      </c>
      <c r="DD20" s="388">
        <f>IF(K20&gt;80,O20/$DB$10*10^(K20/10),"")</f>
        <v/>
      </c>
      <c r="DF20" s="184" t="n"/>
    </row>
    <row r="21" hidden="1" ht="27" customHeight="1" s="444">
      <c r="C21" s="264">
        <f>IF(AK21="0","T",IF((K21-AK21)&lt;65,"I",IF((K21-AK21)&lt;70,"K",IF((K21-AK21)&lt;75,"J",IF((K21-AK21)&lt;80,"K","L")))))</f>
        <v/>
      </c>
      <c r="D21" s="273">
        <f>IF(J21&lt;135,"T",IF((J21-$J$69)&lt;135,"J","L"))</f>
        <v/>
      </c>
      <c r="E21" s="267" t="inlineStr">
        <is>
          <t>⌂</t>
        </is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IF(AND($O$47&gt;87,K21&gt;80),AK21,0)</f>
        <v/>
      </c>
      <c r="N21" s="262">
        <f>IF(M21=0,"",K21-M21)</f>
        <v/>
      </c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89" t="n"/>
      <c r="AK21" s="151">
        <f>IF(K21&lt;80,"0",IF((L21-K21)&lt;=2,($L$66-(($K$66-$L$66)/4)*(L21-K21-2)),($L$66-(($L$66-$M$66)/8)*(L21-K21-2))))</f>
        <v/>
      </c>
      <c r="AL21" s="111">
        <f>IF(J21&lt;135,"",J21-$J$69)</f>
        <v/>
      </c>
      <c r="AM21" s="111">
        <f>K21-AK21</f>
        <v/>
      </c>
      <c r="AN21" s="151">
        <f>O21/$G$5*10^(AM21/10)</f>
        <v/>
      </c>
      <c r="AO21" s="84" t="n"/>
      <c r="AP21" s="469">
        <f>IF((AS21^2*(I21^2+$G$3^2+$G$4^2)&gt;0),(AS21^2*(I21^2+$G$3^2+$G$4^2)),0)</f>
        <v/>
      </c>
      <c r="AQ21" s="180">
        <f>IF(AP21=0,0,(AT21*AR21)^2)</f>
        <v/>
      </c>
      <c r="AR21" s="181">
        <f>0.5*((P21-Q21)/60)</f>
        <v/>
      </c>
      <c r="AS21" s="470">
        <f>O21/$G$5*10^((K21-$O$42)/10)</f>
        <v/>
      </c>
      <c r="AT21" s="397">
        <f>IF(AU21=0,0,4.34*(AS21/AU21))</f>
        <v/>
      </c>
      <c r="AU21" s="183">
        <f>O21/60</f>
        <v/>
      </c>
      <c r="AW21" s="496">
        <f>IF((AZ21^2*(I21^2+$G$3^2+$G$4^2)&gt;0),(AZ21^2*(I21^2+$G$3^2+$G$4^2)),0)</f>
        <v/>
      </c>
      <c r="AX21" s="297">
        <f>IF(AW21=0,0,(BA21*AY21)^2)</f>
        <v/>
      </c>
      <c r="AY21" s="298">
        <f>0.5*((S21-T21)/60)</f>
        <v/>
      </c>
      <c r="AZ21" s="497">
        <f>R21/$G$5*10^((K21-$R$42)/10)</f>
        <v/>
      </c>
      <c r="BA21" s="300">
        <f>IF(BB21=0,0,4.34*(AZ21/BB21))</f>
        <v/>
      </c>
      <c r="BB21" s="300">
        <f>R21/60</f>
        <v/>
      </c>
      <c r="BD21" s="496">
        <f>IF((BG21^2*(I21^2+$G$3^2+$G$4^2)&gt;0),(BG21^2*(I21^2+$G$3^2+$G$4^2)),0)</f>
        <v/>
      </c>
      <c r="BE21" s="297">
        <f>IF(BD21=0,0,(BH21*BF21)^2)</f>
        <v/>
      </c>
      <c r="BF21" s="298">
        <f>0.5*((V21-W21)/60)</f>
        <v/>
      </c>
      <c r="BG21" s="497">
        <f>U21/$G$5*10^((K21-$U$42)/10)</f>
        <v/>
      </c>
      <c r="BH21" s="300">
        <f>IF(BI21=0,0,4.34*(BG21/BI21))</f>
        <v/>
      </c>
      <c r="BI21" s="300">
        <f>U21/60</f>
        <v/>
      </c>
      <c r="BK21" s="496">
        <f>IF((BN21^2*(I21^2+$G$3^2+$G$4^2)&gt;0),(BN21^2*(I21^2+$G$3^2+$G$4^2)),0)</f>
        <v/>
      </c>
      <c r="BL21" s="297">
        <f>IF(BK21=0,0,(BO21*BM21)^2)</f>
        <v/>
      </c>
      <c r="BM21" s="298">
        <f>0.5*((Y21-Z21)/60)</f>
        <v/>
      </c>
      <c r="BN21" s="497">
        <f>(X21/$G$5)*(10^((K21-$X$42)*0.1))</f>
        <v/>
      </c>
      <c r="BO21" s="300">
        <f>IF(BP21=0,0,(4.34*(BN21/BP21)))</f>
        <v/>
      </c>
      <c r="BP21" s="300">
        <f>X21/60</f>
        <v/>
      </c>
      <c r="BR21" s="496">
        <f>IF((BU21^2*(I21^2+$G$3^2+$G$4^2)&gt;0),(BU21^2*(I21^2+$G$3^2+$G$4^2)),0)</f>
        <v/>
      </c>
      <c r="BS21" s="297">
        <f>IF(BR21=0,0,(BV21*BT21)^2)</f>
        <v/>
      </c>
      <c r="BT21" s="298">
        <f>0.5*((AB21-AC21)/60)</f>
        <v/>
      </c>
      <c r="BU21" s="497">
        <f>AA21/$G$5*10^((K21-$AA$42)/10)</f>
        <v/>
      </c>
      <c r="BV21" s="300">
        <f>IF(BW21=0,0,4.34*(BU21/BW21))</f>
        <v/>
      </c>
      <c r="BW21" s="300">
        <f>AA21/60</f>
        <v/>
      </c>
      <c r="BY21" s="496">
        <f>IF((CB21^2*(I21^2+$G$3^2+$G$4^2)&gt;0),(CB21^2*(I21^2+$G$3^2+$G$4^2)),0)</f>
        <v/>
      </c>
      <c r="BZ21" s="297">
        <f>IF(BY21=0,0,(CC21*CA21)^2)</f>
        <v/>
      </c>
      <c r="CA21" s="298">
        <f>0.5*((AE21-AF21)/60)</f>
        <v/>
      </c>
      <c r="CB21" s="497">
        <f>AD21/$G$5*10^((K21-$AD$42)/10)</f>
        <v/>
      </c>
      <c r="CC21" s="300">
        <f>IF(CD21=0,0,4.34*(CB21/CD21))</f>
        <v/>
      </c>
      <c r="CD21" s="300">
        <f>AD21/60</f>
        <v/>
      </c>
      <c r="CF21" s="496">
        <f>IF((CI21^2*(I21^2+$G$3^2+$G$4^2)&gt;0),(CI21^2*(I21^2+$G$3^2+$G$4^2)),0)</f>
        <v/>
      </c>
      <c r="CG21" s="297">
        <f>IF(CF21=0,0,(CJ21*CH21)^2)</f>
        <v/>
      </c>
      <c r="CH21" s="298">
        <f>0.5*((AH21-AI21)/60)</f>
        <v/>
      </c>
      <c r="CI21" s="497">
        <f>AG21/$G$5*10^((K21-$AG$42)/10)</f>
        <v/>
      </c>
      <c r="CJ21" s="300">
        <f>IF(CK21=0,0,4.34*(CI21/CK21))</f>
        <v/>
      </c>
      <c r="CK21" s="300">
        <f>AG21/60</f>
        <v/>
      </c>
      <c r="CN21" s="183">
        <f>O21/$G$5*10^(K21/10)</f>
        <v/>
      </c>
      <c r="CO21" s="183">
        <f>R21/$G$5*10^(K21/10)</f>
        <v/>
      </c>
      <c r="CP21" s="183">
        <f>U21/$G$5*10^(K21/10)</f>
        <v/>
      </c>
      <c r="CQ21" s="183">
        <f>X21/$G$5*10^(K21/10)</f>
        <v/>
      </c>
      <c r="CR21" s="183">
        <f>AA21/$G$5*10^(K21/10)</f>
        <v/>
      </c>
      <c r="CS21" s="183">
        <f>AD21/$G$5*10^(K21/10)</f>
        <v/>
      </c>
      <c r="CT21" s="183">
        <f>AG21/$G$5*10^(K21/10)</f>
        <v/>
      </c>
      <c r="CU21" s="183">
        <f>O21/$G$5*10^(AM21/10)</f>
        <v/>
      </c>
      <c r="CV21" s="183">
        <f>R21/$G$5*10^(AM21/10)</f>
        <v/>
      </c>
      <c r="CW21" s="183">
        <f>U21/$G$5*10^(AM21/10)</f>
        <v/>
      </c>
      <c r="CX21" s="183">
        <f>X21/$G$5*10^(AM21/10)</f>
        <v/>
      </c>
      <c r="CY21" s="183">
        <f>AA21/$G$5*10^(AM21/10)</f>
        <v/>
      </c>
      <c r="CZ21" s="183">
        <f>AD21/$G$5*10^(AM21/10)</f>
        <v/>
      </c>
      <c r="DA21" s="183">
        <f>AG21/$G$5*10^(AM21/10)</f>
        <v/>
      </c>
      <c r="DB21" s="388">
        <f>IF(K21&gt;80,O21,"")</f>
        <v/>
      </c>
      <c r="DC21" s="388">
        <f>IF(K21&gt;80,O21/$DB$10*10^(L21/10),"")</f>
        <v/>
      </c>
      <c r="DD21" s="388">
        <f>IF(K21&gt;80,O21/$DB$10*10^(K21/10),"")</f>
        <v/>
      </c>
      <c r="DF21" s="184" t="n"/>
    </row>
    <row r="22" hidden="1" ht="27" customHeight="1" s="444">
      <c r="C22" s="264">
        <f>IF(AK22="0","T",IF((K22-AK22)&lt;65,"I",IF((K22-AK22)&lt;70,"K",IF((K22-AK22)&lt;75,"J",IF((K22-AK22)&lt;80,"K","L")))))</f>
        <v/>
      </c>
      <c r="D22" s="273">
        <f>IF(J22&lt;135,"T",IF((J22-$J$69)&lt;135,"J","L"))</f>
        <v/>
      </c>
      <c r="E22" s="267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IF(AND($O$47&gt;87,K22&gt;80),AK22,0)</f>
        <v/>
      </c>
      <c r="N22" s="262">
        <f>IF(M22=0,"",K22-M22)</f>
        <v/>
      </c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89" t="n"/>
      <c r="AK22" s="151">
        <f>IF(K22&lt;80,"0",IF((L22-K22)&lt;=2,($L$66-(($K$66-$L$66)/4)*(L22-K22-2)),($L$66-(($L$66-$M$66)/8)*(L22-K22-2))))</f>
        <v/>
      </c>
      <c r="AL22" s="111">
        <f>IF(J22&lt;135,"",J22-$J$69)</f>
        <v/>
      </c>
      <c r="AM22" s="111">
        <f>K22-AK22</f>
        <v/>
      </c>
      <c r="AN22" s="151">
        <f>O22/$G$5*10^(AM22/10)</f>
        <v/>
      </c>
      <c r="AO22" s="84" t="n"/>
      <c r="AP22" s="469">
        <f>IF((AS22^2*(I22^2+$G$3^2+$G$4^2)&gt;0),(AS22^2*(I22^2+$G$3^2+$G$4^2)),0)</f>
        <v/>
      </c>
      <c r="AQ22" s="180">
        <f>IF(AP22=0,0,(AT22*AR22)^2)</f>
        <v/>
      </c>
      <c r="AR22" s="181">
        <f>0.5*((P22-Q22)/60)</f>
        <v/>
      </c>
      <c r="AS22" s="470">
        <f>O22/$G$5*10^((K22-$O$42)/10)</f>
        <v/>
      </c>
      <c r="AT22" s="397">
        <f>IF(AU22=0,0,4.34*(AS22/AU22))</f>
        <v/>
      </c>
      <c r="AU22" s="183">
        <f>O22/60</f>
        <v/>
      </c>
      <c r="AW22" s="496">
        <f>IF((AZ22^2*(I22^2+$G$3^2+$G$4^2)&gt;0),(AZ22^2*(I22^2+$G$3^2+$G$4^2)),0)</f>
        <v/>
      </c>
      <c r="AX22" s="297">
        <f>IF(AW22=0,0,(BA22*AY22)^2)</f>
        <v/>
      </c>
      <c r="AY22" s="298">
        <f>0.5*((S22-T22)/60)</f>
        <v/>
      </c>
      <c r="AZ22" s="497">
        <f>R22/$G$5*10^((K22-$R$42)/10)</f>
        <v/>
      </c>
      <c r="BA22" s="300">
        <f>IF(BB22=0,0,4.34*(AZ22/BB22))</f>
        <v/>
      </c>
      <c r="BB22" s="300">
        <f>R22/60</f>
        <v/>
      </c>
      <c r="BD22" s="496">
        <f>IF((BG22^2*(I22^2+$G$3^2+$G$4^2)&gt;0),(BG22^2*(I22^2+$G$3^2+$G$4^2)),0)</f>
        <v/>
      </c>
      <c r="BE22" s="297">
        <f>IF(BD22=0,0,(BH22*BF22)^2)</f>
        <v/>
      </c>
      <c r="BF22" s="298">
        <f>0.5*((V22-W22)/60)</f>
        <v/>
      </c>
      <c r="BG22" s="497">
        <f>U22/$G$5*10^((K22-$U$42)/10)</f>
        <v/>
      </c>
      <c r="BH22" s="300">
        <f>IF(BI22=0,0,4.34*(BG22/BI22))</f>
        <v/>
      </c>
      <c r="BI22" s="300">
        <f>U22/60</f>
        <v/>
      </c>
      <c r="BK22" s="496">
        <f>IF((BN22^2*(I22^2+$G$3^2+$G$4^2)&gt;0),(BN22^2*(I22^2+$G$3^2+$G$4^2)),0)</f>
        <v/>
      </c>
      <c r="BL22" s="297">
        <f>IF(BK22=0,0,(BO22*BM22)^2)</f>
        <v/>
      </c>
      <c r="BM22" s="298">
        <f>0.5*((Y22-Z22)/60)</f>
        <v/>
      </c>
      <c r="BN22" s="497">
        <f>(X22/$G$5)*(10^((K22-$X$42)*0.1))</f>
        <v/>
      </c>
      <c r="BO22" s="300">
        <f>IF(BP22=0,0,(4.34*(BN22/BP22)))</f>
        <v/>
      </c>
      <c r="BP22" s="300">
        <f>X22/60</f>
        <v/>
      </c>
      <c r="BR22" s="496">
        <f>IF((BU22^2*(I22^2+$G$3^2+$G$4^2)&gt;0),(BU22^2*(I22^2+$G$3^2+$G$4^2)),0)</f>
        <v/>
      </c>
      <c r="BS22" s="297">
        <f>IF(BR22=0,0,(BV22*BT22)^2)</f>
        <v/>
      </c>
      <c r="BT22" s="298">
        <f>0.5*((AB22-AC22)/60)</f>
        <v/>
      </c>
      <c r="BU22" s="497">
        <f>AA22/$G$5*10^((K22-$AA$42)/10)</f>
        <v/>
      </c>
      <c r="BV22" s="300">
        <f>IF(BW22=0,0,4.34*(BU22/BW22))</f>
        <v/>
      </c>
      <c r="BW22" s="300">
        <f>AA22/60</f>
        <v/>
      </c>
      <c r="BY22" s="496">
        <f>IF((CB22^2*(I22^2+$G$3^2+$G$4^2)&gt;0),(CB22^2*(I22^2+$G$3^2+$G$4^2)),0)</f>
        <v/>
      </c>
      <c r="BZ22" s="297">
        <f>IF(BY22=0,0,(CC22*CA22)^2)</f>
        <v/>
      </c>
      <c r="CA22" s="298">
        <f>0.5*((AE22-AF22)/60)</f>
        <v/>
      </c>
      <c r="CB22" s="497">
        <f>AD22/$G$5*10^((K22-$AD$42)/10)</f>
        <v/>
      </c>
      <c r="CC22" s="300">
        <f>IF(CD22=0,0,4.34*(CB22/CD22))</f>
        <v/>
      </c>
      <c r="CD22" s="300">
        <f>AD22/60</f>
        <v/>
      </c>
      <c r="CF22" s="496">
        <f>IF((CI22^2*(I22^2+$G$3^2+$G$4^2)&gt;0),(CI22^2*(I22^2+$G$3^2+$G$4^2)),0)</f>
        <v/>
      </c>
      <c r="CG22" s="297">
        <f>IF(CF22=0,0,(CJ22*CH22)^2)</f>
        <v/>
      </c>
      <c r="CH22" s="298">
        <f>0.5*((AH22-AI22)/60)</f>
        <v/>
      </c>
      <c r="CI22" s="497">
        <f>AG22/$G$5*10^((K22-$AG$42)/10)</f>
        <v/>
      </c>
      <c r="CJ22" s="300">
        <f>IF(CK22=0,0,4.34*(CI22/CK22))</f>
        <v/>
      </c>
      <c r="CK22" s="300">
        <f>AG22/60</f>
        <v/>
      </c>
      <c r="CN22" s="183">
        <f>O22/$G$5*10^(K22/10)</f>
        <v/>
      </c>
      <c r="CO22" s="183">
        <f>R22/$G$5*10^(K22/10)</f>
        <v/>
      </c>
      <c r="CP22" s="183">
        <f>U22/$G$5*10^(K22/10)</f>
        <v/>
      </c>
      <c r="CQ22" s="183">
        <f>X22/$G$5*10^(K22/10)</f>
        <v/>
      </c>
      <c r="CR22" s="183">
        <f>AA22/$G$5*10^(K22/10)</f>
        <v/>
      </c>
      <c r="CS22" s="183">
        <f>AD22/$G$5*10^(K22/10)</f>
        <v/>
      </c>
      <c r="CT22" s="183">
        <f>AG22/$G$5*10^(K22/10)</f>
        <v/>
      </c>
      <c r="CU22" s="183">
        <f>O22/$G$5*10^(AM22/10)</f>
        <v/>
      </c>
      <c r="CV22" s="183">
        <f>R22/$G$5*10^(AM22/10)</f>
        <v/>
      </c>
      <c r="CW22" s="183">
        <f>U22/$G$5*10^(AM22/10)</f>
        <v/>
      </c>
      <c r="CX22" s="183">
        <f>X22/$G$5*10^(AM22/10)</f>
        <v/>
      </c>
      <c r="CY22" s="183">
        <f>AA22/$G$5*10^(AM22/10)</f>
        <v/>
      </c>
      <c r="CZ22" s="183">
        <f>AD22/$G$5*10^(AM22/10)</f>
        <v/>
      </c>
      <c r="DA22" s="183">
        <f>AG22/$G$5*10^(AM22/10)</f>
        <v/>
      </c>
      <c r="DB22" s="388">
        <f>IF(K22&gt;80,O22,"")</f>
        <v/>
      </c>
      <c r="DC22" s="388">
        <f>IF(K22&gt;80,O22/$DB$10*10^(L22/10),"")</f>
        <v/>
      </c>
      <c r="DD22" s="388">
        <f>IF(K22&gt;80,O22/$DB$10*10^(K22/10),"")</f>
        <v/>
      </c>
      <c r="DF22" s="184" t="n"/>
    </row>
    <row r="23" hidden="1" ht="27" customHeight="1" s="444">
      <c r="C23" s="264">
        <f>IF(AK23="0","T",IF((K23-AK23)&lt;65,"I",IF((K23-AK23)&lt;70,"K",IF((K23-AK23)&lt;75,"J",IF((K23-AK23)&lt;80,"K","L")))))</f>
        <v/>
      </c>
      <c r="D23" s="273">
        <f>IF(J23&lt;135,"T",IF((J23-$J$69)&lt;135,"J","L"))</f>
        <v/>
      </c>
      <c r="E23" s="267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IF(AND($O$47&gt;87,K23&gt;80),AK23,0)</f>
        <v/>
      </c>
      <c r="N23" s="262">
        <f>IF(M23=0,"",K23-M23)</f>
        <v/>
      </c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89" t="n"/>
      <c r="AK23" s="151">
        <f>IF(K23&lt;80,"0",IF((L23-K23)&lt;=2,($L$66-(($K$66-$L$66)/4)*(L23-K23-2)),($L$66-(($L$66-$M$66)/8)*(L23-K23-2))))</f>
        <v/>
      </c>
      <c r="AL23" s="111">
        <f>IF(J23&lt;135,"",J23-$J$69)</f>
        <v/>
      </c>
      <c r="AM23" s="111">
        <f>K23-AK23</f>
        <v/>
      </c>
      <c r="AN23" s="151">
        <f>O23/$G$5*10^(AM23/10)</f>
        <v/>
      </c>
      <c r="AO23" s="84" t="n"/>
      <c r="AP23" s="469">
        <f>IF((AS23^2*(I23^2+$G$3^2+$G$4^2)&gt;0),(AS23^2*(I23^2+$G$3^2+$G$4^2)),0)</f>
        <v/>
      </c>
      <c r="AQ23" s="180">
        <f>IF(AP23=0,0,(AT23*AR23)^2)</f>
        <v/>
      </c>
      <c r="AR23" s="181">
        <f>0.5*((P23-Q23)/60)</f>
        <v/>
      </c>
      <c r="AS23" s="470">
        <f>O23/$G$5*10^((K23-$O$42)/10)</f>
        <v/>
      </c>
      <c r="AT23" s="397">
        <f>IF(AU23=0,0,4.34*(AS23/AU23))</f>
        <v/>
      </c>
      <c r="AU23" s="183">
        <f>O23/60</f>
        <v/>
      </c>
      <c r="AW23" s="496">
        <f>IF((AZ23^2*(I23^2+$G$3^2+$G$4^2)&gt;0),(AZ23^2*(I23^2+$G$3^2+$G$4^2)),0)</f>
        <v/>
      </c>
      <c r="AX23" s="297">
        <f>IF(AW23=0,0,(BA23*AY23)^2)</f>
        <v/>
      </c>
      <c r="AY23" s="298">
        <f>0.5*((S23-T23)/60)</f>
        <v/>
      </c>
      <c r="AZ23" s="497">
        <f>R23/$G$5*10^((K23-$R$42)/10)</f>
        <v/>
      </c>
      <c r="BA23" s="300">
        <f>IF(BB23=0,0,4.34*(AZ23/BB23))</f>
        <v/>
      </c>
      <c r="BB23" s="300">
        <f>R23/60</f>
        <v/>
      </c>
      <c r="BD23" s="496">
        <f>IF((BG23^2*(I23^2+$G$3^2+$G$4^2)&gt;0),(BG23^2*(I23^2+$G$3^2+$G$4^2)),0)</f>
        <v/>
      </c>
      <c r="BE23" s="297">
        <f>IF(BD23=0,0,(BH23*BF23)^2)</f>
        <v/>
      </c>
      <c r="BF23" s="298">
        <f>0.5*((V23-W23)/60)</f>
        <v/>
      </c>
      <c r="BG23" s="497">
        <f>U23/$G$5*10^((K23-$U$42)/10)</f>
        <v/>
      </c>
      <c r="BH23" s="300">
        <f>IF(BI23=0,0,4.34*(BG23/BI23))</f>
        <v/>
      </c>
      <c r="BI23" s="300">
        <f>U23/60</f>
        <v/>
      </c>
      <c r="BK23" s="496">
        <f>IF((BN23^2*(I23^2+$G$3^2+$G$4^2)&gt;0),(BN23^2*(I23^2+$G$3^2+$G$4^2)),0)</f>
        <v/>
      </c>
      <c r="BL23" s="297">
        <f>IF(BK23=0,0,(BO23*BM23)^2)</f>
        <v/>
      </c>
      <c r="BM23" s="298">
        <f>0.5*((Y23-Z23)/60)</f>
        <v/>
      </c>
      <c r="BN23" s="497">
        <f>(X23/$G$5)*(10^((K23-$X$42)*0.1))</f>
        <v/>
      </c>
      <c r="BO23" s="300">
        <f>IF(BP23=0,0,(4.34*(BN23/BP23)))</f>
        <v/>
      </c>
      <c r="BP23" s="300">
        <f>X23/60</f>
        <v/>
      </c>
      <c r="BR23" s="496">
        <f>IF((BU23^2*(I23^2+$G$3^2+$G$4^2)&gt;0),(BU23^2*(I23^2+$G$3^2+$G$4^2)),0)</f>
        <v/>
      </c>
      <c r="BS23" s="297">
        <f>IF(BR23=0,0,(BV23*BT23)^2)</f>
        <v/>
      </c>
      <c r="BT23" s="298">
        <f>0.5*((AB23-AC23)/60)</f>
        <v/>
      </c>
      <c r="BU23" s="497">
        <f>AA23/$G$5*10^((K23-$AA$42)/10)</f>
        <v/>
      </c>
      <c r="BV23" s="300">
        <f>IF(BW23=0,0,4.34*(BU23/BW23))</f>
        <v/>
      </c>
      <c r="BW23" s="300">
        <f>AA23/60</f>
        <v/>
      </c>
      <c r="BY23" s="496">
        <f>IF((CB23^2*(I23^2+$G$3^2+$G$4^2)&gt;0),(CB23^2*(I23^2+$G$3^2+$G$4^2)),0)</f>
        <v/>
      </c>
      <c r="BZ23" s="297">
        <f>IF(BY23=0,0,(CC23*CA23)^2)</f>
        <v/>
      </c>
      <c r="CA23" s="298">
        <f>0.5*((AE23-AF23)/60)</f>
        <v/>
      </c>
      <c r="CB23" s="497">
        <f>AD23/$G$5*10^((K23-$AD$42)/10)</f>
        <v/>
      </c>
      <c r="CC23" s="300">
        <f>IF(CD23=0,0,4.34*(CB23/CD23))</f>
        <v/>
      </c>
      <c r="CD23" s="300">
        <f>AD23/60</f>
        <v/>
      </c>
      <c r="CF23" s="496">
        <f>IF((CI23^2*(I23^2+$G$3^2+$G$4^2)&gt;0),(CI23^2*(I23^2+$G$3^2+$G$4^2)),0)</f>
        <v/>
      </c>
      <c r="CG23" s="297">
        <f>IF(CF23=0,0,(CJ23*CH23)^2)</f>
        <v/>
      </c>
      <c r="CH23" s="298">
        <f>0.5*((AH23-AI23)/60)</f>
        <v/>
      </c>
      <c r="CI23" s="497">
        <f>AG23/$G$5*10^((K23-$AG$42)/10)</f>
        <v/>
      </c>
      <c r="CJ23" s="300">
        <f>IF(CK23=0,0,4.34*(CI23/CK23))</f>
        <v/>
      </c>
      <c r="CK23" s="300">
        <f>AG23/60</f>
        <v/>
      </c>
      <c r="CN23" s="183">
        <f>O23/$G$5*10^(K23/10)</f>
        <v/>
      </c>
      <c r="CO23" s="183">
        <f>R23/$G$5*10^(K23/10)</f>
        <v/>
      </c>
      <c r="CP23" s="183">
        <f>U23/$G$5*10^(K23/10)</f>
        <v/>
      </c>
      <c r="CQ23" s="183">
        <f>X23/$G$5*10^(K23/10)</f>
        <v/>
      </c>
      <c r="CR23" s="183">
        <f>AA23/$G$5*10^(K23/10)</f>
        <v/>
      </c>
      <c r="CS23" s="183">
        <f>AD23/$G$5*10^(K23/10)</f>
        <v/>
      </c>
      <c r="CT23" s="183">
        <f>AG23/$G$5*10^(K23/10)</f>
        <v/>
      </c>
      <c r="CU23" s="183">
        <f>O23/$G$5*10^(AM23/10)</f>
        <v/>
      </c>
      <c r="CV23" s="183">
        <f>R23/$G$5*10^(AM23/10)</f>
        <v/>
      </c>
      <c r="CW23" s="183">
        <f>U23/$G$5*10^(AM23/10)</f>
        <v/>
      </c>
      <c r="CX23" s="183">
        <f>X23/$G$5*10^(AM23/10)</f>
        <v/>
      </c>
      <c r="CY23" s="183">
        <f>AA23/$G$5*10^(AM23/10)</f>
        <v/>
      </c>
      <c r="CZ23" s="183">
        <f>AD23/$G$5*10^(AM23/10)</f>
        <v/>
      </c>
      <c r="DA23" s="183">
        <f>AG23/$G$5*10^(AM23/10)</f>
        <v/>
      </c>
      <c r="DB23" s="388">
        <f>IF(K23&gt;80,O23,"")</f>
        <v/>
      </c>
      <c r="DC23" s="388">
        <f>IF(K23&gt;80,O23/$DB$10*10^(L23/10),"")</f>
        <v/>
      </c>
      <c r="DD23" s="388">
        <f>IF(K23&gt;80,O23/$DB$10*10^(K23/10),"")</f>
        <v/>
      </c>
      <c r="DF23" s="184" t="n"/>
    </row>
    <row r="24" hidden="1" ht="27" customHeight="1" s="444">
      <c r="C24" s="264">
        <f>IF(AK24="0","T",IF((K24-AK24)&lt;65,"I",IF((K24-AK24)&lt;70,"K",IF((K24-AK24)&lt;75,"J",IF((K24-AK24)&lt;80,"K","L")))))</f>
        <v/>
      </c>
      <c r="D24" s="273">
        <f>IF(J24&lt;135,"T",IF((J24-$J$69)&lt;135,"J","L"))</f>
        <v/>
      </c>
      <c r="E24" s="267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IF(AND($O$47&gt;87,K24&gt;80),AK24,0)</f>
        <v/>
      </c>
      <c r="N24" s="262">
        <f>IF(M24=0,"",K24-M24)</f>
        <v/>
      </c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89" t="n"/>
      <c r="AK24" s="151">
        <f>IF(K24&lt;80,"0",IF((L24-K24)&lt;=2,($L$66-(($K$66-$L$66)/4)*(L24-K24-2)),($L$66-(($L$66-$M$66)/8)*(L24-K24-2))))</f>
        <v/>
      </c>
      <c r="AL24" s="111">
        <f>IF(J24&lt;135,"",J24-$J$69)</f>
        <v/>
      </c>
      <c r="AM24" s="111">
        <f>K24-AK24</f>
        <v/>
      </c>
      <c r="AN24" s="151">
        <f>O24/$G$5*10^(AM24/10)</f>
        <v/>
      </c>
      <c r="AO24" s="84" t="n"/>
      <c r="AP24" s="469">
        <f>IF((AS24^2*(I24^2+$G$3^2+$G$4^2)&gt;0),(AS24^2*(I24^2+$G$3^2+$G$4^2)),0)</f>
        <v/>
      </c>
      <c r="AQ24" s="180">
        <f>IF(AP24=0,0,(AT24*AR24)^2)</f>
        <v/>
      </c>
      <c r="AR24" s="181">
        <f>0.5*((P24-Q24)/60)</f>
        <v/>
      </c>
      <c r="AS24" s="470">
        <f>O24/$G$5*10^((K24-$O$42)/10)</f>
        <v/>
      </c>
      <c r="AT24" s="397">
        <f>IF(AU24=0,0,4.34*(AS24/AU24))</f>
        <v/>
      </c>
      <c r="AU24" s="183">
        <f>O24/60</f>
        <v/>
      </c>
      <c r="AW24" s="496">
        <f>IF((AZ24^2*(I24^2+$G$3^2+$G$4^2)&gt;0),(AZ24^2*(I24^2+$G$3^2+$G$4^2)),0)</f>
        <v/>
      </c>
      <c r="AX24" s="297">
        <f>IF(AW24=0,0,(BA24*AY24)^2)</f>
        <v/>
      </c>
      <c r="AY24" s="298">
        <f>0.5*((S24-T24)/60)</f>
        <v/>
      </c>
      <c r="AZ24" s="497">
        <f>R24/$G$5*10^((K24-$R$42)/10)</f>
        <v/>
      </c>
      <c r="BA24" s="300">
        <f>IF(BB24=0,0,4.34*(AZ24/BB24))</f>
        <v/>
      </c>
      <c r="BB24" s="300">
        <f>R24/60</f>
        <v/>
      </c>
      <c r="BD24" s="496">
        <f>IF((BG24^2*(I24^2+$G$3^2+$G$4^2)&gt;0),(BG24^2*(I24^2+$G$3^2+$G$4^2)),0)</f>
        <v/>
      </c>
      <c r="BE24" s="297">
        <f>IF(BD24=0,0,(BH24*BF24)^2)</f>
        <v/>
      </c>
      <c r="BF24" s="298">
        <f>0.5*((V24-W24)/60)</f>
        <v/>
      </c>
      <c r="BG24" s="497">
        <f>U24/$G$5*10^((K24-$U$42)/10)</f>
        <v/>
      </c>
      <c r="BH24" s="300">
        <f>IF(BI24=0,0,4.34*(BG24/BI24))</f>
        <v/>
      </c>
      <c r="BI24" s="300">
        <f>U24/60</f>
        <v/>
      </c>
      <c r="BK24" s="496">
        <f>IF((BN24^2*(I24^2+$G$3^2+$G$4^2)&gt;0),(BN24^2*(I24^2+$G$3^2+$G$4^2)),0)</f>
        <v/>
      </c>
      <c r="BL24" s="297">
        <f>IF(BK24=0,0,(BO24*BM24)^2)</f>
        <v/>
      </c>
      <c r="BM24" s="298">
        <f>0.5*((Y24-Z24)/60)</f>
        <v/>
      </c>
      <c r="BN24" s="497">
        <f>(X24/$G$5)*(10^((K24-$X$42)*0.1))</f>
        <v/>
      </c>
      <c r="BO24" s="300">
        <f>IF(BP24=0,0,(4.34*(BN24/BP24)))</f>
        <v/>
      </c>
      <c r="BP24" s="300">
        <f>X24/60</f>
        <v/>
      </c>
      <c r="BR24" s="496">
        <f>IF((BU24^2*(I24^2+$G$3^2+$G$4^2)&gt;0),(BU24^2*(I24^2+$G$3^2+$G$4^2)),0)</f>
        <v/>
      </c>
      <c r="BS24" s="297">
        <f>IF(BR24=0,0,(BV24*BT24)^2)</f>
        <v/>
      </c>
      <c r="BT24" s="298">
        <f>0.5*((AB24-AC24)/60)</f>
        <v/>
      </c>
      <c r="BU24" s="497">
        <f>AA24/$G$5*10^((K24-$AA$42)/10)</f>
        <v/>
      </c>
      <c r="BV24" s="300">
        <f>IF(BW24=0,0,4.34*(BU24/BW24))</f>
        <v/>
      </c>
      <c r="BW24" s="300">
        <f>AA24/60</f>
        <v/>
      </c>
      <c r="BY24" s="496">
        <f>IF((CB24^2*(I24^2+$G$3^2+$G$4^2)&gt;0),(CB24^2*(I24^2+$G$3^2+$G$4^2)),0)</f>
        <v/>
      </c>
      <c r="BZ24" s="297">
        <f>IF(BY24=0,0,(CC24*CA24)^2)</f>
        <v/>
      </c>
      <c r="CA24" s="298">
        <f>0.5*((AE24-AF24)/60)</f>
        <v/>
      </c>
      <c r="CB24" s="497">
        <f>AD24/$G$5*10^((K24-$AD$42)/10)</f>
        <v/>
      </c>
      <c r="CC24" s="300">
        <f>IF(CD24=0,0,4.34*(CB24/CD24))</f>
        <v/>
      </c>
      <c r="CD24" s="300">
        <f>AD24/60</f>
        <v/>
      </c>
      <c r="CF24" s="496">
        <f>IF((CI24^2*(I24^2+$G$3^2+$G$4^2)&gt;0),(CI24^2*(I24^2+$G$3^2+$G$4^2)),0)</f>
        <v/>
      </c>
      <c r="CG24" s="297">
        <f>IF(CF24=0,0,(CJ24*CH24)^2)</f>
        <v/>
      </c>
      <c r="CH24" s="298">
        <f>0.5*((AH24-AI24)/60)</f>
        <v/>
      </c>
      <c r="CI24" s="497">
        <f>AG24/$G$5*10^((K24-$AG$42)/10)</f>
        <v/>
      </c>
      <c r="CJ24" s="300">
        <f>IF(CK24=0,0,4.34*(CI24/CK24))</f>
        <v/>
      </c>
      <c r="CK24" s="300">
        <f>AG24/60</f>
        <v/>
      </c>
      <c r="CN24" s="183">
        <f>O24/$G$5*10^(K24/10)</f>
        <v/>
      </c>
      <c r="CO24" s="183">
        <f>R24/$G$5*10^(K24/10)</f>
        <v/>
      </c>
      <c r="CP24" s="183">
        <f>U24/$G$5*10^(K24/10)</f>
        <v/>
      </c>
      <c r="CQ24" s="183">
        <f>X24/$G$5*10^(K24/10)</f>
        <v/>
      </c>
      <c r="CR24" s="183">
        <f>AA24/$G$5*10^(K24/10)</f>
        <v/>
      </c>
      <c r="CS24" s="183">
        <f>AD24/$G$5*10^(K24/10)</f>
        <v/>
      </c>
      <c r="CT24" s="183">
        <f>AG24/$G$5*10^(K24/10)</f>
        <v/>
      </c>
      <c r="CU24" s="183">
        <f>O24/$G$5*10^(AM24/10)</f>
        <v/>
      </c>
      <c r="CV24" s="183">
        <f>R24/$G$5*10^(AM24/10)</f>
        <v/>
      </c>
      <c r="CW24" s="183">
        <f>U24/$G$5*10^(AM24/10)</f>
        <v/>
      </c>
      <c r="CX24" s="183">
        <f>X24/$G$5*10^(AM24/10)</f>
        <v/>
      </c>
      <c r="CY24" s="183">
        <f>AA24/$G$5*10^(AM24/10)</f>
        <v/>
      </c>
      <c r="CZ24" s="183">
        <f>AD24/$G$5*10^(AM24/10)</f>
        <v/>
      </c>
      <c r="DA24" s="183">
        <f>AG24/$G$5*10^(AM24/10)</f>
        <v/>
      </c>
      <c r="DB24" s="388">
        <f>IF(K24&gt;80,O24,"")</f>
        <v/>
      </c>
      <c r="DC24" s="388">
        <f>IF(K24&gt;80,O24/$DB$10*10^(L24/10),"")</f>
        <v/>
      </c>
      <c r="DD24" s="388">
        <f>IF(K24&gt;80,O24/$DB$10*10^(K24/10),"")</f>
        <v/>
      </c>
      <c r="DF24" s="184" t="n"/>
    </row>
    <row r="25" hidden="1" ht="27" customHeight="1" s="444">
      <c r="C25" s="264">
        <f>IF(AK25="0","T",IF((K25-AK25)&lt;65,"I",IF((K25-AK25)&lt;70,"K",IF((K25-AK25)&lt;75,"J",IF((K25-AK25)&lt;80,"K","L")))))</f>
        <v/>
      </c>
      <c r="D25" s="273">
        <f>IF(J25&lt;135,"T",IF((J25-$J$69)&lt;135,"J","L"))</f>
        <v/>
      </c>
      <c r="E25" s="267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IF(AND($O$47&gt;87,K25&gt;80),AK25,0)</f>
        <v/>
      </c>
      <c r="N25" s="262">
        <f>IF(M25=0,"",K25-M25)</f>
        <v/>
      </c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89" t="n"/>
      <c r="AK25" s="151">
        <f>IF(K25&lt;80,"0",IF((L25-K25)&lt;=2,($L$66-(($K$66-$L$66)/4)*(L25-K25-2)),($L$66-(($L$66-$M$66)/8)*(L25-K25-2))))</f>
        <v/>
      </c>
      <c r="AL25" s="111">
        <f>IF(J25&lt;135,"",J25-$J$69)</f>
        <v/>
      </c>
      <c r="AM25" s="111">
        <f>K25-AK25</f>
        <v/>
      </c>
      <c r="AN25" s="151">
        <f>O25/$G$5*10^(AM25/10)</f>
        <v/>
      </c>
      <c r="AO25" s="84" t="n"/>
      <c r="AP25" s="469">
        <f>IF((AS25^2*(I25^2+$G$3^2+$G$4^2)&gt;0),(AS25^2*(I25^2+$G$3^2+$G$4^2)),0)</f>
        <v/>
      </c>
      <c r="AQ25" s="180">
        <f>IF(AP25=0,0,(AT25*AR25)^2)</f>
        <v/>
      </c>
      <c r="AR25" s="181">
        <f>0.5*((P25-Q25)/60)</f>
        <v/>
      </c>
      <c r="AS25" s="470">
        <f>O25/$G$5*10^((K25-$O$42)/10)</f>
        <v/>
      </c>
      <c r="AT25" s="397">
        <f>IF(AU25=0,0,4.34*(AS25/AU25))</f>
        <v/>
      </c>
      <c r="AU25" s="183">
        <f>O25/60</f>
        <v/>
      </c>
      <c r="AW25" s="496">
        <f>IF((AZ25^2*(I25^2+$G$3^2+$G$4^2)&gt;0),(AZ25^2*(I25^2+$G$3^2+$G$4^2)),0)</f>
        <v/>
      </c>
      <c r="AX25" s="297">
        <f>IF(AW25=0,0,(BA25*AY25)^2)</f>
        <v/>
      </c>
      <c r="AY25" s="298">
        <f>0.5*((S25-T25)/60)</f>
        <v/>
      </c>
      <c r="AZ25" s="497">
        <f>R25/$G$5*10^((K25-$R$42)/10)</f>
        <v/>
      </c>
      <c r="BA25" s="300">
        <f>IF(BB25=0,0,4.34*(AZ25/BB25))</f>
        <v/>
      </c>
      <c r="BB25" s="300">
        <f>R25/60</f>
        <v/>
      </c>
      <c r="BD25" s="496">
        <f>IF((BG25^2*(I25^2+$G$3^2+$G$4^2)&gt;0),(BG25^2*(I25^2+$G$3^2+$G$4^2)),0)</f>
        <v/>
      </c>
      <c r="BE25" s="297">
        <f>IF(BD25=0,0,(BH25*BF25)^2)</f>
        <v/>
      </c>
      <c r="BF25" s="298">
        <f>0.5*((V25-W25)/60)</f>
        <v/>
      </c>
      <c r="BG25" s="497">
        <f>U25/$G$5*10^((K25-$U$42)/10)</f>
        <v/>
      </c>
      <c r="BH25" s="300">
        <f>IF(BI25=0,0,4.34*(BG25/BI25))</f>
        <v/>
      </c>
      <c r="BI25" s="300">
        <f>U25/60</f>
        <v/>
      </c>
      <c r="BK25" s="496">
        <f>IF((BN25^2*(I25^2+$G$3^2+$G$4^2)&gt;0),(BN25^2*(I25^2+$G$3^2+$G$4^2)),0)</f>
        <v/>
      </c>
      <c r="BL25" s="297">
        <f>IF(BK25=0,0,(BO25*BM25)^2)</f>
        <v/>
      </c>
      <c r="BM25" s="298">
        <f>0.5*((Y25-Z25)/60)</f>
        <v/>
      </c>
      <c r="BN25" s="497">
        <f>(X25/$G$5)*(10^((K25-$X$42)*0.1))</f>
        <v/>
      </c>
      <c r="BO25" s="300">
        <f>IF(BP25=0,0,(4.34*(BN25/BP25)))</f>
        <v/>
      </c>
      <c r="BP25" s="300">
        <f>X25/60</f>
        <v/>
      </c>
      <c r="BR25" s="496">
        <f>IF((BU25^2*(I25^2+$G$3^2+$G$4^2)&gt;0),(BU25^2*(I25^2+$G$3^2+$G$4^2)),0)</f>
        <v/>
      </c>
      <c r="BS25" s="297">
        <f>IF(BR25=0,0,(BV25*BT25)^2)</f>
        <v/>
      </c>
      <c r="BT25" s="298">
        <f>0.5*((AB25-AC25)/60)</f>
        <v/>
      </c>
      <c r="BU25" s="497">
        <f>AA25/$G$5*10^((K25-$AA$42)/10)</f>
        <v/>
      </c>
      <c r="BV25" s="300">
        <f>IF(BW25=0,0,4.34*(BU25/BW25))</f>
        <v/>
      </c>
      <c r="BW25" s="300">
        <f>AA25/60</f>
        <v/>
      </c>
      <c r="BY25" s="496">
        <f>IF((CB25^2*(I25^2+$G$3^2+$G$4^2)&gt;0),(CB25^2*(I25^2+$G$3^2+$G$4^2)),0)</f>
        <v/>
      </c>
      <c r="BZ25" s="297">
        <f>IF(BY25=0,0,(CC25*CA25)^2)</f>
        <v/>
      </c>
      <c r="CA25" s="298">
        <f>0.5*((AE25-AF25)/60)</f>
        <v/>
      </c>
      <c r="CB25" s="497">
        <f>AD25/$G$5*10^((K25-$AD$42)/10)</f>
        <v/>
      </c>
      <c r="CC25" s="300">
        <f>IF(CD25=0,0,4.34*(CB25/CD25))</f>
        <v/>
      </c>
      <c r="CD25" s="300">
        <f>AD25/60</f>
        <v/>
      </c>
      <c r="CF25" s="496">
        <f>IF((CI25^2*(I25^2+$G$3^2+$G$4^2)&gt;0),(CI25^2*(I25^2+$G$3^2+$G$4^2)),0)</f>
        <v/>
      </c>
      <c r="CG25" s="297">
        <f>IF(CF25=0,0,(CJ25*CH25)^2)</f>
        <v/>
      </c>
      <c r="CH25" s="298">
        <f>0.5*((AH25-AI25)/60)</f>
        <v/>
      </c>
      <c r="CI25" s="497">
        <f>AG25/$G$5*10^((K25-$AG$42)/10)</f>
        <v/>
      </c>
      <c r="CJ25" s="300">
        <f>IF(CK25=0,0,4.34*(CI25/CK25))</f>
        <v/>
      </c>
      <c r="CK25" s="300">
        <f>AG25/60</f>
        <v/>
      </c>
      <c r="CN25" s="183">
        <f>O25/$G$5*10^(K25/10)</f>
        <v/>
      </c>
      <c r="CO25" s="183">
        <f>R25/$G$5*10^(K25/10)</f>
        <v/>
      </c>
      <c r="CP25" s="183">
        <f>U25/$G$5*10^(K25/10)</f>
        <v/>
      </c>
      <c r="CQ25" s="183">
        <f>X25/$G$5*10^(K25/10)</f>
        <v/>
      </c>
      <c r="CR25" s="183">
        <f>AA25/$G$5*10^(K25/10)</f>
        <v/>
      </c>
      <c r="CS25" s="183">
        <f>AD25/$G$5*10^(K25/10)</f>
        <v/>
      </c>
      <c r="CT25" s="183">
        <f>AG25/$G$5*10^(K25/10)</f>
        <v/>
      </c>
      <c r="CU25" s="183">
        <f>O25/$G$5*10^(AM25/10)</f>
        <v/>
      </c>
      <c r="CV25" s="183">
        <f>R25/$G$5*10^(AM25/10)</f>
        <v/>
      </c>
      <c r="CW25" s="183">
        <f>U25/$G$5*10^(AM25/10)</f>
        <v/>
      </c>
      <c r="CX25" s="183">
        <f>X25/$G$5*10^(AM25/10)</f>
        <v/>
      </c>
      <c r="CY25" s="183">
        <f>AA25/$G$5*10^(AM25/10)</f>
        <v/>
      </c>
      <c r="CZ25" s="183">
        <f>AD25/$G$5*10^(AM25/10)</f>
        <v/>
      </c>
      <c r="DA25" s="183">
        <f>AG25/$G$5*10^(AM25/10)</f>
        <v/>
      </c>
      <c r="DB25" s="388">
        <f>IF(K25&gt;80,O25,"")</f>
        <v/>
      </c>
      <c r="DC25" s="388">
        <f>IF(K25&gt;80,O25/$DB$10*10^(L25/10),"")</f>
        <v/>
      </c>
      <c r="DD25" s="388">
        <f>IF(K25&gt;80,O25/$DB$10*10^(K25/10),"")</f>
        <v/>
      </c>
      <c r="DF25" s="184" t="n"/>
    </row>
    <row r="26" hidden="1" ht="27" customHeight="1" s="444">
      <c r="C26" s="264">
        <f>IF(AK26="0","T",IF((K26-AK26)&lt;65,"I",IF((K26-AK26)&lt;70,"K",IF((K26-AK26)&lt;75,"J",IF((K26-AK26)&lt;80,"K","L")))))</f>
        <v/>
      </c>
      <c r="D26" s="273">
        <f>IF(J26&lt;135,"T",IF((J26-$J$69)&lt;135,"J","L"))</f>
        <v/>
      </c>
      <c r="E26" s="267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IF(AND($O$47&gt;87,K26&gt;80),AK26,0)</f>
        <v/>
      </c>
      <c r="N26" s="262">
        <f>IF(M26=0,"",K26-M26)</f>
        <v/>
      </c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89" t="n"/>
      <c r="AK26" s="151">
        <f>IF(K26&lt;80,"0",IF((L26-K26)&lt;=2,($L$66-(($K$66-$L$66)/4)*(L26-K26-2)),($L$66-(($L$66-$M$66)/8)*(L26-K26-2))))</f>
        <v/>
      </c>
      <c r="AL26" s="111">
        <f>IF(J26&lt;135,"",J26-$J$69)</f>
        <v/>
      </c>
      <c r="AM26" s="111">
        <f>K26-AK26</f>
        <v/>
      </c>
      <c r="AN26" s="151">
        <f>O26/$G$5*10^(AM26/10)</f>
        <v/>
      </c>
      <c r="AO26" s="84" t="n"/>
      <c r="AP26" s="469">
        <f>IF((AS26^2*(I26^2+$G$3^2+$G$4^2)&gt;0),(AS26^2*(I26^2+$G$3^2+$G$4^2)),0)</f>
        <v/>
      </c>
      <c r="AQ26" s="180">
        <f>IF(AP26=0,0,(AT26*AR26)^2)</f>
        <v/>
      </c>
      <c r="AR26" s="181">
        <f>0.5*((P26-Q26)/60)</f>
        <v/>
      </c>
      <c r="AS26" s="470">
        <f>O26/$G$5*10^((K26-$O$42)/10)</f>
        <v/>
      </c>
      <c r="AT26" s="397">
        <f>IF(AU26=0,0,4.34*(AS26/AU26))</f>
        <v/>
      </c>
      <c r="AU26" s="183">
        <f>O26/60</f>
        <v/>
      </c>
      <c r="AW26" s="496">
        <f>IF((AZ26^2*(I26^2+$G$3^2+$G$4^2)&gt;0),(AZ26^2*(I26^2+$G$3^2+$G$4^2)),0)</f>
        <v/>
      </c>
      <c r="AX26" s="297">
        <f>IF(AW26=0,0,(BA26*AY26)^2)</f>
        <v/>
      </c>
      <c r="AY26" s="298">
        <f>0.5*((S26-T26)/60)</f>
        <v/>
      </c>
      <c r="AZ26" s="497">
        <f>R26/$G$5*10^((K26-$R$42)/10)</f>
        <v/>
      </c>
      <c r="BA26" s="300">
        <f>IF(BB26=0,0,4.34*(AZ26/BB26))</f>
        <v/>
      </c>
      <c r="BB26" s="300">
        <f>R26/60</f>
        <v/>
      </c>
      <c r="BD26" s="496">
        <f>IF((BG26^2*(I26^2+$G$3^2+$G$4^2)&gt;0),(BG26^2*(I26^2+$G$3^2+$G$4^2)),0)</f>
        <v/>
      </c>
      <c r="BE26" s="297">
        <f>IF(BD26=0,0,(BH26*BF26)^2)</f>
        <v/>
      </c>
      <c r="BF26" s="298">
        <f>0.5*((V26-W26)/60)</f>
        <v/>
      </c>
      <c r="BG26" s="497">
        <f>U26/$G$5*10^((K26-$U$42)/10)</f>
        <v/>
      </c>
      <c r="BH26" s="300">
        <f>IF(BI26=0,0,4.34*(BG26/BI26))</f>
        <v/>
      </c>
      <c r="BI26" s="300">
        <f>U26/60</f>
        <v/>
      </c>
      <c r="BK26" s="496">
        <f>IF((BN26^2*(I26^2+$G$3^2+$G$4^2)&gt;0),(BN26^2*(I26^2+$G$3^2+$G$4^2)),0)</f>
        <v/>
      </c>
      <c r="BL26" s="297">
        <f>IF(BK26=0,0,(BO26*BM26)^2)</f>
        <v/>
      </c>
      <c r="BM26" s="298">
        <f>0.5*((Y26-Z26)/60)</f>
        <v/>
      </c>
      <c r="BN26" s="497">
        <f>(X26/$G$5)*(10^((K26-$X$42)*0.1))</f>
        <v/>
      </c>
      <c r="BO26" s="300">
        <f>IF(BP26=0,0,(4.34*(BN26/BP26)))</f>
        <v/>
      </c>
      <c r="BP26" s="300">
        <f>X26/60</f>
        <v/>
      </c>
      <c r="BR26" s="496">
        <f>IF((BU26^2*(I26^2+$G$3^2+$G$4^2)&gt;0),(BU26^2*(I26^2+$G$3^2+$G$4^2)),0)</f>
        <v/>
      </c>
      <c r="BS26" s="297">
        <f>IF(BR26=0,0,(BV26*BT26)^2)</f>
        <v/>
      </c>
      <c r="BT26" s="298">
        <f>0.5*((AB26-AC26)/60)</f>
        <v/>
      </c>
      <c r="BU26" s="497">
        <f>AA26/$G$5*10^((K26-$AA$42)/10)</f>
        <v/>
      </c>
      <c r="BV26" s="300">
        <f>IF(BW26=0,0,4.34*(BU26/BW26))</f>
        <v/>
      </c>
      <c r="BW26" s="300">
        <f>AA26/60</f>
        <v/>
      </c>
      <c r="BY26" s="496">
        <f>IF((CB26^2*(I26^2+$G$3^2+$G$4^2)&gt;0),(CB26^2*(I26^2+$G$3^2+$G$4^2)),0)</f>
        <v/>
      </c>
      <c r="BZ26" s="297">
        <f>IF(BY26=0,0,(CC26*CA26)^2)</f>
        <v/>
      </c>
      <c r="CA26" s="298">
        <f>0.5*((AE26-AF26)/60)</f>
        <v/>
      </c>
      <c r="CB26" s="497">
        <f>AD26/$G$5*10^((K26-$AD$42)/10)</f>
        <v/>
      </c>
      <c r="CC26" s="300">
        <f>IF(CD26=0,0,4.34*(CB26/CD26))</f>
        <v/>
      </c>
      <c r="CD26" s="300">
        <f>AD26/60</f>
        <v/>
      </c>
      <c r="CF26" s="496">
        <f>IF((CI26^2*(I26^2+$G$3^2+$G$4^2)&gt;0),(CI26^2*(I26^2+$G$3^2+$G$4^2)),0)</f>
        <v/>
      </c>
      <c r="CG26" s="297">
        <f>IF(CF26=0,0,(CJ26*CH26)^2)</f>
        <v/>
      </c>
      <c r="CH26" s="298">
        <f>0.5*((AH26-AI26)/60)</f>
        <v/>
      </c>
      <c r="CI26" s="497">
        <f>AG26/$G$5*10^((K26-$AG$42)/10)</f>
        <v/>
      </c>
      <c r="CJ26" s="300">
        <f>IF(CK26=0,0,4.34*(CI26/CK26))</f>
        <v/>
      </c>
      <c r="CK26" s="300">
        <f>AG26/60</f>
        <v/>
      </c>
      <c r="CN26" s="183">
        <f>O26/$G$5*10^(K26/10)</f>
        <v/>
      </c>
      <c r="CO26" s="183">
        <f>R26/$G$5*10^(K26/10)</f>
        <v/>
      </c>
      <c r="CP26" s="183">
        <f>U26/$G$5*10^(K26/10)</f>
        <v/>
      </c>
      <c r="CQ26" s="183">
        <f>X26/$G$5*10^(K26/10)</f>
        <v/>
      </c>
      <c r="CR26" s="183">
        <f>AA26/$G$5*10^(K26/10)</f>
        <v/>
      </c>
      <c r="CS26" s="183">
        <f>AD26/$G$5*10^(K26/10)</f>
        <v/>
      </c>
      <c r="CT26" s="183">
        <f>AG26/$G$5*10^(K26/10)</f>
        <v/>
      </c>
      <c r="CU26" s="183">
        <f>O26/$G$5*10^(AM26/10)</f>
        <v/>
      </c>
      <c r="CV26" s="183">
        <f>R26/$G$5*10^(AM26/10)</f>
        <v/>
      </c>
      <c r="CW26" s="183">
        <f>U26/$G$5*10^(AM26/10)</f>
        <v/>
      </c>
      <c r="CX26" s="183">
        <f>X26/$G$5*10^(AM26/10)</f>
        <v/>
      </c>
      <c r="CY26" s="183">
        <f>AA26/$G$5*10^(AM26/10)</f>
        <v/>
      </c>
      <c r="CZ26" s="183">
        <f>AD26/$G$5*10^(AM26/10)</f>
        <v/>
      </c>
      <c r="DA26" s="183">
        <f>AG26/$G$5*10^(AM26/10)</f>
        <v/>
      </c>
      <c r="DB26" s="388">
        <f>IF(K26&gt;80,O26,"")</f>
        <v/>
      </c>
      <c r="DC26" s="388">
        <f>IF(K26&gt;80,O26/$DB$10*10^(L26/10),"")</f>
        <v/>
      </c>
      <c r="DD26" s="388">
        <f>IF(K26&gt;80,O26/$DB$10*10^(K26/10),"")</f>
        <v/>
      </c>
      <c r="DF26" s="184" t="n"/>
    </row>
    <row r="27" hidden="1" ht="27" customHeight="1" s="444">
      <c r="C27" s="264">
        <f>IF(AK27="0","T",IF((K27-AK27)&lt;65,"I",IF((K27-AK27)&lt;70,"K",IF((K27-AK27)&lt;75,"J",IF((K27-AK27)&lt;80,"K","L")))))</f>
        <v/>
      </c>
      <c r="D27" s="273">
        <f>IF(J27&lt;135,"T",IF((J27-$J$69)&lt;135,"J","L"))</f>
        <v/>
      </c>
      <c r="E27" s="267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IF(AND($O$47&gt;87,K27&gt;80),AK27,0)</f>
        <v/>
      </c>
      <c r="N27" s="262">
        <f>IF(M27=0,"",K27-M27)</f>
        <v/>
      </c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89" t="n"/>
      <c r="AK27" s="151">
        <f>IF(K27&lt;80,"0",IF((L27-K27)&lt;=2,($L$66-(($K$66-$L$66)/4)*(L27-K27-2)),($L$66-(($L$66-$M$66)/8)*(L27-K27-2))))</f>
        <v/>
      </c>
      <c r="AL27" s="111">
        <f>IF(J27&lt;135,"",J27-$J$69)</f>
        <v/>
      </c>
      <c r="AM27" s="111">
        <f>K27-AK27</f>
        <v/>
      </c>
      <c r="AN27" s="151">
        <f>O27/$G$5*10^(AM27/10)</f>
        <v/>
      </c>
      <c r="AO27" s="84" t="n"/>
      <c r="AP27" s="469">
        <f>IF((AS27^2*(I27^2+$G$3^2+$G$4^2)&gt;0),(AS27^2*(I27^2+$G$3^2+$G$4^2)),0)</f>
        <v/>
      </c>
      <c r="AQ27" s="180">
        <f>IF(AP27=0,0,(AT27*AR27)^2)</f>
        <v/>
      </c>
      <c r="AR27" s="181">
        <f>0.5*((P27-Q27)/60)</f>
        <v/>
      </c>
      <c r="AS27" s="470">
        <f>O27/$G$5*10^((K27-$O$42)/10)</f>
        <v/>
      </c>
      <c r="AT27" s="397">
        <f>IF(AU27=0,0,4.34*(AS27/AU27))</f>
        <v/>
      </c>
      <c r="AU27" s="183">
        <f>O27/60</f>
        <v/>
      </c>
      <c r="AW27" s="496">
        <f>IF((AZ27^2*(I27^2+$G$3^2+$G$4^2)&gt;0),(AZ27^2*(I27^2+$G$3^2+$G$4^2)),0)</f>
        <v/>
      </c>
      <c r="AX27" s="297">
        <f>IF(AW27=0,0,(BA27*AY27)^2)</f>
        <v/>
      </c>
      <c r="AY27" s="298">
        <f>0.5*((S27-T27)/60)</f>
        <v/>
      </c>
      <c r="AZ27" s="497">
        <f>R27/$G$5*10^((K27-$R$42)/10)</f>
        <v/>
      </c>
      <c r="BA27" s="300">
        <f>IF(BB27=0,0,4.34*(AZ27/BB27))</f>
        <v/>
      </c>
      <c r="BB27" s="300">
        <f>R27/60</f>
        <v/>
      </c>
      <c r="BD27" s="496">
        <f>IF((BG27^2*(I27^2+$G$3^2+$G$4^2)&gt;0),(BG27^2*(I27^2+$G$3^2+$G$4^2)),0)</f>
        <v/>
      </c>
      <c r="BE27" s="297">
        <f>IF(BD27=0,0,(BH27*BF27)^2)</f>
        <v/>
      </c>
      <c r="BF27" s="298">
        <f>0.5*((V27-W27)/60)</f>
        <v/>
      </c>
      <c r="BG27" s="497">
        <f>U27/$G$5*10^((K27-$U$42)/10)</f>
        <v/>
      </c>
      <c r="BH27" s="300">
        <f>IF(BI27=0,0,4.34*(BG27/BI27))</f>
        <v/>
      </c>
      <c r="BI27" s="300">
        <f>U27/60</f>
        <v/>
      </c>
      <c r="BK27" s="496">
        <f>IF((BN27^2*(I27^2+$G$3^2+$G$4^2)&gt;0),(BN27^2*(I27^2+$G$3^2+$G$4^2)),0)</f>
        <v/>
      </c>
      <c r="BL27" s="297">
        <f>IF(BK27=0,0,(BO27*BM27)^2)</f>
        <v/>
      </c>
      <c r="BM27" s="298">
        <f>0.5*((Y27-Z27)/60)</f>
        <v/>
      </c>
      <c r="BN27" s="497">
        <f>(X27/$G$5)*(10^((K27-$X$42)*0.1))</f>
        <v/>
      </c>
      <c r="BO27" s="300">
        <f>IF(BP27=0,0,(4.34*(BN27/BP27)))</f>
        <v/>
      </c>
      <c r="BP27" s="300">
        <f>X27/60</f>
        <v/>
      </c>
      <c r="BR27" s="496">
        <f>IF((BU27^2*(I27^2+$G$3^2+$G$4^2)&gt;0),(BU27^2*(I27^2+$G$3^2+$G$4^2)),0)</f>
        <v/>
      </c>
      <c r="BS27" s="297">
        <f>IF(BR27=0,0,(BV27*BT27)^2)</f>
        <v/>
      </c>
      <c r="BT27" s="298">
        <f>0.5*((AB27-AC27)/60)</f>
        <v/>
      </c>
      <c r="BU27" s="497">
        <f>AA27/$G$5*10^((K27-$AA$42)/10)</f>
        <v/>
      </c>
      <c r="BV27" s="300">
        <f>IF(BW27=0,0,4.34*(BU27/BW27))</f>
        <v/>
      </c>
      <c r="BW27" s="300">
        <f>AA27/60</f>
        <v/>
      </c>
      <c r="BY27" s="496">
        <f>IF((CB27^2*(I27^2+$G$3^2+$G$4^2)&gt;0),(CB27^2*(I27^2+$G$3^2+$G$4^2)),0)</f>
        <v/>
      </c>
      <c r="BZ27" s="297">
        <f>IF(BY27=0,0,(CC27*CA27)^2)</f>
        <v/>
      </c>
      <c r="CA27" s="298">
        <f>0.5*((AE27-AF27)/60)</f>
        <v/>
      </c>
      <c r="CB27" s="497">
        <f>AD27/$G$5*10^((K27-$AD$42)/10)</f>
        <v/>
      </c>
      <c r="CC27" s="300">
        <f>IF(CD27=0,0,4.34*(CB27/CD27))</f>
        <v/>
      </c>
      <c r="CD27" s="300">
        <f>AD27/60</f>
        <v/>
      </c>
      <c r="CF27" s="496">
        <f>IF((CI27^2*(I27^2+$G$3^2+$G$4^2)&gt;0),(CI27^2*(I27^2+$G$3^2+$G$4^2)),0)</f>
        <v/>
      </c>
      <c r="CG27" s="297">
        <f>IF(CF27=0,0,(CJ27*CH27)^2)</f>
        <v/>
      </c>
      <c r="CH27" s="298">
        <f>0.5*((AH27-AI27)/60)</f>
        <v/>
      </c>
      <c r="CI27" s="497">
        <f>AG27/$G$5*10^((K27-$AG$42)/10)</f>
        <v/>
      </c>
      <c r="CJ27" s="300">
        <f>IF(CK27=0,0,4.34*(CI27/CK27))</f>
        <v/>
      </c>
      <c r="CK27" s="300">
        <f>AG27/60</f>
        <v/>
      </c>
      <c r="CN27" s="183">
        <f>O27/$G$5*10^(K27/10)</f>
        <v/>
      </c>
      <c r="CO27" s="183">
        <f>R27/$G$5*10^(K27/10)</f>
        <v/>
      </c>
      <c r="CP27" s="183">
        <f>U27/$G$5*10^(K27/10)</f>
        <v/>
      </c>
      <c r="CQ27" s="183">
        <f>X27/$G$5*10^(K27/10)</f>
        <v/>
      </c>
      <c r="CR27" s="183">
        <f>AA27/$G$5*10^(K27/10)</f>
        <v/>
      </c>
      <c r="CS27" s="183">
        <f>AD27/$G$5*10^(K27/10)</f>
        <v/>
      </c>
      <c r="CT27" s="183">
        <f>AG27/$G$5*10^(K27/10)</f>
        <v/>
      </c>
      <c r="CU27" s="183">
        <f>O27/$G$5*10^(AM27/10)</f>
        <v/>
      </c>
      <c r="CV27" s="183">
        <f>R27/$G$5*10^(AM27/10)</f>
        <v/>
      </c>
      <c r="CW27" s="183">
        <f>U27/$G$5*10^(AM27/10)</f>
        <v/>
      </c>
      <c r="CX27" s="183">
        <f>X27/$G$5*10^(AM27/10)</f>
        <v/>
      </c>
      <c r="CY27" s="183">
        <f>AA27/$G$5*10^(AM27/10)</f>
        <v/>
      </c>
      <c r="CZ27" s="183">
        <f>AD27/$G$5*10^(AM27/10)</f>
        <v/>
      </c>
      <c r="DA27" s="183">
        <f>AG27/$G$5*10^(AM27/10)</f>
        <v/>
      </c>
      <c r="DB27" s="388">
        <f>IF(K27&gt;80,O27,"")</f>
        <v/>
      </c>
      <c r="DC27" s="388">
        <f>IF(K27&gt;80,O27/$DB$10*10^(L27/10),"")</f>
        <v/>
      </c>
      <c r="DD27" s="388">
        <f>IF(K27&gt;80,O27/$DB$10*10^(K27/10),"")</f>
        <v/>
      </c>
      <c r="DF27" s="184" t="n"/>
    </row>
    <row r="28" hidden="1" ht="27" customHeight="1" s="444">
      <c r="C28" s="264">
        <f>IF(AK28="0","T",IF((K28-AK28)&lt;65,"I",IF((K28-AK28)&lt;70,"K",IF((K28-AK28)&lt;75,"J",IF((K28-AK28)&lt;80,"K","L")))))</f>
        <v/>
      </c>
      <c r="D28" s="273">
        <f>IF(J28&lt;135,"T",IF((J28-$J$69)&lt;135,"J","L"))</f>
        <v/>
      </c>
      <c r="E28" s="267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IF(AND($O$47&gt;87,K28&gt;80),AK28,0)</f>
        <v/>
      </c>
      <c r="N28" s="262">
        <f>IF(M28=0,"",K28-M28)</f>
        <v/>
      </c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89" t="n"/>
      <c r="AK28" s="151">
        <f>IF(K28&lt;80,"0",IF((L28-K28)&lt;=2,($L$66-(($K$66-$L$66)/4)*(L28-K28-2)),($L$66-(($L$66-$M$66)/8)*(L28-K28-2))))</f>
        <v/>
      </c>
      <c r="AL28" s="111">
        <f>IF(J28&lt;135,"",J28-$J$69)</f>
        <v/>
      </c>
      <c r="AM28" s="111">
        <f>K28-AK28</f>
        <v/>
      </c>
      <c r="AN28" s="151">
        <f>O28/$G$5*10^(AM28/10)</f>
        <v/>
      </c>
      <c r="AO28" s="84" t="n"/>
      <c r="AP28" s="469">
        <f>IF((AS28^2*(I28^2+$G$3^2+$G$4^2)&gt;0),(AS28^2*(I28^2+$G$3^2+$G$4^2)),0)</f>
        <v/>
      </c>
      <c r="AQ28" s="180">
        <f>IF(AP28=0,0,(AT28*AR28)^2)</f>
        <v/>
      </c>
      <c r="AR28" s="181">
        <f>0.5*((P28-Q28)/60)</f>
        <v/>
      </c>
      <c r="AS28" s="470">
        <f>O28/$G$5*10^((K28-$O$42)/10)</f>
        <v/>
      </c>
      <c r="AT28" s="397">
        <f>IF(AU28=0,0,4.34*(AS28/AU28))</f>
        <v/>
      </c>
      <c r="AU28" s="183">
        <f>O28/60</f>
        <v/>
      </c>
      <c r="AW28" s="496">
        <f>IF((AZ28^2*(I28^2+$G$3^2+$G$4^2)&gt;0),(AZ28^2*(I28^2+$G$3^2+$G$4^2)),0)</f>
        <v/>
      </c>
      <c r="AX28" s="297">
        <f>IF(AW28=0,0,(BA28*AY28)^2)</f>
        <v/>
      </c>
      <c r="AY28" s="298">
        <f>0.5*((S28-T28)/60)</f>
        <v/>
      </c>
      <c r="AZ28" s="497">
        <f>R28/$G$5*10^((K28-$R$42)/10)</f>
        <v/>
      </c>
      <c r="BA28" s="300">
        <f>IF(BB28=0,0,4.34*(AZ28/BB28))</f>
        <v/>
      </c>
      <c r="BB28" s="300">
        <f>R28/60</f>
        <v/>
      </c>
      <c r="BD28" s="496">
        <f>IF((BG28^2*(I28^2+$G$3^2+$G$4^2)&gt;0),(BG28^2*(I28^2+$G$3^2+$G$4^2)),0)</f>
        <v/>
      </c>
      <c r="BE28" s="297">
        <f>IF(BD28=0,0,(BH28*BF28)^2)</f>
        <v/>
      </c>
      <c r="BF28" s="298">
        <f>0.5*((V28-W28)/60)</f>
        <v/>
      </c>
      <c r="BG28" s="497">
        <f>U28/$G$5*10^((K28-$U$42)/10)</f>
        <v/>
      </c>
      <c r="BH28" s="300">
        <f>IF(BI28=0,0,4.34*(BG28/BI28))</f>
        <v/>
      </c>
      <c r="BI28" s="300">
        <f>U28/60</f>
        <v/>
      </c>
      <c r="BK28" s="496">
        <f>IF((BN28^2*(I28^2+$G$3^2+$G$4^2)&gt;0),(BN28^2*(I28^2+$G$3^2+$G$4^2)),0)</f>
        <v/>
      </c>
      <c r="BL28" s="297">
        <f>IF(BK28=0,0,(BO28*BM28)^2)</f>
        <v/>
      </c>
      <c r="BM28" s="298">
        <f>0.5*((Y28-Z28)/60)</f>
        <v/>
      </c>
      <c r="BN28" s="497">
        <f>(X28/$G$5)*(10^((K28-$X$42)*0.1))</f>
        <v/>
      </c>
      <c r="BO28" s="300">
        <f>IF(BP28=0,0,(4.34*(BN28/BP28)))</f>
        <v/>
      </c>
      <c r="BP28" s="300">
        <f>X28/60</f>
        <v/>
      </c>
      <c r="BR28" s="496">
        <f>IF((BU28^2*(I28^2+$G$3^2+$G$4^2)&gt;0),(BU28^2*(I28^2+$G$3^2+$G$4^2)),0)</f>
        <v/>
      </c>
      <c r="BS28" s="297">
        <f>IF(BR28=0,0,(BV28*BT28)^2)</f>
        <v/>
      </c>
      <c r="BT28" s="298">
        <f>0.5*((AB28-AC28)/60)</f>
        <v/>
      </c>
      <c r="BU28" s="497">
        <f>AA28/$G$5*10^((K28-$AA$42)/10)</f>
        <v/>
      </c>
      <c r="BV28" s="300">
        <f>IF(BW28=0,0,4.34*(BU28/BW28))</f>
        <v/>
      </c>
      <c r="BW28" s="300">
        <f>AA28/60</f>
        <v/>
      </c>
      <c r="BY28" s="496">
        <f>IF((CB28^2*(I28^2+$G$3^2+$G$4^2)&gt;0),(CB28^2*(I28^2+$G$3^2+$G$4^2)),0)</f>
        <v/>
      </c>
      <c r="BZ28" s="297">
        <f>IF(BY28=0,0,(CC28*CA28)^2)</f>
        <v/>
      </c>
      <c r="CA28" s="298">
        <f>0.5*((AE28-AF28)/60)</f>
        <v/>
      </c>
      <c r="CB28" s="497">
        <f>AD28/$G$5*10^((K28-$AD$42)/10)</f>
        <v/>
      </c>
      <c r="CC28" s="300">
        <f>IF(CD28=0,0,4.34*(CB28/CD28))</f>
        <v/>
      </c>
      <c r="CD28" s="300">
        <f>AD28/60</f>
        <v/>
      </c>
      <c r="CF28" s="496">
        <f>IF((CI28^2*(I28^2+$G$3^2+$G$4^2)&gt;0),(CI28^2*(I28^2+$G$3^2+$G$4^2)),0)</f>
        <v/>
      </c>
      <c r="CG28" s="297">
        <f>IF(CF28=0,0,(CJ28*CH28)^2)</f>
        <v/>
      </c>
      <c r="CH28" s="298">
        <f>0.5*((AH28-AI28)/60)</f>
        <v/>
      </c>
      <c r="CI28" s="497">
        <f>AG28/$G$5*10^((K28-$AG$42)/10)</f>
        <v/>
      </c>
      <c r="CJ28" s="300">
        <f>IF(CK28=0,0,4.34*(CI28/CK28))</f>
        <v/>
      </c>
      <c r="CK28" s="300">
        <f>AG28/60</f>
        <v/>
      </c>
      <c r="CN28" s="183">
        <f>O28/$G$5*10^(K28/10)</f>
        <v/>
      </c>
      <c r="CO28" s="183">
        <f>R28/$G$5*10^(K28/10)</f>
        <v/>
      </c>
      <c r="CP28" s="183">
        <f>U28/$G$5*10^(K28/10)</f>
        <v/>
      </c>
      <c r="CQ28" s="183">
        <f>X28/$G$5*10^(K28/10)</f>
        <v/>
      </c>
      <c r="CR28" s="183">
        <f>AA28/$G$5*10^(K28/10)</f>
        <v/>
      </c>
      <c r="CS28" s="183">
        <f>AD28/$G$5*10^(K28/10)</f>
        <v/>
      </c>
      <c r="CT28" s="183">
        <f>AG28/$G$5*10^(K28/10)</f>
        <v/>
      </c>
      <c r="CU28" s="183">
        <f>O28/$G$5*10^(AM28/10)</f>
        <v/>
      </c>
      <c r="CV28" s="183">
        <f>R28/$G$5*10^(AM28/10)</f>
        <v/>
      </c>
      <c r="CW28" s="183">
        <f>U28/$G$5*10^(AM28/10)</f>
        <v/>
      </c>
      <c r="CX28" s="183">
        <f>X28/$G$5*10^(AM28/10)</f>
        <v/>
      </c>
      <c r="CY28" s="183">
        <f>AA28/$G$5*10^(AM28/10)</f>
        <v/>
      </c>
      <c r="CZ28" s="183">
        <f>AD28/$G$5*10^(AM28/10)</f>
        <v/>
      </c>
      <c r="DA28" s="183">
        <f>AG28/$G$5*10^(AM28/10)</f>
        <v/>
      </c>
      <c r="DB28" s="388">
        <f>IF(K28&gt;80,O28,"")</f>
        <v/>
      </c>
      <c r="DC28" s="388">
        <f>IF(K28&gt;80,O28/$DB$10*10^(L28/10),"")</f>
        <v/>
      </c>
      <c r="DD28" s="388">
        <f>IF(K28&gt;80,O28/$DB$10*10^(K28/10),"")</f>
        <v/>
      </c>
      <c r="DF28" s="184" t="n"/>
    </row>
    <row r="29" hidden="1" ht="27" customHeight="1" s="444">
      <c r="C29" s="264">
        <f>IF(AK29="0","T",IF((K29-AK29)&lt;65,"I",IF((K29-AK29)&lt;70,"K",IF((K29-AK29)&lt;75,"J",IF((K29-AK29)&lt;80,"K","L")))))</f>
        <v/>
      </c>
      <c r="D29" s="273">
        <f>IF(J29&lt;135,"T",IF((J29-$J$69)&lt;135,"J","L"))</f>
        <v/>
      </c>
      <c r="E29" s="267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IF(AND($O$47&gt;87,K29&gt;80),AK29,0)</f>
        <v/>
      </c>
      <c r="N29" s="262">
        <f>IF(M29=0,"",K29-M29)</f>
        <v/>
      </c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89" t="n"/>
      <c r="AK29" s="151">
        <f>IF(K29&lt;80,"0",IF((L29-K29)&lt;=2,($L$66-(($K$66-$L$66)/4)*(L29-K29-2)),($L$66-(($L$66-$M$66)/8)*(L29-K29-2))))</f>
        <v/>
      </c>
      <c r="AL29" s="111">
        <f>IF(J29&lt;135,"",J29-$J$69)</f>
        <v/>
      </c>
      <c r="AM29" s="111">
        <f>K29-AK29</f>
        <v/>
      </c>
      <c r="AN29" s="151">
        <f>O29/$G$5*10^(AM29/10)</f>
        <v/>
      </c>
      <c r="AO29" s="84" t="n"/>
      <c r="AP29" s="469">
        <f>IF((AS29^2*(I29^2+$G$3^2+$G$4^2)&gt;0),(AS29^2*(I29^2+$G$3^2+$G$4^2)),0)</f>
        <v/>
      </c>
      <c r="AQ29" s="180">
        <f>IF(AP29=0,0,(AT29*AR29)^2)</f>
        <v/>
      </c>
      <c r="AR29" s="181">
        <f>0.5*((P29-Q29)/60)</f>
        <v/>
      </c>
      <c r="AS29" s="470">
        <f>O29/$G$5*10^((K29-$O$42)/10)</f>
        <v/>
      </c>
      <c r="AT29" s="397">
        <f>IF(AU29=0,0,4.34*(AS29/AU29))</f>
        <v/>
      </c>
      <c r="AU29" s="183">
        <f>O29/60</f>
        <v/>
      </c>
      <c r="AW29" s="496">
        <f>IF((AZ29^2*(I29^2+$G$3^2+$G$4^2)&gt;0),(AZ29^2*(I29^2+$G$3^2+$G$4^2)),0)</f>
        <v/>
      </c>
      <c r="AX29" s="297">
        <f>IF(AW29=0,0,(BA29*AY29)^2)</f>
        <v/>
      </c>
      <c r="AY29" s="298">
        <f>0.5*((S29-T29)/60)</f>
        <v/>
      </c>
      <c r="AZ29" s="497">
        <f>R29/$G$5*10^((K29-$R$42)/10)</f>
        <v/>
      </c>
      <c r="BA29" s="300">
        <f>IF(BB29=0,0,4.34*(AZ29/BB29))</f>
        <v/>
      </c>
      <c r="BB29" s="300">
        <f>R29/60</f>
        <v/>
      </c>
      <c r="BD29" s="496">
        <f>IF((BG29^2*(I29^2+$G$3^2+$G$4^2)&gt;0),(BG29^2*(I29^2+$G$3^2+$G$4^2)),0)</f>
        <v/>
      </c>
      <c r="BE29" s="297">
        <f>IF(BD29=0,0,(BH29*BF29)^2)</f>
        <v/>
      </c>
      <c r="BF29" s="298">
        <f>0.5*((V29-W29)/60)</f>
        <v/>
      </c>
      <c r="BG29" s="497">
        <f>U29/$G$5*10^((K29-$U$42)/10)</f>
        <v/>
      </c>
      <c r="BH29" s="300">
        <f>IF(BI29=0,0,4.34*(BG29/BI29))</f>
        <v/>
      </c>
      <c r="BI29" s="300">
        <f>U29/60</f>
        <v/>
      </c>
      <c r="BK29" s="496">
        <f>IF((BN29^2*(I29^2+$G$3^2+$G$4^2)&gt;0),(BN29^2*(I29^2+$G$3^2+$G$4^2)),0)</f>
        <v/>
      </c>
      <c r="BL29" s="297">
        <f>IF(BK29=0,0,(BO29*BM29)^2)</f>
        <v/>
      </c>
      <c r="BM29" s="298">
        <f>0.5*((Y29-Z29)/60)</f>
        <v/>
      </c>
      <c r="BN29" s="497">
        <f>(X29/$G$5)*(10^((K29-$X$42)*0.1))</f>
        <v/>
      </c>
      <c r="BO29" s="300">
        <f>IF(BP29=0,0,(4.34*(BN29/BP29)))</f>
        <v/>
      </c>
      <c r="BP29" s="300">
        <f>X29/60</f>
        <v/>
      </c>
      <c r="BR29" s="496">
        <f>IF((BU29^2*(I29^2+$G$3^2+$G$4^2)&gt;0),(BU29^2*(I29^2+$G$3^2+$G$4^2)),0)</f>
        <v/>
      </c>
      <c r="BS29" s="297">
        <f>IF(BR29=0,0,(BV29*BT29)^2)</f>
        <v/>
      </c>
      <c r="BT29" s="298">
        <f>0.5*((AB29-AC29)/60)</f>
        <v/>
      </c>
      <c r="BU29" s="497">
        <f>AA29/$G$5*10^((K29-$AA$42)/10)</f>
        <v/>
      </c>
      <c r="BV29" s="300">
        <f>IF(BW29=0,0,4.34*(BU29/BW29))</f>
        <v/>
      </c>
      <c r="BW29" s="300">
        <f>AA29/60</f>
        <v/>
      </c>
      <c r="BY29" s="496">
        <f>IF((CB29^2*(I29^2+$G$3^2+$G$4^2)&gt;0),(CB29^2*(I29^2+$G$3^2+$G$4^2)),0)</f>
        <v/>
      </c>
      <c r="BZ29" s="297">
        <f>IF(BY29=0,0,(CC29*CA29)^2)</f>
        <v/>
      </c>
      <c r="CA29" s="298">
        <f>0.5*((AE29-AF29)/60)</f>
        <v/>
      </c>
      <c r="CB29" s="497">
        <f>AD29/$G$5*10^((K29-$AD$42)/10)</f>
        <v/>
      </c>
      <c r="CC29" s="300">
        <f>IF(CD29=0,0,4.34*(CB29/CD29))</f>
        <v/>
      </c>
      <c r="CD29" s="300">
        <f>AD29/60</f>
        <v/>
      </c>
      <c r="CF29" s="496">
        <f>IF((CI29^2*(I29^2+$G$3^2+$G$4^2)&gt;0),(CI29^2*(I29^2+$G$3^2+$G$4^2)),0)</f>
        <v/>
      </c>
      <c r="CG29" s="297">
        <f>IF(CF29=0,0,(CJ29*CH29)^2)</f>
        <v/>
      </c>
      <c r="CH29" s="298">
        <f>0.5*((AH29-AI29)/60)</f>
        <v/>
      </c>
      <c r="CI29" s="497">
        <f>AG29/$G$5*10^((K29-$AG$42)/10)</f>
        <v/>
      </c>
      <c r="CJ29" s="300">
        <f>IF(CK29=0,0,4.34*(CI29/CK29))</f>
        <v/>
      </c>
      <c r="CK29" s="300">
        <f>AG29/60</f>
        <v/>
      </c>
      <c r="CN29" s="183">
        <f>O29/$G$5*10^(K29/10)</f>
        <v/>
      </c>
      <c r="CO29" s="183">
        <f>R29/$G$5*10^(K29/10)</f>
        <v/>
      </c>
      <c r="CP29" s="183">
        <f>U29/$G$5*10^(K29/10)</f>
        <v/>
      </c>
      <c r="CQ29" s="183">
        <f>X29/$G$5*10^(K29/10)</f>
        <v/>
      </c>
      <c r="CR29" s="183">
        <f>AA29/$G$5*10^(K29/10)</f>
        <v/>
      </c>
      <c r="CS29" s="183">
        <f>AD29/$G$5*10^(K29/10)</f>
        <v/>
      </c>
      <c r="CT29" s="183">
        <f>AG29/$G$5*10^(K29/10)</f>
        <v/>
      </c>
      <c r="CU29" s="183">
        <f>O29/$G$5*10^(AM29/10)</f>
        <v/>
      </c>
      <c r="CV29" s="183">
        <f>R29/$G$5*10^(AM29/10)</f>
        <v/>
      </c>
      <c r="CW29" s="183">
        <f>U29/$G$5*10^(AM29/10)</f>
        <v/>
      </c>
      <c r="CX29" s="183">
        <f>X29/$G$5*10^(AM29/10)</f>
        <v/>
      </c>
      <c r="CY29" s="183">
        <f>AA29/$G$5*10^(AM29/10)</f>
        <v/>
      </c>
      <c r="CZ29" s="183">
        <f>AD29/$G$5*10^(AM29/10)</f>
        <v/>
      </c>
      <c r="DA29" s="183">
        <f>AG29/$G$5*10^(AM29/10)</f>
        <v/>
      </c>
      <c r="DB29" s="388">
        <f>IF(K29&gt;80,O29,"")</f>
        <v/>
      </c>
      <c r="DC29" s="388">
        <f>IF(K29&gt;80,O29/$DB$10*10^(L29/10),"")</f>
        <v/>
      </c>
      <c r="DD29" s="388">
        <f>IF(K29&gt;80,O29/$DB$10*10^(K29/10),"")</f>
        <v/>
      </c>
      <c r="DF29" s="184" t="n"/>
    </row>
    <row r="30" hidden="1" ht="27" customHeight="1" s="444">
      <c r="C30" s="264">
        <f>IF(AK30="0","T",IF((K30-AK30)&lt;65,"I",IF((K30-AK30)&lt;70,"K",IF((K30-AK30)&lt;75,"J",IF((K30-AK30)&lt;80,"K","L")))))</f>
        <v/>
      </c>
      <c r="D30" s="273">
        <f>IF(J30&lt;135,"T",IF((J30-$J$69)&lt;135,"J","L"))</f>
        <v/>
      </c>
      <c r="E30" s="267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IF(AND($O$47&gt;87,K30&gt;80),AK30,0)</f>
        <v/>
      </c>
      <c r="N30" s="262">
        <f>IF(M30=0,"",K30-M30)</f>
        <v/>
      </c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89" t="n"/>
      <c r="AK30" s="151">
        <f>IF(K30&lt;80,"0",IF((L30-K30)&lt;=2,($L$66-(($K$66-$L$66)/4)*(L30-K30-2)),($L$66-(($L$66-$M$66)/8)*(L30-K30-2))))</f>
        <v/>
      </c>
      <c r="AL30" s="111">
        <f>IF(J30&lt;135,"",J30-$J$69)</f>
        <v/>
      </c>
      <c r="AM30" s="111">
        <f>K30-AK30</f>
        <v/>
      </c>
      <c r="AN30" s="151">
        <f>O30/$G$5*10^(AM30/10)</f>
        <v/>
      </c>
      <c r="AO30" s="84" t="n"/>
      <c r="AP30" s="469">
        <f>IF((AS30^2*(I30^2+$G$3^2+$G$4^2)&gt;0),(AS30^2*(I30^2+$G$3^2+$G$4^2)),0)</f>
        <v/>
      </c>
      <c r="AQ30" s="180">
        <f>IF(AP30=0,0,(AT30*AR30)^2)</f>
        <v/>
      </c>
      <c r="AR30" s="181">
        <f>0.5*((P30-Q30)/60)</f>
        <v/>
      </c>
      <c r="AS30" s="470">
        <f>O30/$G$5*10^((K30-$O$42)/10)</f>
        <v/>
      </c>
      <c r="AT30" s="397">
        <f>IF(AU30=0,0,4.34*(AS30/AU30))</f>
        <v/>
      </c>
      <c r="AU30" s="183">
        <f>O30/60</f>
        <v/>
      </c>
      <c r="AW30" s="496">
        <f>IF((AZ30^2*(I30^2+$G$3^2+$G$4^2)&gt;0),(AZ30^2*(I30^2+$G$3^2+$G$4^2)),0)</f>
        <v/>
      </c>
      <c r="AX30" s="297">
        <f>IF(AW30=0,0,(BA30*AY30)^2)</f>
        <v/>
      </c>
      <c r="AY30" s="298">
        <f>0.5*((S30-T30)/60)</f>
        <v/>
      </c>
      <c r="AZ30" s="497">
        <f>R30/$G$5*10^((K30-$R$42)/10)</f>
        <v/>
      </c>
      <c r="BA30" s="300">
        <f>IF(BB30=0,0,4.34*(AZ30/BB30))</f>
        <v/>
      </c>
      <c r="BB30" s="300">
        <f>R30/60</f>
        <v/>
      </c>
      <c r="BD30" s="496">
        <f>IF((BG30^2*(I30^2+$G$3^2+$G$4^2)&gt;0),(BG30^2*(I30^2+$G$3^2+$G$4^2)),0)</f>
        <v/>
      </c>
      <c r="BE30" s="297">
        <f>IF(BD30=0,0,(BH30*BF30)^2)</f>
        <v/>
      </c>
      <c r="BF30" s="298">
        <f>0.5*((V30-W30)/60)</f>
        <v/>
      </c>
      <c r="BG30" s="497">
        <f>U30/$G$5*10^((K30-$U$42)/10)</f>
        <v/>
      </c>
      <c r="BH30" s="300">
        <f>IF(BI30=0,0,4.34*(BG30/BI30))</f>
        <v/>
      </c>
      <c r="BI30" s="300">
        <f>U30/60</f>
        <v/>
      </c>
      <c r="BK30" s="496">
        <f>IF((BN30^2*(I30^2+$G$3^2+$G$4^2)&gt;0),(BN30^2*(I30^2+$G$3^2+$G$4^2)),0)</f>
        <v/>
      </c>
      <c r="BL30" s="297">
        <f>IF(BK30=0,0,(BO30*BM30)^2)</f>
        <v/>
      </c>
      <c r="BM30" s="298">
        <f>0.5*((Y30-Z30)/60)</f>
        <v/>
      </c>
      <c r="BN30" s="497">
        <f>(X30/$G$5)*(10^((K30-$X$42)*0.1))</f>
        <v/>
      </c>
      <c r="BO30" s="300">
        <f>IF(BP30=0,0,(4.34*(BN30/BP30)))</f>
        <v/>
      </c>
      <c r="BP30" s="300">
        <f>X30/60</f>
        <v/>
      </c>
      <c r="BR30" s="496">
        <f>IF((BU30^2*(I30^2+$G$3^2+$G$4^2)&gt;0),(BU30^2*(I30^2+$G$3^2+$G$4^2)),0)</f>
        <v/>
      </c>
      <c r="BS30" s="297">
        <f>IF(BR30=0,0,(BV30*BT30)^2)</f>
        <v/>
      </c>
      <c r="BT30" s="298">
        <f>0.5*((AB30-AC30)/60)</f>
        <v/>
      </c>
      <c r="BU30" s="497">
        <f>AA30/$G$5*10^((K30-$AA$42)/10)</f>
        <v/>
      </c>
      <c r="BV30" s="300">
        <f>IF(BW30=0,0,4.34*(BU30/BW30))</f>
        <v/>
      </c>
      <c r="BW30" s="300">
        <f>AA30/60</f>
        <v/>
      </c>
      <c r="BY30" s="496">
        <f>IF((CB30^2*(I30^2+$G$3^2+$G$4^2)&gt;0),(CB30^2*(I30^2+$G$3^2+$G$4^2)),0)</f>
        <v/>
      </c>
      <c r="BZ30" s="297">
        <f>IF(BY30=0,0,(CC30*CA30)^2)</f>
        <v/>
      </c>
      <c r="CA30" s="298">
        <f>0.5*((AE30-AF30)/60)</f>
        <v/>
      </c>
      <c r="CB30" s="497">
        <f>AD30/$G$5*10^((K30-$AD$42)/10)</f>
        <v/>
      </c>
      <c r="CC30" s="300">
        <f>IF(CD30=0,0,4.34*(CB30/CD30))</f>
        <v/>
      </c>
      <c r="CD30" s="300">
        <f>AD30/60</f>
        <v/>
      </c>
      <c r="CF30" s="496">
        <f>IF((CI30^2*(I30^2+$G$3^2+$G$4^2)&gt;0),(CI30^2*(I30^2+$G$3^2+$G$4^2)),0)</f>
        <v/>
      </c>
      <c r="CG30" s="297">
        <f>IF(CF30=0,0,(CJ30*CH30)^2)</f>
        <v/>
      </c>
      <c r="CH30" s="298">
        <f>0.5*((AH30-AI30)/60)</f>
        <v/>
      </c>
      <c r="CI30" s="497">
        <f>AG30/$G$5*10^((K30-$AG$42)/10)</f>
        <v/>
      </c>
      <c r="CJ30" s="300">
        <f>IF(CK30=0,0,4.34*(CI30/CK30))</f>
        <v/>
      </c>
      <c r="CK30" s="300">
        <f>AG30/60</f>
        <v/>
      </c>
      <c r="CN30" s="183">
        <f>O30/$G$5*10^(K30/10)</f>
        <v/>
      </c>
      <c r="CO30" s="183">
        <f>R30/$G$5*10^(K30/10)</f>
        <v/>
      </c>
      <c r="CP30" s="183">
        <f>U30/$G$5*10^(K30/10)</f>
        <v/>
      </c>
      <c r="CQ30" s="183">
        <f>X30/$G$5*10^(K30/10)</f>
        <v/>
      </c>
      <c r="CR30" s="183">
        <f>AA30/$G$5*10^(K30/10)</f>
        <v/>
      </c>
      <c r="CS30" s="183">
        <f>AD30/$G$5*10^(K30/10)</f>
        <v/>
      </c>
      <c r="CT30" s="183">
        <f>AG30/$G$5*10^(K30/10)</f>
        <v/>
      </c>
      <c r="CU30" s="183">
        <f>O30/$G$5*10^(AM30/10)</f>
        <v/>
      </c>
      <c r="CV30" s="183">
        <f>R30/$G$5*10^(AM30/10)</f>
        <v/>
      </c>
      <c r="CW30" s="183">
        <f>U30/$G$5*10^(AM30/10)</f>
        <v/>
      </c>
      <c r="CX30" s="183">
        <f>X30/$G$5*10^(AM30/10)</f>
        <v/>
      </c>
      <c r="CY30" s="183">
        <f>AA30/$G$5*10^(AM30/10)</f>
        <v/>
      </c>
      <c r="CZ30" s="183">
        <f>AD30/$G$5*10^(AM30/10)</f>
        <v/>
      </c>
      <c r="DA30" s="183">
        <f>AG30/$G$5*10^(AM30/10)</f>
        <v/>
      </c>
      <c r="DB30" s="388">
        <f>IF(K30&gt;80,O30,"")</f>
        <v/>
      </c>
      <c r="DC30" s="388">
        <f>IF(K30&gt;80,O30/$DB$10*10^(L30/10),"")</f>
        <v/>
      </c>
      <c r="DD30" s="388">
        <f>IF(K30&gt;80,O30/$DB$10*10^(K30/10),"")</f>
        <v/>
      </c>
      <c r="DF30" s="184" t="n"/>
    </row>
    <row r="31" hidden="1" ht="27" customHeight="1" s="444">
      <c r="C31" s="264">
        <f>IF(AK31="0","T",IF((K31-AK31)&lt;65,"I",IF((K31-AK31)&lt;70,"K",IF((K31-AK31)&lt;75,"J",IF((K31-AK31)&lt;80,"K","L")))))</f>
        <v/>
      </c>
      <c r="D31" s="273">
        <f>IF(J31&lt;135,"T",IF((J31-$J$69)&lt;135,"J","L"))</f>
        <v/>
      </c>
      <c r="E31" s="267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IF(AND($O$47&gt;87,K31&gt;80),AK31,0)</f>
        <v/>
      </c>
      <c r="N31" s="262">
        <f>IF(M31=0,"",K31-M31)</f>
        <v/>
      </c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89" t="n"/>
      <c r="AK31" s="151">
        <f>IF(K31&lt;80,"0",IF((L31-K31)&lt;=2,($L$66-(($K$66-$L$66)/4)*(L31-K31-2)),($L$66-(($L$66-$M$66)/8)*(L31-K31-2))))</f>
        <v/>
      </c>
      <c r="AL31" s="111">
        <f>IF(J31&lt;135,"",J31-$J$69)</f>
        <v/>
      </c>
      <c r="AM31" s="111">
        <f>K31-AK31</f>
        <v/>
      </c>
      <c r="AN31" s="151">
        <f>O31/$G$5*10^(AM31/10)</f>
        <v/>
      </c>
      <c r="AO31" s="84" t="n"/>
      <c r="AP31" s="469">
        <f>IF((AS31^2*(I31^2+$G$3^2+$G$4^2)&gt;0),(AS31^2*(I31^2+$G$3^2+$G$4^2)),0)</f>
        <v/>
      </c>
      <c r="AQ31" s="180">
        <f>IF(AP31=0,0,(AT31*AR31)^2)</f>
        <v/>
      </c>
      <c r="AR31" s="181">
        <f>0.5*((P31-Q31)/60)</f>
        <v/>
      </c>
      <c r="AS31" s="470">
        <f>O31/$G$5*10^((K31-$O$42)/10)</f>
        <v/>
      </c>
      <c r="AT31" s="397">
        <f>IF(AU31=0,0,4.34*(AS31/AU31))</f>
        <v/>
      </c>
      <c r="AU31" s="183">
        <f>O31/60</f>
        <v/>
      </c>
      <c r="AW31" s="496">
        <f>IF((AZ31^2*(I31^2+$G$3^2+$G$4^2)&gt;0),(AZ31^2*(I31^2+$G$3^2+$G$4^2)),0)</f>
        <v/>
      </c>
      <c r="AX31" s="297">
        <f>IF(AW31=0,0,(BA31*AY31)^2)</f>
        <v/>
      </c>
      <c r="AY31" s="298">
        <f>0.5*((S31-T31)/60)</f>
        <v/>
      </c>
      <c r="AZ31" s="497">
        <f>R31/$G$5*10^((K31-$R$42)/10)</f>
        <v/>
      </c>
      <c r="BA31" s="300">
        <f>IF(BB31=0,0,4.34*(AZ31/BB31))</f>
        <v/>
      </c>
      <c r="BB31" s="300">
        <f>R31/60</f>
        <v/>
      </c>
      <c r="BD31" s="496">
        <f>IF((BG31^2*(I31^2+$G$3^2+$G$4^2)&gt;0),(BG31^2*(I31^2+$G$3^2+$G$4^2)),0)</f>
        <v/>
      </c>
      <c r="BE31" s="297">
        <f>IF(BD31=0,0,(BH31*BF31)^2)</f>
        <v/>
      </c>
      <c r="BF31" s="298">
        <f>0.5*((V31-W31)/60)</f>
        <v/>
      </c>
      <c r="BG31" s="497">
        <f>U31/$G$5*10^((K31-$U$42)/10)</f>
        <v/>
      </c>
      <c r="BH31" s="300">
        <f>IF(BI31=0,0,4.34*(BG31/BI31))</f>
        <v/>
      </c>
      <c r="BI31" s="300">
        <f>U31/60</f>
        <v/>
      </c>
      <c r="BK31" s="496">
        <f>IF((BN31^2*(I31^2+$G$3^2+$G$4^2)&gt;0),(BN31^2*(I31^2+$G$3^2+$G$4^2)),0)</f>
        <v/>
      </c>
      <c r="BL31" s="297">
        <f>IF(BK31=0,0,(BO31*BM31)^2)</f>
        <v/>
      </c>
      <c r="BM31" s="298">
        <f>0.5*((Y31-Z31)/60)</f>
        <v/>
      </c>
      <c r="BN31" s="497">
        <f>(X31/$G$5)*(10^((K31-$X$42)*0.1))</f>
        <v/>
      </c>
      <c r="BO31" s="300">
        <f>IF(BP31=0,0,(4.34*(BN31/BP31)))</f>
        <v/>
      </c>
      <c r="BP31" s="300">
        <f>X31/60</f>
        <v/>
      </c>
      <c r="BR31" s="496">
        <f>IF((BU31^2*(I31^2+$G$3^2+$G$4^2)&gt;0),(BU31^2*(I31^2+$G$3^2+$G$4^2)),0)</f>
        <v/>
      </c>
      <c r="BS31" s="297">
        <f>IF(BR31=0,0,(BV31*BT31)^2)</f>
        <v/>
      </c>
      <c r="BT31" s="298">
        <f>0.5*((AB31-AC31)/60)</f>
        <v/>
      </c>
      <c r="BU31" s="497">
        <f>AA31/$G$5*10^((K31-$AA$42)/10)</f>
        <v/>
      </c>
      <c r="BV31" s="300">
        <f>IF(BW31=0,0,4.34*(BU31/BW31))</f>
        <v/>
      </c>
      <c r="BW31" s="300">
        <f>AA31/60</f>
        <v/>
      </c>
      <c r="BY31" s="496">
        <f>IF((CB31^2*(I31^2+$G$3^2+$G$4^2)&gt;0),(CB31^2*(I31^2+$G$3^2+$G$4^2)),0)</f>
        <v/>
      </c>
      <c r="BZ31" s="297">
        <f>IF(BY31=0,0,(CC31*CA31)^2)</f>
        <v/>
      </c>
      <c r="CA31" s="298">
        <f>0.5*((AE31-AF31)/60)</f>
        <v/>
      </c>
      <c r="CB31" s="497">
        <f>AD31/$G$5*10^((K31-$AD$42)/10)</f>
        <v/>
      </c>
      <c r="CC31" s="300">
        <f>IF(CD31=0,0,4.34*(CB31/CD31))</f>
        <v/>
      </c>
      <c r="CD31" s="300">
        <f>AD31/60</f>
        <v/>
      </c>
      <c r="CF31" s="496">
        <f>IF((CI31^2*(I31^2+$G$3^2+$G$4^2)&gt;0),(CI31^2*(I31^2+$G$3^2+$G$4^2)),0)</f>
        <v/>
      </c>
      <c r="CG31" s="297">
        <f>IF(CF31=0,0,(CJ31*CH31)^2)</f>
        <v/>
      </c>
      <c r="CH31" s="298">
        <f>0.5*((AH31-AI31)/60)</f>
        <v/>
      </c>
      <c r="CI31" s="497">
        <f>AG31/$G$5*10^((K31-$AG$42)/10)</f>
        <v/>
      </c>
      <c r="CJ31" s="300">
        <f>IF(CK31=0,0,4.34*(CI31/CK31))</f>
        <v/>
      </c>
      <c r="CK31" s="300">
        <f>AG31/60</f>
        <v/>
      </c>
      <c r="CN31" s="183">
        <f>O31/$G$5*10^(K31/10)</f>
        <v/>
      </c>
      <c r="CO31" s="183">
        <f>R31/$G$5*10^(K31/10)</f>
        <v/>
      </c>
      <c r="CP31" s="183">
        <f>U31/$G$5*10^(K31/10)</f>
        <v/>
      </c>
      <c r="CQ31" s="183">
        <f>X31/$G$5*10^(K31/10)</f>
        <v/>
      </c>
      <c r="CR31" s="183">
        <f>AA31/$G$5*10^(K31/10)</f>
        <v/>
      </c>
      <c r="CS31" s="183">
        <f>AD31/$G$5*10^(K31/10)</f>
        <v/>
      </c>
      <c r="CT31" s="183">
        <f>AG31/$G$5*10^(K31/10)</f>
        <v/>
      </c>
      <c r="CU31" s="183">
        <f>O31/$G$5*10^(AM31/10)</f>
        <v/>
      </c>
      <c r="CV31" s="183">
        <f>R31/$G$5*10^(AM31/10)</f>
        <v/>
      </c>
      <c r="CW31" s="183">
        <f>U31/$G$5*10^(AM31/10)</f>
        <v/>
      </c>
      <c r="CX31" s="183">
        <f>X31/$G$5*10^(AM31/10)</f>
        <v/>
      </c>
      <c r="CY31" s="183">
        <f>AA31/$G$5*10^(AM31/10)</f>
        <v/>
      </c>
      <c r="CZ31" s="183">
        <f>AD31/$G$5*10^(AM31/10)</f>
        <v/>
      </c>
      <c r="DA31" s="183">
        <f>AG31/$G$5*10^(AM31/10)</f>
        <v/>
      </c>
      <c r="DB31" s="388">
        <f>IF(K31&gt;80,O31,"")</f>
        <v/>
      </c>
      <c r="DC31" s="388">
        <f>IF(K31&gt;80,O31/$DB$10*10^(L31/10),"")</f>
        <v/>
      </c>
      <c r="DD31" s="388">
        <f>IF(K31&gt;80,O31/$DB$10*10^(K31/10),"")</f>
        <v/>
      </c>
      <c r="DF31" s="184" t="n"/>
    </row>
    <row r="32" hidden="1" ht="27" customHeight="1" s="444">
      <c r="C32" s="264">
        <f>IF(AK32="0","T",IF((K32-AK32)&lt;65,"I",IF((K32-AK32)&lt;70,"K",IF((K32-AK32)&lt;75,"J",IF((K32-AK32)&lt;80,"K","L")))))</f>
        <v/>
      </c>
      <c r="D32" s="273">
        <f>IF(J32&lt;135,"T",IF((J32-$J$69)&lt;135,"J","L"))</f>
        <v/>
      </c>
      <c r="E32" s="267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IF(AND($O$47&gt;87,K32&gt;80),AK32,0)</f>
        <v/>
      </c>
      <c r="N32" s="262">
        <f>IF(M32=0,"",K32-M32)</f>
        <v/>
      </c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89" t="n"/>
      <c r="AK32" s="151">
        <f>IF(K32&lt;80,"0",IF((L32-K32)&lt;=2,($L$66-(($K$66-$L$66)/4)*(L32-K32-2)),($L$66-(($L$66-$M$66)/8)*(L32-K32-2))))</f>
        <v/>
      </c>
      <c r="AL32" s="111">
        <f>IF(J32&lt;135,"",J32-$J$69)</f>
        <v/>
      </c>
      <c r="AM32" s="111">
        <f>K32-AK32</f>
        <v/>
      </c>
      <c r="AN32" s="151">
        <f>O32/$G$5*10^(AM32/10)</f>
        <v/>
      </c>
      <c r="AO32" s="84" t="n"/>
      <c r="AP32" s="469">
        <f>IF((AS32^2*(I32^2+$G$3^2+$G$4^2)&gt;0),(AS32^2*(I32^2+$G$3^2+$G$4^2)),0)</f>
        <v/>
      </c>
      <c r="AQ32" s="180">
        <f>IF(AP32=0,0,(AT32*AR32)^2)</f>
        <v/>
      </c>
      <c r="AR32" s="181">
        <f>0.5*((P32-Q32)/60)</f>
        <v/>
      </c>
      <c r="AS32" s="470">
        <f>O32/$G$5*10^((K32-$O$42)/10)</f>
        <v/>
      </c>
      <c r="AT32" s="397">
        <f>IF(AU32=0,0,4.34*(AS32/AU32))</f>
        <v/>
      </c>
      <c r="AU32" s="183">
        <f>O32/60</f>
        <v/>
      </c>
      <c r="AW32" s="496">
        <f>IF((AZ32^2*(I32^2+$G$3^2+$G$4^2)&gt;0),(AZ32^2*(I32^2+$G$3^2+$G$4^2)),0)</f>
        <v/>
      </c>
      <c r="AX32" s="297">
        <f>IF(AW32=0,0,(BA32*AY32)^2)</f>
        <v/>
      </c>
      <c r="AY32" s="298">
        <f>0.5*((S32-T32)/60)</f>
        <v/>
      </c>
      <c r="AZ32" s="497">
        <f>R32/$G$5*10^((K32-$R$42)/10)</f>
        <v/>
      </c>
      <c r="BA32" s="300">
        <f>IF(BB32=0,0,4.34*(AZ32/BB32))</f>
        <v/>
      </c>
      <c r="BB32" s="300">
        <f>R32/60</f>
        <v/>
      </c>
      <c r="BD32" s="496">
        <f>IF((BG32^2*(I32^2+$G$3^2+$G$4^2)&gt;0),(BG32^2*(I32^2+$G$3^2+$G$4^2)),0)</f>
        <v/>
      </c>
      <c r="BE32" s="297">
        <f>IF(BD32=0,0,(BH32*BF32)^2)</f>
        <v/>
      </c>
      <c r="BF32" s="298">
        <f>0.5*((V32-W32)/60)</f>
        <v/>
      </c>
      <c r="BG32" s="497">
        <f>U32/$G$5*10^((K32-$U$42)/10)</f>
        <v/>
      </c>
      <c r="BH32" s="300">
        <f>IF(BI32=0,0,4.34*(BG32/BI32))</f>
        <v/>
      </c>
      <c r="BI32" s="300">
        <f>U32/60</f>
        <v/>
      </c>
      <c r="BK32" s="496">
        <f>IF((BN32^2*(I32^2+$G$3^2+$G$4^2)&gt;0),(BN32^2*(I32^2+$G$3^2+$G$4^2)),0)</f>
        <v/>
      </c>
      <c r="BL32" s="297">
        <f>IF(BK32=0,0,(BO32*BM32)^2)</f>
        <v/>
      </c>
      <c r="BM32" s="298">
        <f>0.5*((Y32-Z32)/60)</f>
        <v/>
      </c>
      <c r="BN32" s="497">
        <f>(X32/$G$5)*(10^((K32-$X$42)*0.1))</f>
        <v/>
      </c>
      <c r="BO32" s="300">
        <f>IF(BP32=0,0,(4.34*(BN32/BP32)))</f>
        <v/>
      </c>
      <c r="BP32" s="300">
        <f>X32/60</f>
        <v/>
      </c>
      <c r="BR32" s="496">
        <f>IF((BU32^2*(I32^2+$G$3^2+$G$4^2)&gt;0),(BU32^2*(I32^2+$G$3^2+$G$4^2)),0)</f>
        <v/>
      </c>
      <c r="BS32" s="297">
        <f>IF(BR32=0,0,(BV32*BT32)^2)</f>
        <v/>
      </c>
      <c r="BT32" s="298">
        <f>0.5*((AB32-AC32)/60)</f>
        <v/>
      </c>
      <c r="BU32" s="497">
        <f>AA32/$G$5*10^((K32-$AA$42)/10)</f>
        <v/>
      </c>
      <c r="BV32" s="300">
        <f>IF(BW32=0,0,4.34*(BU32/BW32))</f>
        <v/>
      </c>
      <c r="BW32" s="300">
        <f>AA32/60</f>
        <v/>
      </c>
      <c r="BY32" s="496">
        <f>IF((CB32^2*(I32^2+$G$3^2+$G$4^2)&gt;0),(CB32^2*(I32^2+$G$3^2+$G$4^2)),0)</f>
        <v/>
      </c>
      <c r="BZ32" s="297">
        <f>IF(BY32=0,0,(CC32*CA32)^2)</f>
        <v/>
      </c>
      <c r="CA32" s="298">
        <f>0.5*((AE32-AF32)/60)</f>
        <v/>
      </c>
      <c r="CB32" s="497">
        <f>AD32/$G$5*10^((K32-$AD$42)/10)</f>
        <v/>
      </c>
      <c r="CC32" s="300">
        <f>IF(CD32=0,0,4.34*(CB32/CD32))</f>
        <v/>
      </c>
      <c r="CD32" s="300">
        <f>AD32/60</f>
        <v/>
      </c>
      <c r="CF32" s="496">
        <f>IF((CI32^2*(I32^2+$G$3^2+$G$4^2)&gt;0),(CI32^2*(I32^2+$G$3^2+$G$4^2)),0)</f>
        <v/>
      </c>
      <c r="CG32" s="297">
        <f>IF(CF32=0,0,(CJ32*CH32)^2)</f>
        <v/>
      </c>
      <c r="CH32" s="298">
        <f>0.5*((AH32-AI32)/60)</f>
        <v/>
      </c>
      <c r="CI32" s="497">
        <f>AG32/$G$5*10^((K32-$AG$42)/10)</f>
        <v/>
      </c>
      <c r="CJ32" s="300">
        <f>IF(CK32=0,0,4.34*(CI32/CK32))</f>
        <v/>
      </c>
      <c r="CK32" s="300">
        <f>AG32/60</f>
        <v/>
      </c>
      <c r="CN32" s="183">
        <f>O32/$G$5*10^(K32/10)</f>
        <v/>
      </c>
      <c r="CO32" s="183">
        <f>R32/$G$5*10^(K32/10)</f>
        <v/>
      </c>
      <c r="CP32" s="183">
        <f>U32/$G$5*10^(K32/10)</f>
        <v/>
      </c>
      <c r="CQ32" s="183">
        <f>X32/$G$5*10^(K32/10)</f>
        <v/>
      </c>
      <c r="CR32" s="183">
        <f>AA32/$G$5*10^(K32/10)</f>
        <v/>
      </c>
      <c r="CS32" s="183">
        <f>AD32/$G$5*10^(K32/10)</f>
        <v/>
      </c>
      <c r="CT32" s="183">
        <f>AG32/$G$5*10^(K32/10)</f>
        <v/>
      </c>
      <c r="CU32" s="183">
        <f>O32/$G$5*10^(AM32/10)</f>
        <v/>
      </c>
      <c r="CV32" s="183">
        <f>R32/$G$5*10^(AM32/10)</f>
        <v/>
      </c>
      <c r="CW32" s="183">
        <f>U32/$G$5*10^(AM32/10)</f>
        <v/>
      </c>
      <c r="CX32" s="183">
        <f>X32/$G$5*10^(AM32/10)</f>
        <v/>
      </c>
      <c r="CY32" s="183">
        <f>AA32/$G$5*10^(AM32/10)</f>
        <v/>
      </c>
      <c r="CZ32" s="183">
        <f>AD32/$G$5*10^(AM32/10)</f>
        <v/>
      </c>
      <c r="DA32" s="183">
        <f>AG32/$G$5*10^(AM32/10)</f>
        <v/>
      </c>
      <c r="DB32" s="388">
        <f>IF(K32&gt;80,O32,"")</f>
        <v/>
      </c>
      <c r="DC32" s="388">
        <f>IF(K32&gt;80,O32/$DB$10*10^(L32/10),"")</f>
        <v/>
      </c>
      <c r="DD32" s="388">
        <f>IF(K32&gt;80,O32/$DB$10*10^(K32/10),"")</f>
        <v/>
      </c>
      <c r="DF32" s="184" t="n"/>
    </row>
    <row r="33" hidden="1" ht="27" customHeight="1" s="444">
      <c r="C33" s="264">
        <f>IF(AK33="0","T",IF((K33-AK33)&lt;65,"I",IF((K33-AK33)&lt;70,"K",IF((K33-AK33)&lt;75,"J",IF((K33-AK33)&lt;80,"K","L")))))</f>
        <v/>
      </c>
      <c r="D33" s="273">
        <f>IF(J33&lt;135,"T",IF((J33-$J$69)&lt;135,"J","L"))</f>
        <v/>
      </c>
      <c r="E33" s="267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IF(AND($O$47&gt;87,K33&gt;80),AK33,0)</f>
        <v/>
      </c>
      <c r="N33" s="262">
        <f>IF(M33=0,"",K33-M33)</f>
        <v/>
      </c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89" t="n"/>
      <c r="AK33" s="151">
        <f>IF(K33&lt;80,"0",IF((L33-K33)&lt;=2,($L$66-(($K$66-$L$66)/4)*(L33-K33-2)),($L$66-(($L$66-$M$66)/8)*(L33-K33-2))))</f>
        <v/>
      </c>
      <c r="AL33" s="111">
        <f>IF(J33&lt;135,"",J33-$J$69)</f>
        <v/>
      </c>
      <c r="AM33" s="111">
        <f>K33-AK33</f>
        <v/>
      </c>
      <c r="AN33" s="151">
        <f>O33/$G$5*10^(AM33/10)</f>
        <v/>
      </c>
      <c r="AO33" s="84" t="n"/>
      <c r="AP33" s="469">
        <f>IF((AS33^2*(I33^2+$G$3^2+$G$4^2)&gt;0),(AS33^2*(I33^2+$G$3^2+$G$4^2)),0)</f>
        <v/>
      </c>
      <c r="AQ33" s="180">
        <f>IF(AP33=0,0,(AT33*AR33)^2)</f>
        <v/>
      </c>
      <c r="AR33" s="181">
        <f>0.5*((P33-Q33)/60)</f>
        <v/>
      </c>
      <c r="AS33" s="470">
        <f>O33/$G$5*10^((K33-$O$42)/10)</f>
        <v/>
      </c>
      <c r="AT33" s="397">
        <f>IF(AU33=0,0,4.34*(AS33/AU33))</f>
        <v/>
      </c>
      <c r="AU33" s="183">
        <f>O33/60</f>
        <v/>
      </c>
      <c r="AW33" s="496">
        <f>IF((AZ33^2*(I33^2+$G$3^2+$G$4^2)&gt;0),(AZ33^2*(I33^2+$G$3^2+$G$4^2)),0)</f>
        <v/>
      </c>
      <c r="AX33" s="297">
        <f>IF(AW33=0,0,(BA33*AY33)^2)</f>
        <v/>
      </c>
      <c r="AY33" s="298">
        <f>0.5*((S33-T33)/60)</f>
        <v/>
      </c>
      <c r="AZ33" s="497">
        <f>R33/$G$5*10^((K33-$R$42)/10)</f>
        <v/>
      </c>
      <c r="BA33" s="300">
        <f>IF(BB33=0,0,4.34*(AZ33/BB33))</f>
        <v/>
      </c>
      <c r="BB33" s="300">
        <f>R33/60</f>
        <v/>
      </c>
      <c r="BD33" s="496">
        <f>IF((BG33^2*(I33^2+$G$3^2+$G$4^2)&gt;0),(BG33^2*(I33^2+$G$3^2+$G$4^2)),0)</f>
        <v/>
      </c>
      <c r="BE33" s="297">
        <f>IF(BD33=0,0,(BH33*BF33)^2)</f>
        <v/>
      </c>
      <c r="BF33" s="298">
        <f>0.5*((V33-W33)/60)</f>
        <v/>
      </c>
      <c r="BG33" s="497">
        <f>U33/$G$5*10^((K33-$U$42)/10)</f>
        <v/>
      </c>
      <c r="BH33" s="300">
        <f>IF(BI33=0,0,4.34*(BG33/BI33))</f>
        <v/>
      </c>
      <c r="BI33" s="300">
        <f>U33/60</f>
        <v/>
      </c>
      <c r="BK33" s="496">
        <f>IF((BN33^2*(I33^2+$G$3^2+$G$4^2)&gt;0),(BN33^2*(I33^2+$G$3^2+$G$4^2)),0)</f>
        <v/>
      </c>
      <c r="BL33" s="297">
        <f>IF(BK33=0,0,(BO33*BM33)^2)</f>
        <v/>
      </c>
      <c r="BM33" s="298">
        <f>0.5*((Y33-Z33)/60)</f>
        <v/>
      </c>
      <c r="BN33" s="497">
        <f>(X33/$G$5)*(10^((K33-$X$42)*0.1))</f>
        <v/>
      </c>
      <c r="BO33" s="300">
        <f>IF(BP33=0,0,(4.34*(BN33/BP33)))</f>
        <v/>
      </c>
      <c r="BP33" s="300">
        <f>X33/60</f>
        <v/>
      </c>
      <c r="BR33" s="496">
        <f>IF((BU33^2*(I33^2+$G$3^2+$G$4^2)&gt;0),(BU33^2*(I33^2+$G$3^2+$G$4^2)),0)</f>
        <v/>
      </c>
      <c r="BS33" s="297">
        <f>IF(BR33=0,0,(BV33*BT33)^2)</f>
        <v/>
      </c>
      <c r="BT33" s="298">
        <f>0.5*((AB33-AC33)/60)</f>
        <v/>
      </c>
      <c r="BU33" s="497">
        <f>AA33/$G$5*10^((K33-$AA$42)/10)</f>
        <v/>
      </c>
      <c r="BV33" s="300">
        <f>IF(BW33=0,0,4.34*(BU33/BW33))</f>
        <v/>
      </c>
      <c r="BW33" s="300">
        <f>AA33/60</f>
        <v/>
      </c>
      <c r="BY33" s="496">
        <f>IF((CB33^2*(I33^2+$G$3^2+$G$4^2)&gt;0),(CB33^2*(I33^2+$G$3^2+$G$4^2)),0)</f>
        <v/>
      </c>
      <c r="BZ33" s="297">
        <f>IF(BY33=0,0,(CC33*CA33)^2)</f>
        <v/>
      </c>
      <c r="CA33" s="298">
        <f>0.5*((AE33-AF33)/60)</f>
        <v/>
      </c>
      <c r="CB33" s="497">
        <f>AD33/$G$5*10^((K33-$AD$42)/10)</f>
        <v/>
      </c>
      <c r="CC33" s="300">
        <f>IF(CD33=0,0,4.34*(CB33/CD33))</f>
        <v/>
      </c>
      <c r="CD33" s="300">
        <f>AD33/60</f>
        <v/>
      </c>
      <c r="CF33" s="496">
        <f>IF((CI33^2*(I33^2+$G$3^2+$G$4^2)&gt;0),(CI33^2*(I33^2+$G$3^2+$G$4^2)),0)</f>
        <v/>
      </c>
      <c r="CG33" s="297">
        <f>IF(CF33=0,0,(CJ33*CH33)^2)</f>
        <v/>
      </c>
      <c r="CH33" s="298">
        <f>0.5*((AH33-AI33)/60)</f>
        <v/>
      </c>
      <c r="CI33" s="497">
        <f>AG33/$G$5*10^((K33-$AG$42)/10)</f>
        <v/>
      </c>
      <c r="CJ33" s="300">
        <f>IF(CK33=0,0,4.34*(CI33/CK33))</f>
        <v/>
      </c>
      <c r="CK33" s="300">
        <f>AG33/60</f>
        <v/>
      </c>
      <c r="CN33" s="183">
        <f>O33/$G$5*10^(K33/10)</f>
        <v/>
      </c>
      <c r="CO33" s="183">
        <f>R33/$G$5*10^(K33/10)</f>
        <v/>
      </c>
      <c r="CP33" s="183">
        <f>U33/$G$5*10^(K33/10)</f>
        <v/>
      </c>
      <c r="CQ33" s="183">
        <f>X33/$G$5*10^(K33/10)</f>
        <v/>
      </c>
      <c r="CR33" s="183">
        <f>AA33/$G$5*10^(K33/10)</f>
        <v/>
      </c>
      <c r="CS33" s="183">
        <f>AD33/$G$5*10^(K33/10)</f>
        <v/>
      </c>
      <c r="CT33" s="183">
        <f>AG33/$G$5*10^(K33/10)</f>
        <v/>
      </c>
      <c r="CU33" s="183">
        <f>O33/$G$5*10^(AM33/10)</f>
        <v/>
      </c>
      <c r="CV33" s="183">
        <f>R33/$G$5*10^(AM33/10)</f>
        <v/>
      </c>
      <c r="CW33" s="183">
        <f>U33/$G$5*10^(AM33/10)</f>
        <v/>
      </c>
      <c r="CX33" s="183">
        <f>X33/$G$5*10^(AM33/10)</f>
        <v/>
      </c>
      <c r="CY33" s="183">
        <f>AA33/$G$5*10^(AM33/10)</f>
        <v/>
      </c>
      <c r="CZ33" s="183">
        <f>AD33/$G$5*10^(AM33/10)</f>
        <v/>
      </c>
      <c r="DA33" s="183">
        <f>AG33/$G$5*10^(AM33/10)</f>
        <v/>
      </c>
      <c r="DB33" s="388">
        <f>IF(K33&gt;80,O33,"")</f>
        <v/>
      </c>
      <c r="DC33" s="388">
        <f>IF(K33&gt;80,O33/$DB$10*10^(L33/10),"")</f>
        <v/>
      </c>
      <c r="DD33" s="388">
        <f>IF(K33&gt;80,O33/$DB$10*10^(K33/10),"")</f>
        <v/>
      </c>
      <c r="DF33" s="184" t="n"/>
    </row>
    <row r="34" hidden="1" ht="27" customHeight="1" s="444">
      <c r="C34" s="264">
        <f>IF(AK34="0","T",IF((K34-AK34)&lt;65,"I",IF((K34-AK34)&lt;70,"K",IF((K34-AK34)&lt;75,"J",IF((K34-AK34)&lt;80,"K","L")))))</f>
        <v/>
      </c>
      <c r="D34" s="273">
        <f>IF(J34&lt;135,"T",IF((J34-$J$69)&lt;135,"J","L"))</f>
        <v/>
      </c>
      <c r="E34" s="267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IF(AND($O$47&gt;87,K34&gt;80),AK34,0)</f>
        <v/>
      </c>
      <c r="N34" s="262">
        <f>IF(M34=0,"",K34-M34)</f>
        <v/>
      </c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89" t="n"/>
      <c r="AK34" s="151">
        <f>IF(K34&lt;80,"0",IF((L34-K34)&lt;=2,($L$66-(($K$66-$L$66)/4)*(L34-K34-2)),($L$66-(($L$66-$M$66)/8)*(L34-K34-2))))</f>
        <v/>
      </c>
      <c r="AL34" s="111">
        <f>IF(J34&lt;135,"",J34-$J$69)</f>
        <v/>
      </c>
      <c r="AM34" s="111">
        <f>K34-AK34</f>
        <v/>
      </c>
      <c r="AN34" s="151">
        <f>O34/$G$5*10^(AM34/10)</f>
        <v/>
      </c>
      <c r="AO34" s="84" t="n"/>
      <c r="AP34" s="469">
        <f>IF((AS34^2*(I34^2+$G$3^2+$G$4^2)&gt;0),(AS34^2*(I34^2+$G$3^2+$G$4^2)),0)</f>
        <v/>
      </c>
      <c r="AQ34" s="180">
        <f>IF(AP34=0,0,(AT34*AR34)^2)</f>
        <v/>
      </c>
      <c r="AR34" s="181">
        <f>0.5*((P34-Q34)/60)</f>
        <v/>
      </c>
      <c r="AS34" s="470">
        <f>O34/$G$5*10^((K34-$O$42)/10)</f>
        <v/>
      </c>
      <c r="AT34" s="397">
        <f>IF(AU34=0,0,4.34*(AS34/AU34))</f>
        <v/>
      </c>
      <c r="AU34" s="183">
        <f>O34/60</f>
        <v/>
      </c>
      <c r="AW34" s="496">
        <f>IF((AZ34^2*(I34^2+$G$3^2+$G$4^2)&gt;0),(AZ34^2*(I34^2+$G$3^2+$G$4^2)),0)</f>
        <v/>
      </c>
      <c r="AX34" s="297">
        <f>IF(AW34=0,0,(BA34*AY34)^2)</f>
        <v/>
      </c>
      <c r="AY34" s="298">
        <f>0.5*((S34-T34)/60)</f>
        <v/>
      </c>
      <c r="AZ34" s="497">
        <f>R34/$G$5*10^((K34-$R$42)/10)</f>
        <v/>
      </c>
      <c r="BA34" s="300">
        <f>IF(BB34=0,0,4.34*(AZ34/BB34))</f>
        <v/>
      </c>
      <c r="BB34" s="300">
        <f>R34/60</f>
        <v/>
      </c>
      <c r="BD34" s="496">
        <f>IF((BG34^2*(I34^2+$G$3^2+$G$4^2)&gt;0),(BG34^2*(I34^2+$G$3^2+$G$4^2)),0)</f>
        <v/>
      </c>
      <c r="BE34" s="297">
        <f>IF(BD34=0,0,(BH34*BF34)^2)</f>
        <v/>
      </c>
      <c r="BF34" s="298">
        <f>0.5*((V34-W34)/60)</f>
        <v/>
      </c>
      <c r="BG34" s="497">
        <f>U34/$G$5*10^((K34-$U$42)/10)</f>
        <v/>
      </c>
      <c r="BH34" s="300">
        <f>IF(BI34=0,0,4.34*(BG34/BI34))</f>
        <v/>
      </c>
      <c r="BI34" s="300">
        <f>U34/60</f>
        <v/>
      </c>
      <c r="BK34" s="496">
        <f>IF((BN34^2*(I34^2+$G$3^2+$G$4^2)&gt;0),(BN34^2*(I34^2+$G$3^2+$G$4^2)),0)</f>
        <v/>
      </c>
      <c r="BL34" s="297">
        <f>IF(BK34=0,0,(BO34*BM34)^2)</f>
        <v/>
      </c>
      <c r="BM34" s="298">
        <f>0.5*((Y34-Z34)/60)</f>
        <v/>
      </c>
      <c r="BN34" s="497">
        <f>(X34/$G$5)*(10^((K34-$X$42)*0.1))</f>
        <v/>
      </c>
      <c r="BO34" s="300">
        <f>IF(BP34=0,0,(4.34*(BN34/BP34)))</f>
        <v/>
      </c>
      <c r="BP34" s="300">
        <f>X34/60</f>
        <v/>
      </c>
      <c r="BR34" s="496">
        <f>IF((BU34^2*(I34^2+$G$3^2+$G$4^2)&gt;0),(BU34^2*(I34^2+$G$3^2+$G$4^2)),0)</f>
        <v/>
      </c>
      <c r="BS34" s="297">
        <f>IF(BR34=0,0,(BV34*BT34)^2)</f>
        <v/>
      </c>
      <c r="BT34" s="298">
        <f>0.5*((AB34-AC34)/60)</f>
        <v/>
      </c>
      <c r="BU34" s="497">
        <f>AA34/$G$5*10^((K34-$AA$42)/10)</f>
        <v/>
      </c>
      <c r="BV34" s="300">
        <f>IF(BW34=0,0,4.34*(BU34/BW34))</f>
        <v/>
      </c>
      <c r="BW34" s="300">
        <f>AA34/60</f>
        <v/>
      </c>
      <c r="BY34" s="496">
        <f>IF((CB34^2*(I34^2+$G$3^2+$G$4^2)&gt;0),(CB34^2*(I34^2+$G$3^2+$G$4^2)),0)</f>
        <v/>
      </c>
      <c r="BZ34" s="297">
        <f>IF(BY34=0,0,(CC34*CA34)^2)</f>
        <v/>
      </c>
      <c r="CA34" s="298">
        <f>0.5*((AE34-AF34)/60)</f>
        <v/>
      </c>
      <c r="CB34" s="497">
        <f>AD34/$G$5*10^((K34-$AD$42)/10)</f>
        <v/>
      </c>
      <c r="CC34" s="300">
        <f>IF(CD34=0,0,4.34*(CB34/CD34))</f>
        <v/>
      </c>
      <c r="CD34" s="300">
        <f>AD34/60</f>
        <v/>
      </c>
      <c r="CF34" s="496">
        <f>IF((CI34^2*(I34^2+$G$3^2+$G$4^2)&gt;0),(CI34^2*(I34^2+$G$3^2+$G$4^2)),0)</f>
        <v/>
      </c>
      <c r="CG34" s="297">
        <f>IF(CF34=0,0,(CJ34*CH34)^2)</f>
        <v/>
      </c>
      <c r="CH34" s="298">
        <f>0.5*((AH34-AI34)/60)</f>
        <v/>
      </c>
      <c r="CI34" s="497">
        <f>AG34/$G$5*10^((K34-$AG$42)/10)</f>
        <v/>
      </c>
      <c r="CJ34" s="300">
        <f>IF(CK34=0,0,4.34*(CI34/CK34))</f>
        <v/>
      </c>
      <c r="CK34" s="300">
        <f>AG34/60</f>
        <v/>
      </c>
      <c r="CN34" s="183">
        <f>O34/$G$5*10^(K34/10)</f>
        <v/>
      </c>
      <c r="CO34" s="183">
        <f>R34/$G$5*10^(K34/10)</f>
        <v/>
      </c>
      <c r="CP34" s="183">
        <f>U34/$G$5*10^(K34/10)</f>
        <v/>
      </c>
      <c r="CQ34" s="183">
        <f>X34/$G$5*10^(K34/10)</f>
        <v/>
      </c>
      <c r="CR34" s="183">
        <f>AA34/$G$5*10^(K34/10)</f>
        <v/>
      </c>
      <c r="CS34" s="183">
        <f>AD34/$G$5*10^(K34/10)</f>
        <v/>
      </c>
      <c r="CT34" s="183">
        <f>AG34/$G$5*10^(K34/10)</f>
        <v/>
      </c>
      <c r="CU34" s="183">
        <f>O34/$G$5*10^(AM34/10)</f>
        <v/>
      </c>
      <c r="CV34" s="183">
        <f>R34/$G$5*10^(AM34/10)</f>
        <v/>
      </c>
      <c r="CW34" s="183">
        <f>U34/$G$5*10^(AM34/10)</f>
        <v/>
      </c>
      <c r="CX34" s="183">
        <f>X34/$G$5*10^(AM34/10)</f>
        <v/>
      </c>
      <c r="CY34" s="183">
        <f>AA34/$G$5*10^(AM34/10)</f>
        <v/>
      </c>
      <c r="CZ34" s="183">
        <f>AD34/$G$5*10^(AM34/10)</f>
        <v/>
      </c>
      <c r="DA34" s="183">
        <f>AG34/$G$5*10^(AM34/10)</f>
        <v/>
      </c>
      <c r="DB34" s="388">
        <f>IF(K34&gt;80,O34,"")</f>
        <v/>
      </c>
      <c r="DC34" s="388">
        <f>IF(K34&gt;80,O34/$DB$10*10^(L34/10),"")</f>
        <v/>
      </c>
      <c r="DD34" s="388">
        <f>IF(K34&gt;80,O34/$DB$10*10^(K34/10),"")</f>
        <v/>
      </c>
      <c r="DF34" s="184" t="n"/>
    </row>
    <row r="35" hidden="1" ht="27" customHeight="1" s="444">
      <c r="C35" s="264">
        <f>IF(AK35="0","T",IF((K35-AK35)&lt;65,"I",IF((K35-AK35)&lt;70,"K",IF((K35-AK35)&lt;75,"J",IF((K35-AK35)&lt;80,"K","L")))))</f>
        <v/>
      </c>
      <c r="D35" s="273">
        <f>IF(J35&lt;135,"T",IF((J35-$J$69)&lt;135,"J","L"))</f>
        <v/>
      </c>
      <c r="E35" s="267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IF(AND($O$47&gt;87,K35&gt;80),AK35,0)</f>
        <v/>
      </c>
      <c r="N35" s="262">
        <f>IF(M35=0,"",K35-M35)</f>
        <v/>
      </c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89" t="n"/>
      <c r="AK35" s="151">
        <f>IF(K35&lt;80,"0",IF((L35-K35)&lt;=2,($L$66-(($K$66-$L$66)/4)*(L35-K35-2)),($L$66-(($L$66-$M$66)/8)*(L35-K35-2))))</f>
        <v/>
      </c>
      <c r="AL35" s="111">
        <f>IF(J35&lt;135,"",J35-$J$69)</f>
        <v/>
      </c>
      <c r="AM35" s="111">
        <f>K35-AK35</f>
        <v/>
      </c>
      <c r="AN35" s="151">
        <f>O35/$G$5*10^(AM35/10)</f>
        <v/>
      </c>
      <c r="AO35" s="84" t="n"/>
      <c r="AP35" s="469">
        <f>IF((AS35^2*(I35^2+$G$3^2+$G$4^2)&gt;0),(AS35^2*(I35^2+$G$3^2+$G$4^2)),0)</f>
        <v/>
      </c>
      <c r="AQ35" s="180">
        <f>IF(AP35=0,0,(AT35*AR35)^2)</f>
        <v/>
      </c>
      <c r="AR35" s="181">
        <f>0.5*((P35-Q35)/60)</f>
        <v/>
      </c>
      <c r="AS35" s="470">
        <f>O35/$G$5*10^((K35-$O$42)/10)</f>
        <v/>
      </c>
      <c r="AT35" s="397">
        <f>IF(AU35=0,0,4.34*(AS35/AU35))</f>
        <v/>
      </c>
      <c r="AU35" s="183">
        <f>O35/60</f>
        <v/>
      </c>
      <c r="AW35" s="496">
        <f>IF((AZ35^2*(I35^2+$G$3^2+$G$4^2)&gt;0),(AZ35^2*(I35^2+$G$3^2+$G$4^2)),0)</f>
        <v/>
      </c>
      <c r="AX35" s="297">
        <f>IF(AW35=0,0,(BA35*AY35)^2)</f>
        <v/>
      </c>
      <c r="AY35" s="298">
        <f>0.5*((S35-T35)/60)</f>
        <v/>
      </c>
      <c r="AZ35" s="497">
        <f>R35/$G$5*10^((K35-$R$42)/10)</f>
        <v/>
      </c>
      <c r="BA35" s="300">
        <f>IF(BB35=0,0,4.34*(AZ35/BB35))</f>
        <v/>
      </c>
      <c r="BB35" s="300">
        <f>R35/60</f>
        <v/>
      </c>
      <c r="BD35" s="496">
        <f>IF((BG35^2*(I35^2+$G$3^2+$G$4^2)&gt;0),(BG35^2*(I35^2+$G$3^2+$G$4^2)),0)</f>
        <v/>
      </c>
      <c r="BE35" s="297">
        <f>IF(BD35=0,0,(BH35*BF35)^2)</f>
        <v/>
      </c>
      <c r="BF35" s="298">
        <f>0.5*((V35-W35)/60)</f>
        <v/>
      </c>
      <c r="BG35" s="497">
        <f>U35/$G$5*10^((K35-$U$42)/10)</f>
        <v/>
      </c>
      <c r="BH35" s="300">
        <f>IF(BI35=0,0,4.34*(BG35/BI35))</f>
        <v/>
      </c>
      <c r="BI35" s="300">
        <f>U35/60</f>
        <v/>
      </c>
      <c r="BK35" s="496">
        <f>IF((BN35^2*(I35^2+$G$3^2+$G$4^2)&gt;0),(BN35^2*(I35^2+$G$3^2+$G$4^2)),0)</f>
        <v/>
      </c>
      <c r="BL35" s="297">
        <f>IF(BK35=0,0,(BO35*BM35)^2)</f>
        <v/>
      </c>
      <c r="BM35" s="298">
        <f>0.5*((Y35-Z35)/60)</f>
        <v/>
      </c>
      <c r="BN35" s="497">
        <f>(X35/$G$5)*(10^((K35-$X$42)*0.1))</f>
        <v/>
      </c>
      <c r="BO35" s="300">
        <f>IF(BP35=0,0,(4.34*(BN35/BP35)))</f>
        <v/>
      </c>
      <c r="BP35" s="300">
        <f>X35/60</f>
        <v/>
      </c>
      <c r="BR35" s="496">
        <f>IF((BU35^2*(I35^2+$G$3^2+$G$4^2)&gt;0),(BU35^2*(I35^2+$G$3^2+$G$4^2)),0)</f>
        <v/>
      </c>
      <c r="BS35" s="297">
        <f>IF(BR35=0,0,(BV35*BT35)^2)</f>
        <v/>
      </c>
      <c r="BT35" s="298">
        <f>0.5*((AB35-AC35)/60)</f>
        <v/>
      </c>
      <c r="BU35" s="497">
        <f>AA35/$G$5*10^((K35-$AA$42)/10)</f>
        <v/>
      </c>
      <c r="BV35" s="300">
        <f>IF(BW35=0,0,4.34*(BU35/BW35))</f>
        <v/>
      </c>
      <c r="BW35" s="300">
        <f>AA35/60</f>
        <v/>
      </c>
      <c r="BY35" s="496">
        <f>IF((CB35^2*(I35^2+$G$3^2+$G$4^2)&gt;0),(CB35^2*(I35^2+$G$3^2+$G$4^2)),0)</f>
        <v/>
      </c>
      <c r="BZ35" s="297">
        <f>IF(BY35=0,0,(CC35*CA35)^2)</f>
        <v/>
      </c>
      <c r="CA35" s="298">
        <f>0.5*((AE35-AF35)/60)</f>
        <v/>
      </c>
      <c r="CB35" s="497">
        <f>AD35/$G$5*10^((K35-$AD$42)/10)</f>
        <v/>
      </c>
      <c r="CC35" s="300">
        <f>IF(CD35=0,0,4.34*(CB35/CD35))</f>
        <v/>
      </c>
      <c r="CD35" s="300">
        <f>AD35/60</f>
        <v/>
      </c>
      <c r="CF35" s="496">
        <f>IF((CI35^2*(I35^2+$G$3^2+$G$4^2)&gt;0),(CI35^2*(I35^2+$G$3^2+$G$4^2)),0)</f>
        <v/>
      </c>
      <c r="CG35" s="297">
        <f>IF(CF35=0,0,(CJ35*CH35)^2)</f>
        <v/>
      </c>
      <c r="CH35" s="298">
        <f>0.5*((AH35-AI35)/60)</f>
        <v/>
      </c>
      <c r="CI35" s="497">
        <f>AG35/$G$5*10^((K35-$AG$42)/10)</f>
        <v/>
      </c>
      <c r="CJ35" s="300">
        <f>IF(CK35=0,0,4.34*(CI35/CK35))</f>
        <v/>
      </c>
      <c r="CK35" s="300">
        <f>AG35/60</f>
        <v/>
      </c>
      <c r="CN35" s="183">
        <f>O35/$G$5*10^(K35/10)</f>
        <v/>
      </c>
      <c r="CO35" s="183">
        <f>R35/$G$5*10^(K35/10)</f>
        <v/>
      </c>
      <c r="CP35" s="183">
        <f>U35/$G$5*10^(K35/10)</f>
        <v/>
      </c>
      <c r="CQ35" s="183">
        <f>X35/$G$5*10^(K35/10)</f>
        <v/>
      </c>
      <c r="CR35" s="183">
        <f>AA35/$G$5*10^(K35/10)</f>
        <v/>
      </c>
      <c r="CS35" s="183">
        <f>AD35/$G$5*10^(K35/10)</f>
        <v/>
      </c>
      <c r="CT35" s="183">
        <f>AG35/$G$5*10^(K35/10)</f>
        <v/>
      </c>
      <c r="CU35" s="183">
        <f>O35/$G$5*10^(AM35/10)</f>
        <v/>
      </c>
      <c r="CV35" s="183">
        <f>R35/$G$5*10^(AM35/10)</f>
        <v/>
      </c>
      <c r="CW35" s="183">
        <f>U35/$G$5*10^(AM35/10)</f>
        <v/>
      </c>
      <c r="CX35" s="183">
        <f>X35/$G$5*10^(AM35/10)</f>
        <v/>
      </c>
      <c r="CY35" s="183">
        <f>AA35/$G$5*10^(AM35/10)</f>
        <v/>
      </c>
      <c r="CZ35" s="183">
        <f>AD35/$G$5*10^(AM35/10)</f>
        <v/>
      </c>
      <c r="DA35" s="183">
        <f>AG35/$G$5*10^(AM35/10)</f>
        <v/>
      </c>
      <c r="DB35" s="388">
        <f>IF(K35&gt;80,O35,"")</f>
        <v/>
      </c>
      <c r="DC35" s="388">
        <f>IF(K35&gt;80,O35/$DB$10*10^(L35/10),"")</f>
        <v/>
      </c>
      <c r="DD35" s="388">
        <f>IF(K35&gt;80,O35/$DB$10*10^(K35/10),"")</f>
        <v/>
      </c>
      <c r="DF35" s="184" t="n"/>
    </row>
    <row r="36" hidden="1" ht="27" customHeight="1" s="444">
      <c r="C36" s="264">
        <f>IF(AK36="0","T",IF((K36-AK36)&lt;65,"I",IF((K36-AK36)&lt;70,"K",IF((K36-AK36)&lt;75,"J",IF((K36-AK36)&lt;80,"K","L")))))</f>
        <v/>
      </c>
      <c r="D36" s="273">
        <f>IF(J36&lt;135,"T",IF((J36-$J$69)&lt;135,"J","L"))</f>
        <v/>
      </c>
      <c r="E36" s="267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IF(AND($O$47&gt;87,K36&gt;80),AK36,0)</f>
        <v/>
      </c>
      <c r="N36" s="262">
        <f>IF(M36=0,"",K36-M36)</f>
        <v/>
      </c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89" t="n"/>
      <c r="AK36" s="151">
        <f>IF(K36&lt;80,"0",IF((L36-K36)&lt;=2,($L$66-(($K$66-$L$66)/4)*(L36-K36-2)),($L$66-(($L$66-$M$66)/8)*(L36-K36-2))))</f>
        <v/>
      </c>
      <c r="AL36" s="111">
        <f>IF(J36&lt;135,"",J36-$J$69)</f>
        <v/>
      </c>
      <c r="AM36" s="111">
        <f>K36-AK36</f>
        <v/>
      </c>
      <c r="AN36" s="151">
        <f>O36/$G$5*10^(AM36/10)</f>
        <v/>
      </c>
      <c r="AO36" s="84" t="n"/>
      <c r="AP36" s="469">
        <f>IF((AS36^2*(I36^2+$G$3^2+$G$4^2)&gt;0),(AS36^2*(I36^2+$G$3^2+$G$4^2)),0)</f>
        <v/>
      </c>
      <c r="AQ36" s="180">
        <f>IF(AP36=0,0,(AT36*AR36)^2)</f>
        <v/>
      </c>
      <c r="AR36" s="181">
        <f>0.5*((P36-Q36)/60)</f>
        <v/>
      </c>
      <c r="AS36" s="470">
        <f>O36/$G$5*10^((K36-$O$42)/10)</f>
        <v/>
      </c>
      <c r="AT36" s="397">
        <f>IF(AU36=0,0,4.34*(AS36/AU36))</f>
        <v/>
      </c>
      <c r="AU36" s="183">
        <f>O36/60</f>
        <v/>
      </c>
      <c r="AW36" s="496">
        <f>IF((AZ36^2*(I36^2+$G$3^2+$G$4^2)&gt;0),(AZ36^2*(I36^2+$G$3^2+$G$4^2)),0)</f>
        <v/>
      </c>
      <c r="AX36" s="297">
        <f>IF(AW36=0,0,(BA36*AY36)^2)</f>
        <v/>
      </c>
      <c r="AY36" s="298">
        <f>0.5*((S36-T36)/60)</f>
        <v/>
      </c>
      <c r="AZ36" s="497">
        <f>R36/$G$5*10^((K36-$R$42)/10)</f>
        <v/>
      </c>
      <c r="BA36" s="300">
        <f>IF(BB36=0,0,4.34*(AZ36/BB36))</f>
        <v/>
      </c>
      <c r="BB36" s="300">
        <f>R36/60</f>
        <v/>
      </c>
      <c r="BD36" s="496">
        <f>IF((BG36^2*(I36^2+$G$3^2+$G$4^2)&gt;0),(BG36^2*(I36^2+$G$3^2+$G$4^2)),0)</f>
        <v/>
      </c>
      <c r="BE36" s="297">
        <f>IF(BD36=0,0,(BH36*BF36)^2)</f>
        <v/>
      </c>
      <c r="BF36" s="298">
        <f>0.5*((V36-W36)/60)</f>
        <v/>
      </c>
      <c r="BG36" s="497">
        <f>U36/$G$5*10^((K36-$U$42)/10)</f>
        <v/>
      </c>
      <c r="BH36" s="300">
        <f>IF(BI36=0,0,4.34*(BG36/BI36))</f>
        <v/>
      </c>
      <c r="BI36" s="300">
        <f>U36/60</f>
        <v/>
      </c>
      <c r="BK36" s="496">
        <f>IF((BN36^2*(I36^2+$G$3^2+$G$4^2)&gt;0),(BN36^2*(I36^2+$G$3^2+$G$4^2)),0)</f>
        <v/>
      </c>
      <c r="BL36" s="297">
        <f>IF(BK36=0,0,(BO36*BM36)^2)</f>
        <v/>
      </c>
      <c r="BM36" s="298">
        <f>0.5*((Y36-Z36)/60)</f>
        <v/>
      </c>
      <c r="BN36" s="497">
        <f>(X36/$G$5)*(10^((K36-$X$42)*0.1))</f>
        <v/>
      </c>
      <c r="BO36" s="300">
        <f>IF(BP36=0,0,(4.34*(BN36/BP36)))</f>
        <v/>
      </c>
      <c r="BP36" s="300">
        <f>X36/60</f>
        <v/>
      </c>
      <c r="BR36" s="496">
        <f>IF((BU36^2*(I36^2+$G$3^2+$G$4^2)&gt;0),(BU36^2*(I36^2+$G$3^2+$G$4^2)),0)</f>
        <v/>
      </c>
      <c r="BS36" s="297">
        <f>IF(BR36=0,0,(BV36*BT36)^2)</f>
        <v/>
      </c>
      <c r="BT36" s="298">
        <f>0.5*((AB36-AC36)/60)</f>
        <v/>
      </c>
      <c r="BU36" s="497">
        <f>AA36/$G$5*10^((K36-$AA$42)/10)</f>
        <v/>
      </c>
      <c r="BV36" s="300">
        <f>IF(BW36=0,0,4.34*(BU36/BW36))</f>
        <v/>
      </c>
      <c r="BW36" s="300">
        <f>AA36/60</f>
        <v/>
      </c>
      <c r="BY36" s="496">
        <f>IF((CB36^2*(I36^2+$G$3^2+$G$4^2)&gt;0),(CB36^2*(I36^2+$G$3^2+$G$4^2)),0)</f>
        <v/>
      </c>
      <c r="BZ36" s="297">
        <f>IF(BY36=0,0,(CC36*CA36)^2)</f>
        <v/>
      </c>
      <c r="CA36" s="298">
        <f>0.5*((AE36-AF36)/60)</f>
        <v/>
      </c>
      <c r="CB36" s="497">
        <f>AD36/$G$5*10^((K36-$AD$42)/10)</f>
        <v/>
      </c>
      <c r="CC36" s="300">
        <f>IF(CD36=0,0,4.34*(CB36/CD36))</f>
        <v/>
      </c>
      <c r="CD36" s="300">
        <f>AD36/60</f>
        <v/>
      </c>
      <c r="CF36" s="496">
        <f>IF((CI36^2*(I36^2+$G$3^2+$G$4^2)&gt;0),(CI36^2*(I36^2+$G$3^2+$G$4^2)),0)</f>
        <v/>
      </c>
      <c r="CG36" s="297">
        <f>IF(CF36=0,0,(CJ36*CH36)^2)</f>
        <v/>
      </c>
      <c r="CH36" s="298">
        <f>0.5*((AH36-AI36)/60)</f>
        <v/>
      </c>
      <c r="CI36" s="497">
        <f>AG36/$G$5*10^((K36-$AG$42)/10)</f>
        <v/>
      </c>
      <c r="CJ36" s="300">
        <f>IF(CK36=0,0,4.34*(CI36/CK36))</f>
        <v/>
      </c>
      <c r="CK36" s="300">
        <f>AG36/60</f>
        <v/>
      </c>
      <c r="CN36" s="183">
        <f>O36/$G$5*10^(K36/10)</f>
        <v/>
      </c>
      <c r="CO36" s="183">
        <f>R36/$G$5*10^(K36/10)</f>
        <v/>
      </c>
      <c r="CP36" s="183">
        <f>U36/$G$5*10^(K36/10)</f>
        <v/>
      </c>
      <c r="CQ36" s="183">
        <f>X36/$G$5*10^(K36/10)</f>
        <v/>
      </c>
      <c r="CR36" s="183">
        <f>AA36/$G$5*10^(K36/10)</f>
        <v/>
      </c>
      <c r="CS36" s="183">
        <f>AD36/$G$5*10^(K36/10)</f>
        <v/>
      </c>
      <c r="CT36" s="183">
        <f>AG36/$G$5*10^(K36/10)</f>
        <v/>
      </c>
      <c r="CU36" s="183">
        <f>O36/$G$5*10^(AM36/10)</f>
        <v/>
      </c>
      <c r="CV36" s="183">
        <f>R36/$G$5*10^(AM36/10)</f>
        <v/>
      </c>
      <c r="CW36" s="183">
        <f>U36/$G$5*10^(AM36/10)</f>
        <v/>
      </c>
      <c r="CX36" s="183">
        <f>X36/$G$5*10^(AM36/10)</f>
        <v/>
      </c>
      <c r="CY36" s="183">
        <f>AA36/$G$5*10^(AM36/10)</f>
        <v/>
      </c>
      <c r="CZ36" s="183">
        <f>AD36/$G$5*10^(AM36/10)</f>
        <v/>
      </c>
      <c r="DA36" s="183">
        <f>AG36/$G$5*10^(AM36/10)</f>
        <v/>
      </c>
      <c r="DB36" s="388">
        <f>IF(K36&gt;80,O36,"")</f>
        <v/>
      </c>
      <c r="DC36" s="388">
        <f>IF(K36&gt;80,O36/$DB$10*10^(L36/10),"")</f>
        <v/>
      </c>
      <c r="DD36" s="388">
        <f>IF(K36&gt;80,O36/$DB$10*10^(K36/10),"")</f>
        <v/>
      </c>
      <c r="DF36" s="184" t="n"/>
    </row>
    <row r="37" hidden="1" ht="27" customHeight="1" s="444">
      <c r="C37" s="264">
        <f>IF(AK37="0","T",IF((K37-AK37)&lt;65,"I",IF((K37-AK37)&lt;70,"K",IF((K37-AK37)&lt;75,"J",IF((K37-AK37)&lt;80,"K","L")))))</f>
        <v/>
      </c>
      <c r="D37" s="273">
        <f>IF(J37&lt;135,"T",IF((J37-$J$69)&lt;135,"J","L"))</f>
        <v/>
      </c>
      <c r="E37" s="267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IF(AND($O$47&gt;87,K37&gt;80),AK37,0)</f>
        <v/>
      </c>
      <c r="N37" s="262">
        <f>IF(M37=0,"",K37-M37)</f>
        <v/>
      </c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89" t="n"/>
      <c r="AK37" s="151">
        <f>IF(K37&lt;80,"0",IF((L37-K37)&lt;=2,($L$66-(($K$66-$L$66)/4)*(L37-K37-2)),($L$66-(($L$66-$M$66)/8)*(L37-K37-2))))</f>
        <v/>
      </c>
      <c r="AL37" s="111">
        <f>IF(J37&lt;135,"",J37-$J$69)</f>
        <v/>
      </c>
      <c r="AM37" s="111">
        <f>K37-AK37</f>
        <v/>
      </c>
      <c r="AN37" s="151">
        <f>O37/$G$5*10^(AM37/10)</f>
        <v/>
      </c>
      <c r="AO37" s="84" t="n"/>
      <c r="AP37" s="469">
        <f>IF((AS37^2*(I37^2+$G$3^2+$G$4^2)&gt;0),(AS37^2*(I37^2+$G$3^2+$G$4^2)),0)</f>
        <v/>
      </c>
      <c r="AQ37" s="180">
        <f>IF(AP37=0,0,(AT37*AR37)^2)</f>
        <v/>
      </c>
      <c r="AR37" s="181">
        <f>0.5*((P37-Q37)/60)</f>
        <v/>
      </c>
      <c r="AS37" s="470">
        <f>O37/$G$5*10^((K37-$O$42)/10)</f>
        <v/>
      </c>
      <c r="AT37" s="397">
        <f>IF(AU37=0,0,4.34*(AS37/AU37))</f>
        <v/>
      </c>
      <c r="AU37" s="183">
        <f>O37/60</f>
        <v/>
      </c>
      <c r="AW37" s="496">
        <f>IF((AZ37^2*(I37^2+$G$3^2+$G$4^2)&gt;0),(AZ37^2*(I37^2+$G$3^2+$G$4^2)),0)</f>
        <v/>
      </c>
      <c r="AX37" s="297">
        <f>IF(AW37=0,0,(BA37*AY37)^2)</f>
        <v/>
      </c>
      <c r="AY37" s="298">
        <f>0.5*((S37-T37)/60)</f>
        <v/>
      </c>
      <c r="AZ37" s="497">
        <f>R37/$G$5*10^((K37-$R$42)/10)</f>
        <v/>
      </c>
      <c r="BA37" s="300">
        <f>IF(BB37=0,0,4.34*(AZ37/BB37))</f>
        <v/>
      </c>
      <c r="BB37" s="300">
        <f>R37/60</f>
        <v/>
      </c>
      <c r="BD37" s="496">
        <f>IF((BG37^2*(I37^2+$G$3^2+$G$4^2)&gt;0),(BG37^2*(I37^2+$G$3^2+$G$4^2)),0)</f>
        <v/>
      </c>
      <c r="BE37" s="297">
        <f>IF(BD37=0,0,(BH37*BF37)^2)</f>
        <v/>
      </c>
      <c r="BF37" s="298">
        <f>0.5*((V37-W37)/60)</f>
        <v/>
      </c>
      <c r="BG37" s="497">
        <f>U37/$G$5*10^((K37-$U$42)/10)</f>
        <v/>
      </c>
      <c r="BH37" s="300">
        <f>IF(BI37=0,0,4.34*(BG37/BI37))</f>
        <v/>
      </c>
      <c r="BI37" s="300">
        <f>U37/60</f>
        <v/>
      </c>
      <c r="BK37" s="496">
        <f>IF((BN37^2*(I37^2+$G$3^2+$G$4^2)&gt;0),(BN37^2*(I37^2+$G$3^2+$G$4^2)),0)</f>
        <v/>
      </c>
      <c r="BL37" s="297">
        <f>IF(BK37=0,0,(BO37*BM37)^2)</f>
        <v/>
      </c>
      <c r="BM37" s="298">
        <f>0.5*((Y37-Z37)/60)</f>
        <v/>
      </c>
      <c r="BN37" s="497">
        <f>(X37/$G$5)*(10^((K37-$X$42)*0.1))</f>
        <v/>
      </c>
      <c r="BO37" s="300">
        <f>IF(BP37=0,0,(4.34*(BN37/BP37)))</f>
        <v/>
      </c>
      <c r="BP37" s="300">
        <f>X37/60</f>
        <v/>
      </c>
      <c r="BR37" s="496">
        <f>IF((BU37^2*(I37^2+$G$3^2+$G$4^2)&gt;0),(BU37^2*(I37^2+$G$3^2+$G$4^2)),0)</f>
        <v/>
      </c>
      <c r="BS37" s="297">
        <f>IF(BR37=0,0,(BV37*BT37)^2)</f>
        <v/>
      </c>
      <c r="BT37" s="298">
        <f>0.5*((AB37-AC37)/60)</f>
        <v/>
      </c>
      <c r="BU37" s="497">
        <f>AA37/$G$5*10^((K37-$AA$42)/10)</f>
        <v/>
      </c>
      <c r="BV37" s="300">
        <f>IF(BW37=0,0,4.34*(BU37/BW37))</f>
        <v/>
      </c>
      <c r="BW37" s="300">
        <f>AA37/60</f>
        <v/>
      </c>
      <c r="BY37" s="496">
        <f>IF((CB37^2*(I37^2+$G$3^2+$G$4^2)&gt;0),(CB37^2*(I37^2+$G$3^2+$G$4^2)),0)</f>
        <v/>
      </c>
      <c r="BZ37" s="297">
        <f>IF(BY37=0,0,(CC37*CA37)^2)</f>
        <v/>
      </c>
      <c r="CA37" s="298">
        <f>0.5*((AE37-AF37)/60)</f>
        <v/>
      </c>
      <c r="CB37" s="497">
        <f>AD37/$G$5*10^((K37-$AD$42)/10)</f>
        <v/>
      </c>
      <c r="CC37" s="300">
        <f>IF(CD37=0,0,4.34*(CB37/CD37))</f>
        <v/>
      </c>
      <c r="CD37" s="300">
        <f>AD37/60</f>
        <v/>
      </c>
      <c r="CF37" s="496">
        <f>IF((CI37^2*(I37^2+$G$3^2+$G$4^2)&gt;0),(CI37^2*(I37^2+$G$3^2+$G$4^2)),0)</f>
        <v/>
      </c>
      <c r="CG37" s="297">
        <f>IF(CF37=0,0,(CJ37*CH37)^2)</f>
        <v/>
      </c>
      <c r="CH37" s="298">
        <f>0.5*((AH37-AI37)/60)</f>
        <v/>
      </c>
      <c r="CI37" s="497">
        <f>AG37/$G$5*10^((K37-$AG$42)/10)</f>
        <v/>
      </c>
      <c r="CJ37" s="300">
        <f>IF(CK37=0,0,4.34*(CI37/CK37))</f>
        <v/>
      </c>
      <c r="CK37" s="300">
        <f>AG37/60</f>
        <v/>
      </c>
      <c r="CN37" s="183">
        <f>O37/$G$5*10^(K37/10)</f>
        <v/>
      </c>
      <c r="CO37" s="183">
        <f>R37/$G$5*10^(K37/10)</f>
        <v/>
      </c>
      <c r="CP37" s="183">
        <f>U37/$G$5*10^(K37/10)</f>
        <v/>
      </c>
      <c r="CQ37" s="183">
        <f>X37/$G$5*10^(K37/10)</f>
        <v/>
      </c>
      <c r="CR37" s="183">
        <f>AA37/$G$5*10^(K37/10)</f>
        <v/>
      </c>
      <c r="CS37" s="183">
        <f>AD37/$G$5*10^(K37/10)</f>
        <v/>
      </c>
      <c r="CT37" s="183">
        <f>AG37/$G$5*10^(K37/10)</f>
        <v/>
      </c>
      <c r="CU37" s="183">
        <f>O37/$G$5*10^(AM37/10)</f>
        <v/>
      </c>
      <c r="CV37" s="183">
        <f>R37/$G$5*10^(AM37/10)</f>
        <v/>
      </c>
      <c r="CW37" s="183">
        <f>U37/$G$5*10^(AM37/10)</f>
        <v/>
      </c>
      <c r="CX37" s="183">
        <f>X37/$G$5*10^(AM37/10)</f>
        <v/>
      </c>
      <c r="CY37" s="183">
        <f>AA37/$G$5*10^(AM37/10)</f>
        <v/>
      </c>
      <c r="CZ37" s="183">
        <f>AD37/$G$5*10^(AM37/10)</f>
        <v/>
      </c>
      <c r="DA37" s="183">
        <f>AG37/$G$5*10^(AM37/10)</f>
        <v/>
      </c>
      <c r="DB37" s="388">
        <f>IF(K37&gt;80,O37,"")</f>
        <v/>
      </c>
      <c r="DC37" s="388">
        <f>IF(K37&gt;80,O37/$DB$10*10^(L37/10),"")</f>
        <v/>
      </c>
      <c r="DD37" s="388">
        <f>IF(K37&gt;80,O37/$DB$10*10^(K37/10),"")</f>
        <v/>
      </c>
      <c r="DF37" s="184" t="n"/>
    </row>
    <row r="38" hidden="1" ht="27" customHeight="1" s="444">
      <c r="C38" s="264">
        <f>IF(AK38="0","T",IF((K38-AK38)&lt;65,"I",IF((K38-AK38)&lt;70,"K",IF((K38-AK38)&lt;75,"J",IF((K38-AK38)&lt;80,"K","L")))))</f>
        <v/>
      </c>
      <c r="D38" s="273">
        <f>IF(J38&lt;135,"T",IF((J38-$J$69)&lt;135,"J","L"))</f>
        <v/>
      </c>
      <c r="E38" s="267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IF(AND($O$47&gt;87,K38&gt;80),AK38,0)</f>
        <v/>
      </c>
      <c r="N38" s="262">
        <f>IF(M38=0,"",K38-M38)</f>
        <v/>
      </c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89" t="n"/>
      <c r="AK38" s="151">
        <f>IF(K38&lt;80,"0",IF((L38-K38)&lt;=2,($L$66-(($K$66-$L$66)/4)*(L38-K38-2)),($L$66-(($L$66-$M$66)/8)*(L38-K38-2))))</f>
        <v/>
      </c>
      <c r="AL38" s="111">
        <f>IF(J38&lt;135,"",J38-$J$69)</f>
        <v/>
      </c>
      <c r="AM38" s="111">
        <f>K38-AK38</f>
        <v/>
      </c>
      <c r="AN38" s="151">
        <f>O38/$G$5*10^(AM38/10)</f>
        <v/>
      </c>
      <c r="AO38" s="84" t="n"/>
      <c r="AP38" s="469">
        <f>IF((AS38^2*(I38^2+$G$3^2+$G$4^2)&gt;0),(AS38^2*(I38^2+$G$3^2+$G$4^2)),0)</f>
        <v/>
      </c>
      <c r="AQ38" s="180">
        <f>IF(AP38=0,0,(AT38*AR38)^2)</f>
        <v/>
      </c>
      <c r="AR38" s="181">
        <f>0.5*((P38-Q38)/60)</f>
        <v/>
      </c>
      <c r="AS38" s="470">
        <f>O38/$G$5*10^((K38-$O$42)/10)</f>
        <v/>
      </c>
      <c r="AT38" s="397">
        <f>IF(AU38=0,0,4.34*(AS38/AU38))</f>
        <v/>
      </c>
      <c r="AU38" s="183">
        <f>O38/60</f>
        <v/>
      </c>
      <c r="AW38" s="496">
        <f>IF((AZ38^2*(I38^2+$G$3^2+$G$4^2)&gt;0),(AZ38^2*(I38^2+$G$3^2+$G$4^2)),0)</f>
        <v/>
      </c>
      <c r="AX38" s="297">
        <f>IF(AW38=0,0,(BA38*AY38)^2)</f>
        <v/>
      </c>
      <c r="AY38" s="298">
        <f>0.5*((S38-T38)/60)</f>
        <v/>
      </c>
      <c r="AZ38" s="497">
        <f>R38/$G$5*10^((K38-$R$42)/10)</f>
        <v/>
      </c>
      <c r="BA38" s="300">
        <f>IF(BB38=0,0,4.34*(AZ38/BB38))</f>
        <v/>
      </c>
      <c r="BB38" s="300">
        <f>R38/60</f>
        <v/>
      </c>
      <c r="BD38" s="496">
        <f>IF((BG38^2*(I38^2+$G$3^2+$G$4^2)&gt;0),(BG38^2*(I38^2+$G$3^2+$G$4^2)),0)</f>
        <v/>
      </c>
      <c r="BE38" s="297">
        <f>IF(BD38=0,0,(BH38*BF38)^2)</f>
        <v/>
      </c>
      <c r="BF38" s="298">
        <f>0.5*((V38-W38)/60)</f>
        <v/>
      </c>
      <c r="BG38" s="497">
        <f>U38/$G$5*10^((K38-$U$42)/10)</f>
        <v/>
      </c>
      <c r="BH38" s="300">
        <f>IF(BI38=0,0,4.34*(BG38/BI38))</f>
        <v/>
      </c>
      <c r="BI38" s="300">
        <f>U38/60</f>
        <v/>
      </c>
      <c r="BK38" s="496">
        <f>IF((BN38^2*(I38^2+$G$3^2+$G$4^2)&gt;0),(BN38^2*(I38^2+$G$3^2+$G$4^2)),0)</f>
        <v/>
      </c>
      <c r="BL38" s="297">
        <f>IF(BK38=0,0,(BO38*BM38)^2)</f>
        <v/>
      </c>
      <c r="BM38" s="298">
        <f>0.5*((Y38-Z38)/60)</f>
        <v/>
      </c>
      <c r="BN38" s="497">
        <f>(X38/$G$5)*(10^((K38-$X$42)*0.1))</f>
        <v/>
      </c>
      <c r="BO38" s="300">
        <f>IF(BP38=0,0,(4.34*(BN38/BP38)))</f>
        <v/>
      </c>
      <c r="BP38" s="300">
        <f>X38/60</f>
        <v/>
      </c>
      <c r="BR38" s="496">
        <f>IF((BU38^2*(I38^2+$G$3^2+$G$4^2)&gt;0),(BU38^2*(I38^2+$G$3^2+$G$4^2)),0)</f>
        <v/>
      </c>
      <c r="BS38" s="297">
        <f>IF(BR38=0,0,(BV38*BT38)^2)</f>
        <v/>
      </c>
      <c r="BT38" s="298">
        <f>0.5*((AB38-AC38)/60)</f>
        <v/>
      </c>
      <c r="BU38" s="497">
        <f>AA38/$G$5*10^((K38-$AA$42)/10)</f>
        <v/>
      </c>
      <c r="BV38" s="300">
        <f>IF(BW38=0,0,4.34*(BU38/BW38))</f>
        <v/>
      </c>
      <c r="BW38" s="300">
        <f>AA38/60</f>
        <v/>
      </c>
      <c r="BY38" s="496">
        <f>IF((CB38^2*(I38^2+$G$3^2+$G$4^2)&gt;0),(CB38^2*(I38^2+$G$3^2+$G$4^2)),0)</f>
        <v/>
      </c>
      <c r="BZ38" s="297">
        <f>IF(BY38=0,0,(CC38*CA38)^2)</f>
        <v/>
      </c>
      <c r="CA38" s="298">
        <f>0.5*((AE38-AF38)/60)</f>
        <v/>
      </c>
      <c r="CB38" s="497">
        <f>AD38/$G$5*10^((K38-$AD$42)/10)</f>
        <v/>
      </c>
      <c r="CC38" s="300">
        <f>IF(CD38=0,0,4.34*(CB38/CD38))</f>
        <v/>
      </c>
      <c r="CD38" s="300">
        <f>AD38/60</f>
        <v/>
      </c>
      <c r="CF38" s="496">
        <f>IF((CI38^2*(I38^2+$G$3^2+$G$4^2)&gt;0),(CI38^2*(I38^2+$G$3^2+$G$4^2)),0)</f>
        <v/>
      </c>
      <c r="CG38" s="297">
        <f>IF(CF38=0,0,(CJ38*CH38)^2)</f>
        <v/>
      </c>
      <c r="CH38" s="298">
        <f>0.5*((AH38-AI38)/60)</f>
        <v/>
      </c>
      <c r="CI38" s="497">
        <f>AG38/$G$5*10^((K38-$AG$42)/10)</f>
        <v/>
      </c>
      <c r="CJ38" s="300">
        <f>IF(CK38=0,0,4.34*(CI38/CK38))</f>
        <v/>
      </c>
      <c r="CK38" s="300">
        <f>AG38/60</f>
        <v/>
      </c>
      <c r="CN38" s="183">
        <f>O38/$G$5*10^(K38/10)</f>
        <v/>
      </c>
      <c r="CO38" s="183">
        <f>R38/$G$5*10^(K38/10)</f>
        <v/>
      </c>
      <c r="CP38" s="183">
        <f>U38/$G$5*10^(K38/10)</f>
        <v/>
      </c>
      <c r="CQ38" s="183">
        <f>X38/$G$5*10^(K38/10)</f>
        <v/>
      </c>
      <c r="CR38" s="183">
        <f>AA38/$G$5*10^(K38/10)</f>
        <v/>
      </c>
      <c r="CS38" s="183">
        <f>AD38/$G$5*10^(K38/10)</f>
        <v/>
      </c>
      <c r="CT38" s="183">
        <f>AG38/$G$5*10^(K38/10)</f>
        <v/>
      </c>
      <c r="CU38" s="183">
        <f>O38/$G$5*10^(AM38/10)</f>
        <v/>
      </c>
      <c r="CV38" s="183">
        <f>R38/$G$5*10^(AM38/10)</f>
        <v/>
      </c>
      <c r="CW38" s="183">
        <f>U38/$G$5*10^(AM38/10)</f>
        <v/>
      </c>
      <c r="CX38" s="183">
        <f>X38/$G$5*10^(AM38/10)</f>
        <v/>
      </c>
      <c r="CY38" s="183">
        <f>AA38/$G$5*10^(AM38/10)</f>
        <v/>
      </c>
      <c r="CZ38" s="183">
        <f>AD38/$G$5*10^(AM38/10)</f>
        <v/>
      </c>
      <c r="DA38" s="183">
        <f>AG38/$G$5*10^(AM38/10)</f>
        <v/>
      </c>
      <c r="DB38" s="388">
        <f>IF(K38&gt;80,O38,"")</f>
        <v/>
      </c>
      <c r="DC38" s="388">
        <f>IF(K38&gt;80,O38/$DB$10*10^(L38/10),"")</f>
        <v/>
      </c>
      <c r="DD38" s="388">
        <f>IF(K38&gt;80,O38/$DB$10*10^(K38/10),"")</f>
        <v/>
      </c>
      <c r="DF38" s="184" t="n"/>
    </row>
    <row r="39" hidden="1" ht="27" customHeight="1" s="444">
      <c r="C39" s="264">
        <f>IF(AK39="0","T",IF((K39-AK39)&lt;65,"I",IF((K39-AK39)&lt;70,"K",IF((K39-AK39)&lt;75,"J",IF((K39-AK39)&lt;80,"K","L")))))</f>
        <v/>
      </c>
      <c r="D39" s="273">
        <f>IF(J39&lt;135,"T",IF((J39-$J$69)&lt;135,"J","L"))</f>
        <v/>
      </c>
      <c r="E39" s="267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IF(AND($O$47&gt;87,K39&gt;80),AK39,0)</f>
        <v/>
      </c>
      <c r="N39" s="262">
        <f>IF(M39=0,"",K39-M39)</f>
        <v/>
      </c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89" t="n"/>
      <c r="AK39" s="151">
        <f>IF(K39&lt;80,"0",IF((L39-K39)&lt;=2,($L$66-(($K$66-$L$66)/4)*(L39-K39-2)),($L$66-(($L$66-$M$66)/8)*(L39-K39-2))))</f>
        <v/>
      </c>
      <c r="AL39" s="111">
        <f>IF(J39&lt;135,"",J39-$J$69)</f>
        <v/>
      </c>
      <c r="AM39" s="111">
        <f>K39-AK39</f>
        <v/>
      </c>
      <c r="AN39" s="151">
        <f>O39/$G$5*10^(AM39/10)</f>
        <v/>
      </c>
      <c r="AO39" s="84" t="n"/>
      <c r="AP39" s="469">
        <f>IF((AS39^2*(I39^2+$G$3^2+$G$4^2)&gt;0),(AS39^2*(I39^2+$G$3^2+$G$4^2)),0)</f>
        <v/>
      </c>
      <c r="AQ39" s="180">
        <f>IF(AP39=0,0,(AT39*AR39)^2)</f>
        <v/>
      </c>
      <c r="AR39" s="181">
        <f>0.5*((P39-Q39)/60)</f>
        <v/>
      </c>
      <c r="AS39" s="470">
        <f>O39/$G$5*10^((K39-$O$42)/10)</f>
        <v/>
      </c>
      <c r="AT39" s="397">
        <f>IF(AU39=0,0,4.34*(AS39/AU39))</f>
        <v/>
      </c>
      <c r="AU39" s="183">
        <f>O39/60</f>
        <v/>
      </c>
      <c r="AW39" s="496">
        <f>IF((AZ39^2*(I39^2+$G$3^2+$G$4^2)&gt;0),(AZ39^2*(I39^2+$G$3^2+$G$4^2)),0)</f>
        <v/>
      </c>
      <c r="AX39" s="297">
        <f>IF(AW39=0,0,(BA39*AY39)^2)</f>
        <v/>
      </c>
      <c r="AY39" s="298">
        <f>0.5*((S39-T39)/60)</f>
        <v/>
      </c>
      <c r="AZ39" s="497">
        <f>R39/$G$5*10^((K39-$R$42)/10)</f>
        <v/>
      </c>
      <c r="BA39" s="300">
        <f>IF(BB39=0,0,4.34*(AZ39/BB39))</f>
        <v/>
      </c>
      <c r="BB39" s="300">
        <f>R39/60</f>
        <v/>
      </c>
      <c r="BD39" s="496">
        <f>IF((BG39^2*(I39^2+$G$3^2+$G$4^2)&gt;0),(BG39^2*(I39^2+$G$3^2+$G$4^2)),0)</f>
        <v/>
      </c>
      <c r="BE39" s="297">
        <f>IF(BD39=0,0,(BH39*BF39)^2)</f>
        <v/>
      </c>
      <c r="BF39" s="298">
        <f>0.5*((V39-W39)/60)</f>
        <v/>
      </c>
      <c r="BG39" s="497">
        <f>U39/$G$5*10^((K39-$U$42)/10)</f>
        <v/>
      </c>
      <c r="BH39" s="300">
        <f>IF(BI39=0,0,4.34*(BG39/BI39))</f>
        <v/>
      </c>
      <c r="BI39" s="300">
        <f>U39/60</f>
        <v/>
      </c>
      <c r="BK39" s="496">
        <f>IF((BN39^2*(I39^2+$G$3^2+$G$4^2)&gt;0),(BN39^2*(I39^2+$G$3^2+$G$4^2)),0)</f>
        <v/>
      </c>
      <c r="BL39" s="297">
        <f>IF(BK39=0,0,(BO39*BM39)^2)</f>
        <v/>
      </c>
      <c r="BM39" s="298">
        <f>0.5*((Y39-Z39)/60)</f>
        <v/>
      </c>
      <c r="BN39" s="497">
        <f>(X39/$G$5)*(10^((K39-$X$42)*0.1))</f>
        <v/>
      </c>
      <c r="BO39" s="300">
        <f>IF(BP39=0,0,(4.34*(BN39/BP39)))</f>
        <v/>
      </c>
      <c r="BP39" s="300">
        <f>X39/60</f>
        <v/>
      </c>
      <c r="BR39" s="496">
        <f>IF((BU39^2*(I39^2+$G$3^2+$G$4^2)&gt;0),(BU39^2*(I39^2+$G$3^2+$G$4^2)),0)</f>
        <v/>
      </c>
      <c r="BS39" s="297">
        <f>IF(BR39=0,0,(BV39*BT39)^2)</f>
        <v/>
      </c>
      <c r="BT39" s="298">
        <f>0.5*((AB39-AC39)/60)</f>
        <v/>
      </c>
      <c r="BU39" s="497">
        <f>AA39/$G$5*10^((K39-$AA$42)/10)</f>
        <v/>
      </c>
      <c r="BV39" s="300">
        <f>IF(BW39=0,0,4.34*(BU39/BW39))</f>
        <v/>
      </c>
      <c r="BW39" s="300">
        <f>AA39/60</f>
        <v/>
      </c>
      <c r="BY39" s="496">
        <f>IF((CB39^2*(I39^2+$G$3^2+$G$4^2)&gt;0),(CB39^2*(I39^2+$G$3^2+$G$4^2)),0)</f>
        <v/>
      </c>
      <c r="BZ39" s="297">
        <f>IF(BY39=0,0,(CC39*CA39)^2)</f>
        <v/>
      </c>
      <c r="CA39" s="298">
        <f>0.5*((AE39-AF39)/60)</f>
        <v/>
      </c>
      <c r="CB39" s="497">
        <f>AD39/$G$5*10^((K39-$AD$42)/10)</f>
        <v/>
      </c>
      <c r="CC39" s="300">
        <f>IF(CD39=0,0,4.34*(CB39/CD39))</f>
        <v/>
      </c>
      <c r="CD39" s="300">
        <f>AD39/60</f>
        <v/>
      </c>
      <c r="CF39" s="496">
        <f>IF((CI39^2*(I39^2+$G$3^2+$G$4^2)&gt;0),(CI39^2*(I39^2+$G$3^2+$G$4^2)),0)</f>
        <v/>
      </c>
      <c r="CG39" s="297">
        <f>IF(CF39=0,0,(CJ39*CH39)^2)</f>
        <v/>
      </c>
      <c r="CH39" s="298">
        <f>0.5*((AH39-AI39)/60)</f>
        <v/>
      </c>
      <c r="CI39" s="497">
        <f>AG39/$G$5*10^((K39-$AG$42)/10)</f>
        <v/>
      </c>
      <c r="CJ39" s="300">
        <f>IF(CK39=0,0,4.34*(CI39/CK39))</f>
        <v/>
      </c>
      <c r="CK39" s="300">
        <f>AG39/60</f>
        <v/>
      </c>
      <c r="CN39" s="183">
        <f>O39/$G$5*10^(K39/10)</f>
        <v/>
      </c>
      <c r="CO39" s="183">
        <f>R39/$G$5*10^(K39/10)</f>
        <v/>
      </c>
      <c r="CP39" s="183">
        <f>U39/$G$5*10^(K39/10)</f>
        <v/>
      </c>
      <c r="CQ39" s="183">
        <f>X39/$G$5*10^(K39/10)</f>
        <v/>
      </c>
      <c r="CR39" s="183">
        <f>AA39/$G$5*10^(K39/10)</f>
        <v/>
      </c>
      <c r="CS39" s="183">
        <f>AD39/$G$5*10^(K39/10)</f>
        <v/>
      </c>
      <c r="CT39" s="183">
        <f>AG39/$G$5*10^(K39/10)</f>
        <v/>
      </c>
      <c r="CU39" s="183">
        <f>O39/$G$5*10^(AM39/10)</f>
        <v/>
      </c>
      <c r="CV39" s="183">
        <f>R39/$G$5*10^(AM39/10)</f>
        <v/>
      </c>
      <c r="CW39" s="183">
        <f>U39/$G$5*10^(AM39/10)</f>
        <v/>
      </c>
      <c r="CX39" s="183">
        <f>X39/$G$5*10^(AM39/10)</f>
        <v/>
      </c>
      <c r="CY39" s="183">
        <f>AA39/$G$5*10^(AM39/10)</f>
        <v/>
      </c>
      <c r="CZ39" s="183">
        <f>AD39/$G$5*10^(AM39/10)</f>
        <v/>
      </c>
      <c r="DA39" s="183">
        <f>AG39/$G$5*10^(AM39/10)</f>
        <v/>
      </c>
      <c r="DB39" s="388">
        <f>IF(K39&gt;80,O39,"")</f>
        <v/>
      </c>
      <c r="DC39" s="388">
        <f>IF(K39&gt;80,O39/$DB$10*10^(L39/10),"")</f>
        <v/>
      </c>
      <c r="DD39" s="388">
        <f>IF(K39&gt;80,O39/$DB$10*10^(K39/10),"")</f>
        <v/>
      </c>
      <c r="DF39" s="184" t="n"/>
    </row>
    <row r="40" hidden="1" ht="27" customHeight="1" s="444">
      <c r="C40" s="264">
        <f>IF(AK40="0","T",IF((K40-AK40)&lt;65,"I",IF((K40-AK40)&lt;70,"K",IF((K40-AK40)&lt;75,"J",IF((K40-AK40)&lt;80,"K","L")))))</f>
        <v/>
      </c>
      <c r="D40" s="273">
        <f>IF(J40&lt;135,"T",IF((J40-$J$69)&lt;135,"J","L"))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IF(AND($O$47&gt;87,K40&gt;80),AK40,0)</f>
        <v/>
      </c>
      <c r="N40" s="262">
        <f>IF(M40=0,"",K40-M40)</f>
        <v/>
      </c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89" t="n"/>
      <c r="AK40" s="151">
        <f>IF(K40&lt;80,"0",IF((L40-K40)&lt;=2,($L$66-(($K$66-$L$66)/4)*(L40-K40-2)),($L$66-(($L$66-$M$66)/8)*(L40-K40-2))))</f>
        <v/>
      </c>
      <c r="AL40" s="111">
        <f>IF(J40&lt;135,"",J40-$J$69)</f>
        <v/>
      </c>
      <c r="AM40" s="111">
        <f>K40-AK40</f>
        <v/>
      </c>
      <c r="AN40" s="151">
        <f>O40/$G$5*10^(AM40/10)</f>
        <v/>
      </c>
      <c r="AO40" s="84" t="n"/>
      <c r="AP40" s="469">
        <f>IF((AS40^2*(I40^2+$G$3^2+$G$4^2)&gt;0),(AS40^2*(I40^2+$G$3^2+$G$4^2)),0)</f>
        <v/>
      </c>
      <c r="AQ40" s="180">
        <f>IF(AP40=0,0,(AT40*AR40)^2)</f>
        <v/>
      </c>
      <c r="AR40" s="181">
        <f>0.5*((P40-Q40)/60)</f>
        <v/>
      </c>
      <c r="AS40" s="470">
        <f>O40/$G$5*10^((K40-$O$42)/10)</f>
        <v/>
      </c>
      <c r="AT40" s="397">
        <f>IF(AU40=0,0,4.34*(AS40/AU40))</f>
        <v/>
      </c>
      <c r="AU40" s="183">
        <f>O40/60</f>
        <v/>
      </c>
      <c r="AW40" s="496">
        <f>IF((AZ40^2*(I40^2+$G$3^2+$G$4^2)&gt;0),(AZ40^2*(I40^2+$G$3^2+$G$4^2)),0)</f>
        <v/>
      </c>
      <c r="AX40" s="297">
        <f>IF(AW40=0,0,(BA40*AY40)^2)</f>
        <v/>
      </c>
      <c r="AY40" s="298">
        <f>0.5*((S40-T40)/60)</f>
        <v/>
      </c>
      <c r="AZ40" s="497">
        <f>R40/$G$5*10^((K40-$R$42)/10)</f>
        <v/>
      </c>
      <c r="BA40" s="300">
        <f>IF(BB40=0,0,4.34*(AZ40/BB40))</f>
        <v/>
      </c>
      <c r="BB40" s="300">
        <f>R40/60</f>
        <v/>
      </c>
      <c r="BD40" s="496">
        <f>IF((BG40^2*(I40^2+$G$3^2+$G$4^2)&gt;0),(BG40^2*(I40^2+$G$3^2+$G$4^2)),0)</f>
        <v/>
      </c>
      <c r="BE40" s="297">
        <f>IF(BD40=0,0,(BH40*BF40)^2)</f>
        <v/>
      </c>
      <c r="BF40" s="298">
        <f>0.5*((V40-W40)/60)</f>
        <v/>
      </c>
      <c r="BG40" s="497">
        <f>U40/$G$5*10^((K40-$U$42)/10)</f>
        <v/>
      </c>
      <c r="BH40" s="300">
        <f>IF(BI40=0,0,4.34*(BG40/BI40))</f>
        <v/>
      </c>
      <c r="BI40" s="300">
        <f>U40/60</f>
        <v/>
      </c>
      <c r="BK40" s="496">
        <f>IF((BN40^2*(I40^2+$G$3^2+$G$4^2)&gt;0),(BN40^2*(I40^2+$G$3^2+$G$4^2)),0)</f>
        <v/>
      </c>
      <c r="BL40" s="297">
        <f>IF(BK40=0,0,(BO40*BM40)^2)</f>
        <v/>
      </c>
      <c r="BM40" s="298">
        <f>0.5*((Y40-Z40)/60)</f>
        <v/>
      </c>
      <c r="BN40" s="497">
        <f>(X40/$G$5)*(10^((K40-$X$42)*0.1))</f>
        <v/>
      </c>
      <c r="BO40" s="300">
        <f>IF(BP40=0,0,(4.34*(BN40/BP40)))</f>
        <v/>
      </c>
      <c r="BP40" s="300">
        <f>X40/60</f>
        <v/>
      </c>
      <c r="BR40" s="496">
        <f>IF((BU40^2*(I40^2+$G$3^2+$G$4^2)&gt;0),(BU40^2*(I40^2+$G$3^2+$G$4^2)),0)</f>
        <v/>
      </c>
      <c r="BS40" s="297">
        <f>IF(BR40=0,0,(BV40*BT40)^2)</f>
        <v/>
      </c>
      <c r="BT40" s="298">
        <f>0.5*((AB40-AC40)/60)</f>
        <v/>
      </c>
      <c r="BU40" s="497">
        <f>AA40/$G$5*10^((K40-$AA$42)/10)</f>
        <v/>
      </c>
      <c r="BV40" s="300">
        <f>IF(BW40=0,0,4.34*(BU40/BW40))</f>
        <v/>
      </c>
      <c r="BW40" s="300">
        <f>AA40/60</f>
        <v/>
      </c>
      <c r="BY40" s="496">
        <f>IF((CB40^2*(I40^2+$G$3^2+$G$4^2)&gt;0),(CB40^2*(I40^2+$G$3^2+$G$4^2)),0)</f>
        <v/>
      </c>
      <c r="BZ40" s="297">
        <f>IF(BY40=0,0,(CC40*CA40)^2)</f>
        <v/>
      </c>
      <c r="CA40" s="298">
        <f>0.5*((AE40-AF40)/60)</f>
        <v/>
      </c>
      <c r="CB40" s="497">
        <f>AD40/$G$5*10^((K40-$AD$42)/10)</f>
        <v/>
      </c>
      <c r="CC40" s="300">
        <f>IF(CD40=0,0,4.34*(CB40/CD40))</f>
        <v/>
      </c>
      <c r="CD40" s="300">
        <f>AD40/60</f>
        <v/>
      </c>
      <c r="CF40" s="496">
        <f>IF((CI40^2*(I40^2+$G$3^2+$G$4^2)&gt;0),(CI40^2*(I40^2+$G$3^2+$G$4^2)),0)</f>
        <v/>
      </c>
      <c r="CG40" s="297">
        <f>IF(CF40=0,0,(CJ40*CH40)^2)</f>
        <v/>
      </c>
      <c r="CH40" s="298">
        <f>0.5*((AH40-AI40)/60)</f>
        <v/>
      </c>
      <c r="CI40" s="497">
        <f>AG40/$G$5*10^((K40-$AG$42)/10)</f>
        <v/>
      </c>
      <c r="CJ40" s="300">
        <f>IF(CK40=0,0,4.34*(CI40/CK40))</f>
        <v/>
      </c>
      <c r="CK40" s="300">
        <f>AG40/60</f>
        <v/>
      </c>
      <c r="CN40" s="183">
        <f>O40/$G$5*10^(K40/10)</f>
        <v/>
      </c>
      <c r="CO40" s="183">
        <f>R40/$G$5*10^(K40/10)</f>
        <v/>
      </c>
      <c r="CP40" s="183">
        <f>U40/$G$5*10^(K40/10)</f>
        <v/>
      </c>
      <c r="CQ40" s="183">
        <f>X40/$G$5*10^(K40/10)</f>
        <v/>
      </c>
      <c r="CR40" s="183">
        <f>AA40/$G$5*10^(K40/10)</f>
        <v/>
      </c>
      <c r="CS40" s="183">
        <f>AD40/$G$5*10^(K40/10)</f>
        <v/>
      </c>
      <c r="CT40" s="183">
        <f>AG40/$G$5*10^(K40/10)</f>
        <v/>
      </c>
      <c r="CU40" s="183">
        <f>O40/$G$5*10^(AM40/10)</f>
        <v/>
      </c>
      <c r="CV40" s="183">
        <f>R40/$G$5*10^(AM40/10)</f>
        <v/>
      </c>
      <c r="CW40" s="183">
        <f>U40/$G$5*10^(AM40/10)</f>
        <v/>
      </c>
      <c r="CX40" s="183">
        <f>X40/$G$5*10^(AM40/10)</f>
        <v/>
      </c>
      <c r="CY40" s="183">
        <f>AA40/$G$5*10^(AM40/10)</f>
        <v/>
      </c>
      <c r="CZ40" s="183">
        <f>AD40/$G$5*10^(AM40/10)</f>
        <v/>
      </c>
      <c r="DA40" s="183">
        <f>AG40/$G$5*10^(AM40/10)</f>
        <v/>
      </c>
      <c r="DB40" s="388">
        <f>IF(K40&gt;80,O40,"")</f>
        <v/>
      </c>
      <c r="DC40" s="388">
        <f>IF(K40&gt;80,O40/$DB$10*10^(L40/10),"")</f>
        <v/>
      </c>
      <c r="DD40" s="388">
        <f>IF(K40&gt;80,O40/$DB$10*10^(K40/10),"")</f>
        <v/>
      </c>
      <c r="DF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92">
        <f>SUM(R11:R40)</f>
        <v/>
      </c>
      <c r="T41" s="32" t="n"/>
      <c r="U41" s="92">
        <f>SUM(U11:U40)</f>
        <v/>
      </c>
      <c r="W41" s="32" t="n"/>
      <c r="X41" s="92">
        <f>SUM(X11:X40)</f>
        <v/>
      </c>
      <c r="Z41" s="32" t="n"/>
      <c r="AA41" s="92">
        <f>SUM(AA11:AA40)</f>
        <v/>
      </c>
      <c r="AC41" s="32" t="n"/>
      <c r="AD41" s="92">
        <f>SUM(AD11:AD40)</f>
        <v/>
      </c>
      <c r="AF41" s="32" t="n"/>
      <c r="AG41" s="92">
        <f>SUM(AG11:AG40)</f>
        <v/>
      </c>
      <c r="AI41" s="32" t="n"/>
      <c r="AJ41" s="290" t="n"/>
      <c r="AK41" s="201">
        <f>SUM(AK11:AK40)</f>
        <v/>
      </c>
      <c r="AL41" s="166">
        <f>MAXA(AL11:AL40)</f>
        <v/>
      </c>
      <c r="AM41" s="200" t="inlineStr">
        <is>
          <t>LAeq - PNR</t>
        </is>
      </c>
      <c r="AN41" s="200">
        <f>10*LOG10(SUM(AN11:AN40))</f>
        <v/>
      </c>
      <c r="AO41" s="32" t="n"/>
      <c r="AP41" s="32" t="n"/>
      <c r="AQ41" s="32" t="n"/>
      <c r="AR41" s="32" t="n"/>
      <c r="AS41" s="32" t="n"/>
      <c r="AT41" s="32" t="n"/>
      <c r="AU41" s="32" t="n"/>
      <c r="CN41" s="175">
        <f>IF(SUM(CN11:CN40)=0,0,10*LOG(SUM(CN11:CN40)))</f>
        <v/>
      </c>
      <c r="CO41" s="175">
        <f>IF(SUM(CO11:CO40)=0,0,10*LOG(SUM(CO11:CO40)))</f>
        <v/>
      </c>
      <c r="CP41" s="175">
        <f>IF(SUM(CP11:CP40)=0,0,10*LOG(SUM(CP11:CP40)))</f>
        <v/>
      </c>
      <c r="CQ41" s="175">
        <f>IF(SUM(CQ11:CQ40)=0,0,10*LOG(SUM(CQ11:CQ40)))</f>
        <v/>
      </c>
      <c r="CR41" s="175">
        <f>IF(SUM(CR11:CR40)=0,0,10*LOG(SUM(CR11:CR40)))</f>
        <v/>
      </c>
      <c r="CS41" s="175">
        <f>IF(SUM(CS11:CS40)=0,0,10*LOG(SUM(CS11:CS40)))</f>
        <v/>
      </c>
      <c r="CT41" s="175">
        <f>IF(SUM(CT11:CT40)=0,0,10*LOG(SUM(CT11:CT40)))</f>
        <v/>
      </c>
      <c r="CU41" s="175">
        <f>IF(SUM(CU11:CU40)=0,0,10*LOG(SUM(CU11:CU40)))</f>
        <v/>
      </c>
      <c r="CV41" s="175">
        <f>IF(SUM(CV11:CV40)=0,0,10*LOG(SUM(CV11:CV40)))</f>
        <v/>
      </c>
      <c r="CW41" s="175">
        <f>IF(SUM(CW11:CW40)=0,0,10*LOG(SUM(CW11:CW40)))</f>
        <v/>
      </c>
      <c r="CX41" s="175">
        <f>IF(SUM(CX11:CX40)=0,0,10*LOG(SUM(CX11:CX40)))</f>
        <v/>
      </c>
      <c r="CY41" s="175">
        <f>IF(SUM(CY11:CY40)=0,0,10*LOG(SUM(CY11:CY40)))</f>
        <v/>
      </c>
      <c r="CZ41" s="175">
        <f>IF(SUM(CZ11:CZ40)=0,0,10*LOG(SUM(CZ11:CZ40)))</f>
        <v/>
      </c>
      <c r="DA41" s="175">
        <f>IF(SUM(DA11:DA40)=0,0,10*LOG(SUM(DA11:DA40)))</f>
        <v/>
      </c>
      <c r="DD41" s="20" t="n"/>
      <c r="DG41" s="29" t="n"/>
    </row>
    <row r="42" ht="20.25" customHeight="1" s="444">
      <c r="E42" s="26" t="n"/>
      <c r="F42" s="27" t="n"/>
      <c r="G42" s="28" t="n"/>
      <c r="H42" s="28" t="n"/>
      <c r="I42" s="28" t="n"/>
      <c r="K42" s="203" t="n"/>
      <c r="L42" s="203" t="n"/>
      <c r="N42" s="204" t="inlineStr">
        <is>
          <t>LEX,8h =</t>
        </is>
      </c>
      <c r="O42" s="226">
        <f>CN41</f>
        <v/>
      </c>
      <c r="R42" s="226">
        <f>CO41</f>
        <v/>
      </c>
      <c r="S42" s="204" t="n"/>
      <c r="U42" s="226">
        <f>CP41</f>
        <v/>
      </c>
      <c r="V42" s="204" t="n"/>
      <c r="X42" s="226">
        <f>CQ41</f>
        <v/>
      </c>
      <c r="Y42" s="204" t="n"/>
      <c r="AA42" s="226">
        <f>CR41</f>
        <v/>
      </c>
      <c r="AB42" s="204" t="n"/>
      <c r="AD42" s="226">
        <f>CS41</f>
        <v/>
      </c>
      <c r="AE42" s="204" t="n"/>
      <c r="AG42" s="226">
        <f>CT41</f>
        <v/>
      </c>
      <c r="AH42" s="204" t="n"/>
      <c r="AJ42" s="290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  <c r="AV42" s="214" t="n"/>
      <c r="AW42" s="166" t="n"/>
      <c r="AX42" s="166" t="n"/>
      <c r="AY42" s="166" t="n"/>
      <c r="BD42" s="166" t="n"/>
      <c r="BE42" s="166" t="n"/>
      <c r="BF42" s="166" t="n"/>
      <c r="BK42" s="166" t="n"/>
      <c r="BL42" s="166" t="n"/>
      <c r="BM42" s="166" t="n"/>
      <c r="BR42" s="166" t="n"/>
      <c r="BS42" s="166" t="n"/>
      <c r="BT42" s="166" t="n"/>
      <c r="BY42" s="166" t="n"/>
      <c r="BZ42" s="166" t="n"/>
      <c r="CA42" s="166" t="n"/>
      <c r="CF42" s="166" t="n"/>
      <c r="CG42" s="166" t="n"/>
      <c r="CH42" s="166" t="n"/>
      <c r="CM42" s="81" t="inlineStr">
        <is>
          <t>DOWN</t>
        </is>
      </c>
      <c r="CN42" s="81">
        <f>IF(SUM(CN11:CN40)=0,0,10^(CN41*0.1))</f>
        <v/>
      </c>
      <c r="CO42" s="81">
        <f>IF(SUM(CO11:CO40)=0,0,10^(CO41*0.1))</f>
        <v/>
      </c>
      <c r="CP42" s="81">
        <f>IF(SUM(CP11:CP40)=0,0,10^(CP41*0.1))</f>
        <v/>
      </c>
      <c r="CQ42" s="81">
        <f>IF(SUM(CQ11:CQ40)=0,0,10^(CQ41*0.1))</f>
        <v/>
      </c>
      <c r="CR42" s="81">
        <f>IF(SUM(CR11:CR40)=0,0,10^(CR41*0.1))</f>
        <v/>
      </c>
      <c r="CS42" s="81">
        <f>IF(SUM(CS11:CS40)=0,0,10^(CS41*0.1))</f>
        <v/>
      </c>
      <c r="CT42" s="81">
        <f>IF(SUM(CT11:CT40)=0,0,10^(CT41*0.1))</f>
        <v/>
      </c>
      <c r="CU42" s="81">
        <f>IF(SUM(CU11:CU40)=0,0,10^(CU41*0.1))</f>
        <v/>
      </c>
      <c r="CV42" s="81">
        <f>IF(SUM(CV11:CV40)=0,0,10^(CV41*0.1))</f>
        <v/>
      </c>
      <c r="CW42" s="81">
        <f>IF(SUM(CW11:CW40)=0,0,10^(CW41*0.1))</f>
        <v/>
      </c>
      <c r="CX42" s="81">
        <f>IF(SUM(CX11:CX40)=0,0,10^(CX41*0.1))</f>
        <v/>
      </c>
      <c r="CY42" s="81">
        <f>IF(SUM(CY11:CY40)=0,0,10^(CY41*0.1))</f>
        <v/>
      </c>
      <c r="CZ42" s="81">
        <f>IF(SUM(CZ11:CZ40)=0,0,10^(CZ41*0.1))</f>
        <v/>
      </c>
      <c r="DA42" s="81">
        <f>IF(SUM(DA11:DA40)=0,0,10^(DA41*0.1))</f>
        <v/>
      </c>
      <c r="DD42" s="20" t="n"/>
      <c r="DG42" s="29" t="n"/>
    </row>
    <row r="43" ht="21.75" customHeight="1" s="444">
      <c r="E43" s="30" t="n"/>
      <c r="F43" s="30" t="n"/>
      <c r="K43" s="31" t="n"/>
      <c r="N43" s="34" t="inlineStr">
        <is>
          <t>Incert. comb. standard ua2(LEX,8h)=</t>
        </is>
      </c>
      <c r="O43" s="205">
        <f>IF(O41=0,0,SUM(AP11:AQ40))</f>
        <v/>
      </c>
      <c r="R43" s="205">
        <f>IF(R41=0,0,SUM(AW11:AX40))</f>
        <v/>
      </c>
      <c r="S43" s="204" t="n"/>
      <c r="U43" s="205">
        <f>IF(U41=0,0,SUM(BD11:BE40))</f>
        <v/>
      </c>
      <c r="V43" s="204" t="n"/>
      <c r="X43" s="205">
        <f>IF(X41=0,0,SUM(BK11:BL40))</f>
        <v/>
      </c>
      <c r="Y43" s="204" t="n"/>
      <c r="AA43" s="205">
        <f>IF(AA41=0,0,SUM(BY11:BZ40))</f>
        <v/>
      </c>
      <c r="AB43" s="204" t="n"/>
      <c r="AD43" s="205">
        <f>IF(AD41=0,0,SUM(BY11:BZ40))</f>
        <v/>
      </c>
      <c r="AE43" s="204" t="n"/>
      <c r="AG43" s="205">
        <f>IF(AG41=0,0,SUM(CF11:CG40))</f>
        <v/>
      </c>
      <c r="AH43" s="204" t="n"/>
      <c r="AW43" s="32" t="n"/>
      <c r="AX43" s="32" t="n"/>
      <c r="BD43" s="32" t="n"/>
      <c r="BE43" s="32" t="n"/>
      <c r="BK43" s="32" t="n"/>
      <c r="BL43" s="32" t="n"/>
      <c r="BR43" s="32" t="n"/>
      <c r="BS43" s="32" t="n"/>
      <c r="BY43" s="32" t="n"/>
      <c r="BZ43" s="32" t="n"/>
      <c r="CF43" s="32" t="n"/>
      <c r="CG43" s="32" t="n"/>
      <c r="CM43" s="81" t="inlineStr">
        <is>
          <t>UP'</t>
        </is>
      </c>
      <c r="CN43" s="81">
        <f>IF(SUM(CN11:CN40)=0,0,10^(CN41*0.2))</f>
        <v/>
      </c>
      <c r="CO43" s="81">
        <f>IF(SUM(CO11:CO40)=0,0,10^(CO41*0.2))</f>
        <v/>
      </c>
      <c r="CP43" s="81">
        <f>IF(SUM(CP11:CP40)=0,0,10^(CP41*0.2))</f>
        <v/>
      </c>
      <c r="CQ43" s="81">
        <f>IF(SUM(CQ11:CQ40)=0,0,10^(CQ41*0.2))</f>
        <v/>
      </c>
      <c r="CR43" s="81">
        <f>IF(SUM(CR11:CR40)=0,0,10^(CR41*0.2))</f>
        <v/>
      </c>
      <c r="CS43" s="81">
        <f>IF(SUM(CS11:CS40)=0,0,10^(CS41*0.2))</f>
        <v/>
      </c>
      <c r="CT43" s="81">
        <f>IF(SUM(CT11:CT40)=0,0,10^(CT41*0.2))</f>
        <v/>
      </c>
      <c r="CW43" s="81" t="inlineStr">
        <is>
          <t>LEX,W -PNR</t>
        </is>
      </c>
      <c r="CX43" s="81">
        <f>10*LOG10(SUM(CU42:DA42)/G45)</f>
        <v/>
      </c>
      <c r="DD43" s="20" t="n"/>
      <c r="DG43" s="29" t="n"/>
    </row>
    <row r="44" ht="20.1" customHeight="1" s="444">
      <c r="E44" s="30" t="n"/>
      <c r="F44" s="30" t="n"/>
      <c r="K44" s="31" t="n"/>
      <c r="P44" s="34" t="n"/>
      <c r="Q44" s="205" t="n"/>
      <c r="R44" s="205" t="n"/>
      <c r="S44" s="205" t="n"/>
      <c r="T44" s="205" t="n"/>
      <c r="U44" s="205" t="n"/>
      <c r="V44" s="205" t="n"/>
      <c r="W44" s="205" t="n"/>
      <c r="X44" s="205" t="n"/>
      <c r="Y44" s="205" t="n"/>
      <c r="Z44" s="205" t="n"/>
      <c r="AA44" s="205" t="n"/>
      <c r="AB44" s="205" t="n"/>
      <c r="AC44" s="205" t="n"/>
      <c r="AD44" s="205" t="n"/>
      <c r="AE44" s="205" t="n"/>
      <c r="AF44" s="205" t="n"/>
      <c r="AG44" s="205" t="n"/>
      <c r="AH44" s="205" t="n"/>
      <c r="AI44" s="205" t="n"/>
      <c r="AW44" s="32" t="n"/>
      <c r="AX44" s="32" t="n"/>
      <c r="BD44" s="32" t="n"/>
      <c r="BE44" s="32" t="n"/>
      <c r="BK44" s="32" t="n"/>
      <c r="BL44" s="32" t="n"/>
      <c r="BR44" s="32" t="n"/>
      <c r="BS44" s="32" t="n"/>
      <c r="BY44" s="32" t="n"/>
      <c r="BZ44" s="32" t="n"/>
      <c r="CF44" s="32" t="n"/>
      <c r="CG44" s="32" t="n"/>
      <c r="CM44" s="81" t="inlineStr">
        <is>
          <t>Ua lex</t>
        </is>
      </c>
      <c r="CN44" s="292">
        <f>O43</f>
        <v/>
      </c>
      <c r="CO44" s="292">
        <f>U43</f>
        <v/>
      </c>
      <c r="CP44" s="292">
        <f>X43</f>
        <v/>
      </c>
      <c r="CQ44" s="292">
        <f>X43</f>
        <v/>
      </c>
      <c r="CR44" s="292">
        <f>AA43</f>
        <v/>
      </c>
      <c r="CS44" s="292">
        <f>AD43</f>
        <v/>
      </c>
      <c r="CT44" s="292">
        <f>AG43</f>
        <v/>
      </c>
      <c r="DD44" s="20" t="n"/>
      <c r="DG44" s="29" t="n"/>
    </row>
    <row r="45" ht="20.1" customHeight="1" s="444" thickBot="1">
      <c r="E45" s="30" t="n"/>
      <c r="F45" s="33" t="inlineStr">
        <is>
          <t>Giornate di riferimento:</t>
        </is>
      </c>
      <c r="G45" s="94" t="n">
        <v>5</v>
      </c>
      <c r="K45" s="31" t="n"/>
      <c r="O45" s="204" t="n"/>
      <c r="AW45" s="32" t="n"/>
      <c r="AX45" s="32" t="n"/>
      <c r="BD45" s="32" t="n"/>
      <c r="BE45" s="32" t="n"/>
      <c r="BK45" s="32" t="n"/>
      <c r="BL45" s="32" t="n"/>
      <c r="BR45" s="32" t="n"/>
      <c r="BS45" s="32" t="n"/>
      <c r="BY45" s="32" t="n"/>
      <c r="BZ45" s="32" t="n"/>
      <c r="CF45" s="32" t="n"/>
      <c r="CG45" s="32" t="n"/>
      <c r="CM45" s="81" t="inlineStr">
        <is>
          <t>UP' x Ualex</t>
        </is>
      </c>
      <c r="CN45" s="81">
        <f>CN43*CN44^2</f>
        <v/>
      </c>
      <c r="CO45" s="81">
        <f>CO43*CO44^2</f>
        <v/>
      </c>
      <c r="CP45" s="81">
        <f>CP43*CP44^2</f>
        <v/>
      </c>
      <c r="CQ45" s="81">
        <f>CQ43*CQ44^2</f>
        <v/>
      </c>
      <c r="CR45" s="81">
        <f>CR43*CR44^2</f>
        <v/>
      </c>
      <c r="CS45" s="81">
        <f>CS43*CS44^2</f>
        <v/>
      </c>
      <c r="CT45" s="81">
        <f>CT43*CT44^2</f>
        <v/>
      </c>
      <c r="DD45" s="20" t="n"/>
      <c r="DG45" s="29" t="n"/>
    </row>
    <row r="46" ht="20.25" customHeight="1" s="444" thickBot="1">
      <c r="F46" s="33" t="inlineStr">
        <is>
          <t>Giornate lavorative:</t>
        </is>
      </c>
      <c r="G46" s="94">
        <f>SUM(CN48:CT48)</f>
        <v/>
      </c>
      <c r="H46" s="471">
        <f>IF(G45=480,"VALUTAZIONE SU BASE GIORNALIERA", "VALUTAZIONE SU BASE SETTIMANALE")</f>
        <v/>
      </c>
      <c r="I46" s="472" t="n"/>
      <c r="J46" s="472" t="n"/>
      <c r="K46" s="472" t="n"/>
      <c r="L46" s="472" t="n"/>
      <c r="M46" s="472" t="n"/>
      <c r="N46" s="472" t="n"/>
      <c r="O46" s="473" t="n"/>
      <c r="CK46" s="189" t="inlineStr">
        <is>
          <t>calcoli incertezza settimanale</t>
        </is>
      </c>
      <c r="DD46" s="20" t="n"/>
      <c r="DG46" s="29" t="n"/>
    </row>
    <row r="47" ht="23.25" customHeight="1" s="444">
      <c r="F47" s="97" t="inlineStr">
        <is>
          <t>LEX, w =</t>
        </is>
      </c>
      <c r="G47" s="95">
        <f>10*LOG10(SUM(CN42:CT42)/G45)</f>
        <v/>
      </c>
      <c r="H47" s="55" t="inlineStr">
        <is>
          <t>LEX,8h</t>
        </is>
      </c>
      <c r="I47" s="228">
        <f>G47</f>
        <v/>
      </c>
      <c r="J47" s="229" t="inlineStr">
        <is>
          <t>±</t>
        </is>
      </c>
      <c r="K47" s="230">
        <f>G49</f>
        <v/>
      </c>
      <c r="L47" s="231" t="inlineStr">
        <is>
          <t>→</t>
        </is>
      </c>
      <c r="M47" s="232" t="n"/>
      <c r="N47" s="233" t="inlineStr">
        <is>
          <t>LEX MAX =</t>
        </is>
      </c>
      <c r="O47" s="234">
        <f>I47+K47</f>
        <v/>
      </c>
      <c r="P47" s="227" t="n"/>
      <c r="DD47" s="20" t="n"/>
      <c r="DG47" s="29" t="n"/>
    </row>
    <row r="48" ht="24" customHeight="1" s="444" thickBot="1">
      <c r="F48" s="34" t="inlineStr">
        <is>
          <t>Incert. comb. standard u2(LEX,W)=</t>
        </is>
      </c>
      <c r="G48" s="96">
        <f>(SQRT(SUM(CN45:CT45)))/(SUM(CN42:CT42))</f>
        <v/>
      </c>
      <c r="H48" s="235" t="n"/>
      <c r="I48" s="236" t="n"/>
      <c r="J48" s="236" t="n"/>
      <c r="K48" s="236" t="n"/>
      <c r="L48" s="236" t="n"/>
      <c r="M48" s="236" t="n"/>
      <c r="N48" s="237" t="inlineStr">
        <is>
          <t>Massimo dei Lpicco,C misurati =</t>
        </is>
      </c>
      <c r="O48" s="238">
        <f>MAX(J11:J40)</f>
        <v/>
      </c>
      <c r="CK48" s="167" t="inlineStr">
        <is>
          <t>Convalida delle giornate lavorative</t>
        </is>
      </c>
      <c r="CM48" s="42" t="n"/>
      <c r="CN48" s="293">
        <f>IF(O41&gt;0,1,"")</f>
        <v/>
      </c>
      <c r="CO48" s="293">
        <f>IF(R41&gt;0,1,"")</f>
        <v/>
      </c>
      <c r="CP48" s="293">
        <f>IF(U41&gt;0,1,"")</f>
        <v/>
      </c>
      <c r="CQ48" s="293">
        <f>IF(X41&gt;0,1,"")</f>
        <v/>
      </c>
      <c r="CR48" s="293">
        <f>IF(AA41&gt;0,1,"")</f>
        <v/>
      </c>
      <c r="CS48" s="293">
        <f>IF(AD41&gt;0,1,"")</f>
        <v/>
      </c>
      <c r="CT48" s="293">
        <f>IF(AG41&gt;0,1,"")</f>
        <v/>
      </c>
      <c r="DD48" s="20" t="n"/>
    </row>
    <row r="49" ht="23.25" customHeight="1" s="444">
      <c r="F49" s="34" t="inlineStr">
        <is>
          <t>Incertezza estesa  U(LEX,w)=</t>
        </is>
      </c>
      <c r="G49" s="96">
        <f>SQRT(G3^2+G48^2)</f>
        <v/>
      </c>
      <c r="H49" s="474">
        <f>IF(AND((O42+K47)&lt;80,O48&lt;135),"NON ESPOSTO",IF(AND((O42+K47)&lt;85,O48&lt;137),"SUPERAMENTO LIVELLO INFERIORE DI AZIONE",IF(AND((O42+K47)&lt;87,O48&lt;140),"SUPERAMENTO LIVELLO SUPERIORE DI AZIONE","SUPERAMENTO LIMITE DI ESPOSIZIONE")))</f>
        <v/>
      </c>
      <c r="I49" s="441" t="n"/>
      <c r="J49" s="441" t="n"/>
      <c r="K49" s="441" t="n"/>
      <c r="L49" s="441" t="n"/>
      <c r="M49" s="441" t="n"/>
      <c r="N49" s="441" t="n"/>
      <c r="O49" s="442" t="n"/>
      <c r="DD49" s="20" t="n"/>
      <c r="DF49" s="475" t="n"/>
      <c r="DG49" s="475" t="n"/>
      <c r="DH49" s="476" t="n"/>
    </row>
    <row r="50" ht="16.5" customHeight="1" s="444" thickBot="1">
      <c r="H50" s="477" t="n"/>
      <c r="I50" s="478" t="n"/>
      <c r="J50" s="478" t="n"/>
      <c r="K50" s="478" t="n"/>
      <c r="L50" s="478" t="n"/>
      <c r="M50" s="478" t="n"/>
      <c r="N50" s="478" t="n"/>
      <c r="O50" s="479" t="n"/>
      <c r="DD50" s="20" t="n"/>
      <c r="DH50" s="31" t="n"/>
    </row>
    <row r="51" ht="20.1" customHeight="1" s="444" thickBot="1">
      <c r="CM51" s="189" t="n"/>
      <c r="DB51" s="43" t="n"/>
      <c r="DD51" s="43" t="n"/>
      <c r="DE51" s="43" t="n"/>
    </row>
    <row r="52" ht="39" customFormat="1" customHeight="1" s="167">
      <c r="B52" s="81" t="n"/>
      <c r="C52" s="81" t="n"/>
      <c r="D52" s="81" t="n"/>
      <c r="E52" s="480">
        <f>IF(AND((I47+K47)&lt;80,O48&lt;135),"",IF(AND((I47+K47)&lt;85,O48&lt;137),"Il datore di lavoro mette a disposizione dei lavoratori i D.P.I.-art. 193 comma 1-a-",IF(AND((I47+K47)&lt;87,O48&lt;140),"Dal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52" s="441" t="n"/>
      <c r="G52" s="441" t="n"/>
      <c r="H52" s="441" t="n"/>
      <c r="I52" s="441" t="n"/>
      <c r="J52" s="441" t="n"/>
      <c r="K52" s="441" t="n"/>
      <c r="L52" s="441" t="n"/>
      <c r="M52" s="441" t="n"/>
      <c r="N52" s="441" t="n"/>
      <c r="O52" s="441" t="n"/>
      <c r="P52" s="442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286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213" t="n"/>
      <c r="AW52" s="81" t="n"/>
      <c r="AX52" s="81" t="n"/>
      <c r="AY52" s="81" t="n"/>
      <c r="BC52" s="211" t="n"/>
      <c r="BD52" s="81" t="n"/>
      <c r="BE52" s="81" t="n"/>
      <c r="BF52" s="81" t="n"/>
      <c r="BJ52" s="211" t="n"/>
      <c r="BK52" s="81" t="n"/>
      <c r="BL52" s="81" t="n"/>
      <c r="BM52" s="81" t="n"/>
      <c r="BQ52" s="211" t="n"/>
      <c r="BR52" s="81" t="n"/>
      <c r="BS52" s="81" t="n"/>
      <c r="BT52" s="81" t="n"/>
      <c r="BX52" s="213" t="n"/>
      <c r="BY52" s="81" t="n"/>
      <c r="BZ52" s="81" t="n"/>
      <c r="CA52" s="81" t="n"/>
      <c r="CE52" s="213" t="n"/>
      <c r="CF52" s="81" t="n"/>
      <c r="CG52" s="81" t="n"/>
      <c r="CH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</row>
    <row r="53" ht="39" customFormat="1" customHeight="1" s="167" thickBot="1">
      <c r="B53" s="81" t="n"/>
      <c r="C53" s="81" t="n"/>
      <c r="D53" s="81" t="n"/>
      <c r="E53" s="481">
        <f>IF(AND((I47+K47)&lt;80,O48&lt;135),"",IF(AND((I47+K47)&lt;87,O48&lt;140),"Si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3" s="478" t="n"/>
      <c r="G53" s="478" t="n"/>
      <c r="H53" s="478" t="n"/>
      <c r="I53" s="478" t="n"/>
      <c r="J53" s="478" t="n"/>
      <c r="K53" s="478" t="n"/>
      <c r="L53" s="478" t="n"/>
      <c r="M53" s="478" t="n"/>
      <c r="N53" s="478" t="n"/>
      <c r="O53" s="478" t="n"/>
      <c r="P53" s="479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286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213" t="n"/>
      <c r="AW53" s="81" t="n"/>
      <c r="AX53" s="81" t="n"/>
      <c r="AY53" s="81" t="n"/>
      <c r="BC53" s="211" t="n"/>
      <c r="BD53" s="81" t="n"/>
      <c r="BE53" s="81" t="n"/>
      <c r="BF53" s="81" t="n"/>
      <c r="BJ53" s="211" t="n"/>
      <c r="BK53" s="81" t="n"/>
      <c r="BL53" s="81" t="n"/>
      <c r="BM53" s="81" t="n"/>
      <c r="BQ53" s="211" t="n"/>
      <c r="BR53" s="81" t="n"/>
      <c r="BS53" s="81" t="n"/>
      <c r="BT53" s="81" t="n"/>
      <c r="BX53" s="213" t="n"/>
      <c r="BY53" s="81" t="n"/>
      <c r="BZ53" s="81" t="n"/>
      <c r="CA53" s="81" t="n"/>
      <c r="CE53" s="213" t="n"/>
      <c r="CF53" s="81" t="n"/>
      <c r="CG53" s="81" t="n"/>
      <c r="CH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</row>
    <row r="54" ht="20.1" customFormat="1" customHeight="1" s="167"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286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213" t="n"/>
      <c r="AW54" s="81" t="n"/>
      <c r="AX54" s="81" t="n"/>
      <c r="AY54" s="81" t="n"/>
      <c r="BC54" s="211" t="n"/>
      <c r="BD54" s="81" t="n"/>
      <c r="BE54" s="81" t="n"/>
      <c r="BF54" s="81" t="n"/>
      <c r="BJ54" s="211" t="n"/>
      <c r="BK54" s="81" t="n"/>
      <c r="BL54" s="81" t="n"/>
      <c r="BM54" s="81" t="n"/>
      <c r="BQ54" s="211" t="n"/>
      <c r="BR54" s="81" t="n"/>
      <c r="BS54" s="81" t="n"/>
      <c r="BT54" s="81" t="n"/>
      <c r="BX54" s="213" t="n"/>
      <c r="BY54" s="81" t="n"/>
      <c r="BZ54" s="81" t="n"/>
      <c r="CA54" s="81" t="n"/>
      <c r="CE54" s="213" t="n"/>
      <c r="CF54" s="81" t="n"/>
      <c r="CG54" s="81" t="n"/>
      <c r="CH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</row>
    <row r="55" ht="25.5" customFormat="1" customHeight="1" s="167">
      <c r="B55" s="81" t="n"/>
      <c r="C55" s="81" t="n"/>
      <c r="D55" s="81" t="n"/>
      <c r="E55" s="81" t="n"/>
      <c r="F55" s="414" t="inlineStr">
        <is>
          <t xml:space="preserve">Con attenuazione D.P.I. 
(al verificarsi delle condizioni di cui all'art. 193 comma 2) </t>
        </is>
      </c>
      <c r="K55" s="416" t="inlineStr">
        <is>
          <t xml:space="preserve">LEX,8h = </t>
        </is>
      </c>
      <c r="M55" s="417">
        <f>IF(O47&gt;87,CX43,"Non previsto")</f>
        <v/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286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213" t="n"/>
      <c r="AW55" s="81" t="n"/>
      <c r="AX55" s="81" t="n"/>
      <c r="AY55" s="81" t="n"/>
      <c r="BC55" s="211" t="n"/>
      <c r="BD55" s="81" t="n"/>
      <c r="BE55" s="81" t="n"/>
      <c r="BF55" s="81" t="n"/>
      <c r="BJ55" s="211" t="n"/>
      <c r="BK55" s="81" t="n"/>
      <c r="BL55" s="81" t="n"/>
      <c r="BM55" s="81" t="n"/>
      <c r="BQ55" s="211" t="n"/>
      <c r="BR55" s="81" t="n"/>
      <c r="BS55" s="81" t="n"/>
      <c r="BT55" s="81" t="n"/>
      <c r="BX55" s="213" t="n"/>
      <c r="BY55" s="81" t="n"/>
      <c r="BZ55" s="81" t="n"/>
      <c r="CA55" s="81" t="n"/>
      <c r="CE55" s="213" t="n"/>
      <c r="CF55" s="81" t="n"/>
      <c r="CG55" s="81" t="n"/>
      <c r="CH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</row>
    <row r="56" ht="25.5" customFormat="1" customHeight="1" s="167">
      <c r="B56" s="81" t="n"/>
      <c r="C56" s="81" t="n"/>
      <c r="D56" s="81" t="n"/>
      <c r="E56" s="415" t="n"/>
      <c r="K56" s="416" t="inlineStr">
        <is>
          <t>Ppeak =</t>
        </is>
      </c>
      <c r="M56" s="417">
        <f>IF(O48&gt;140,AL41,"Non previsto")</f>
        <v/>
      </c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286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213" t="n"/>
      <c r="AW56" s="81" t="n"/>
      <c r="AX56" s="81" t="n"/>
      <c r="AY56" s="81" t="n"/>
      <c r="AZ56" s="81" t="n"/>
      <c r="BC56" s="211" t="n"/>
      <c r="BD56" s="81" t="n"/>
      <c r="BE56" s="81" t="n"/>
      <c r="BF56" s="81" t="n"/>
      <c r="BG56" s="81" t="n"/>
      <c r="BJ56" s="211" t="n"/>
      <c r="BK56" s="81" t="n"/>
      <c r="BL56" s="81" t="n"/>
      <c r="BM56" s="81" t="n"/>
      <c r="BN56" s="81" t="n"/>
      <c r="BQ56" s="211" t="n"/>
      <c r="BR56" s="81" t="n"/>
      <c r="BS56" s="81" t="n"/>
      <c r="BT56" s="81" t="n"/>
      <c r="BU56" s="81" t="n"/>
      <c r="BX56" s="213" t="n"/>
      <c r="BY56" s="81" t="n"/>
      <c r="BZ56" s="81" t="n"/>
      <c r="CA56" s="81" t="n"/>
      <c r="CB56" s="81" t="n"/>
      <c r="CE56" s="213" t="n"/>
      <c r="CF56" s="81" t="n"/>
      <c r="CG56" s="81" t="n"/>
      <c r="CH56" s="81" t="n"/>
      <c r="CI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</row>
    <row r="57" ht="30" customFormat="1" customHeight="1" s="167">
      <c r="B57" s="81" t="n"/>
      <c r="C57" s="81" t="n"/>
      <c r="D57" s="81" t="n"/>
      <c r="E57" s="81" t="n"/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286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213" t="n"/>
      <c r="AW57" s="81" t="n"/>
      <c r="AX57" s="81" t="n"/>
      <c r="AY57" s="81" t="n"/>
      <c r="AZ57" s="81" t="n"/>
      <c r="BC57" s="211" t="n"/>
      <c r="BD57" s="81" t="n"/>
      <c r="BE57" s="81" t="n"/>
      <c r="BF57" s="81" t="n"/>
      <c r="BG57" s="81" t="n"/>
      <c r="BJ57" s="211" t="n"/>
      <c r="BK57" s="81" t="n"/>
      <c r="BL57" s="81" t="n"/>
      <c r="BM57" s="81" t="n"/>
      <c r="BN57" s="81" t="n"/>
      <c r="BQ57" s="211" t="n"/>
      <c r="BR57" s="81" t="n"/>
      <c r="BS57" s="81" t="n"/>
      <c r="BT57" s="81" t="n"/>
      <c r="BU57" s="81" t="n"/>
      <c r="BX57" s="213" t="n"/>
      <c r="BY57" s="81" t="n"/>
      <c r="BZ57" s="81" t="n"/>
      <c r="CA57" s="81" t="n"/>
      <c r="CB57" s="81" t="n"/>
      <c r="CE57" s="213" t="n"/>
      <c r="CF57" s="81" t="n"/>
      <c r="CG57" s="81" t="n"/>
      <c r="CH57" s="81" t="n"/>
      <c r="CI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</row>
    <row r="58" ht="30" customFormat="1" customHeight="1" s="167">
      <c r="B58" s="81" t="n"/>
      <c r="C58" s="81" t="n"/>
      <c r="D58" s="81" t="n"/>
      <c r="E58" s="419" t="inlineStr">
        <is>
          <t>VERIFICA E GIUDIZIO IDONEITA' DISPOSITIVI DI PROTEZIONE INDIVIDUALE</t>
        </is>
      </c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286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215" t="n"/>
      <c r="AW58" s="47" t="n"/>
      <c r="AX58" s="47" t="n"/>
      <c r="AY58" s="81" t="n"/>
      <c r="AZ58" s="81" t="n"/>
      <c r="BC58" s="211" t="n"/>
      <c r="BD58" s="47" t="n"/>
      <c r="BE58" s="47" t="n"/>
      <c r="BF58" s="81" t="n"/>
      <c r="BG58" s="81" t="n"/>
      <c r="BJ58" s="211" t="n"/>
      <c r="BK58" s="47" t="n"/>
      <c r="BL58" s="47" t="n"/>
      <c r="BM58" s="81" t="n"/>
      <c r="BN58" s="81" t="n"/>
      <c r="BQ58" s="211" t="n"/>
      <c r="BR58" s="47" t="n"/>
      <c r="BS58" s="47" t="n"/>
      <c r="BT58" s="81" t="n"/>
      <c r="BU58" s="81" t="n"/>
      <c r="BX58" s="213" t="n"/>
      <c r="BY58" s="47" t="n"/>
      <c r="BZ58" s="47" t="n"/>
      <c r="CA58" s="81" t="n"/>
      <c r="CB58" s="81" t="n"/>
      <c r="CE58" s="213" t="n"/>
      <c r="CF58" s="47" t="n"/>
      <c r="CG58" s="47" t="n"/>
      <c r="CH58" s="81" t="n"/>
      <c r="CI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</row>
    <row r="59" ht="30" customFormat="1" customHeight="1" s="167">
      <c r="B59" s="81" t="n"/>
      <c r="C59" s="81" t="n"/>
      <c r="D59" s="81" t="n"/>
      <c r="E59" s="47" t="inlineStr">
        <is>
          <t>Nota:</t>
        </is>
      </c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286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215" t="n"/>
      <c r="AW59" s="47" t="n"/>
      <c r="AX59" s="47" t="n"/>
      <c r="AY59" s="81" t="n"/>
      <c r="AZ59" s="81" t="n"/>
      <c r="BA59" s="47" t="n"/>
      <c r="BB59" s="47" t="n"/>
      <c r="BC59" s="212" t="n"/>
      <c r="BD59" s="47" t="n"/>
      <c r="BE59" s="47" t="n"/>
      <c r="BF59" s="81" t="n"/>
      <c r="BG59" s="81" t="n"/>
      <c r="BH59" s="47" t="n"/>
      <c r="BI59" s="47" t="n"/>
      <c r="BJ59" s="212" t="n"/>
      <c r="BK59" s="47" t="n"/>
      <c r="BL59" s="47" t="n"/>
      <c r="BM59" s="81" t="n"/>
      <c r="BN59" s="81" t="n"/>
      <c r="BO59" s="47" t="n"/>
      <c r="BP59" s="47" t="n"/>
      <c r="BQ59" s="211" t="n"/>
      <c r="BR59" s="47" t="n"/>
      <c r="BS59" s="47" t="n"/>
      <c r="BT59" s="81" t="n"/>
      <c r="BU59" s="81" t="n"/>
      <c r="BV59" s="47" t="n"/>
      <c r="BW59" s="47" t="n"/>
      <c r="BX59" s="213" t="n"/>
      <c r="BY59" s="47" t="n"/>
      <c r="BZ59" s="47" t="n"/>
      <c r="CA59" s="81" t="n"/>
      <c r="CB59" s="81" t="n"/>
      <c r="CC59" s="47" t="n"/>
      <c r="CD59" s="47" t="n"/>
      <c r="CE59" s="213" t="n"/>
      <c r="CF59" s="47" t="n"/>
      <c r="CG59" s="47" t="n"/>
      <c r="CH59" s="81" t="n"/>
      <c r="CI59" s="81" t="n"/>
      <c r="CJ59" s="47" t="n"/>
      <c r="CK59" s="47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</row>
    <row r="60" ht="63.75" customFormat="1" customHeight="1" s="167">
      <c r="B60" s="81" t="n"/>
      <c r="C60" s="81" t="n"/>
      <c r="D60" s="81" t="n"/>
      <c r="E60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286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216" t="n"/>
      <c r="AW60" s="47" t="n"/>
      <c r="AX60" s="47" t="n"/>
      <c r="AY60" s="81" t="n"/>
      <c r="AZ60" s="81" t="n"/>
      <c r="BA60" s="47" t="n"/>
      <c r="BB60" s="47" t="n"/>
      <c r="BC60" s="212" t="n"/>
      <c r="BD60" s="47" t="n"/>
      <c r="BE60" s="47" t="n"/>
      <c r="BF60" s="81" t="n"/>
      <c r="BG60" s="81" t="n"/>
      <c r="BH60" s="47" t="n"/>
      <c r="BI60" s="47" t="n"/>
      <c r="BJ60" s="212" t="n"/>
      <c r="BK60" s="47" t="n"/>
      <c r="BL60" s="47" t="n"/>
      <c r="BM60" s="81" t="n"/>
      <c r="BN60" s="81" t="n"/>
      <c r="BO60" s="47" t="n"/>
      <c r="BP60" s="47" t="n"/>
      <c r="BQ60" s="211" t="n"/>
      <c r="BR60" s="47" t="n"/>
      <c r="BS60" s="47" t="n"/>
      <c r="BT60" s="81" t="n"/>
      <c r="BU60" s="81" t="n"/>
      <c r="BV60" s="47" t="n"/>
      <c r="BW60" s="47" t="n"/>
      <c r="BX60" s="213" t="n"/>
      <c r="BY60" s="47" t="n"/>
      <c r="BZ60" s="47" t="n"/>
      <c r="CA60" s="81" t="n"/>
      <c r="CB60" s="81" t="n"/>
      <c r="CC60" s="47" t="n"/>
      <c r="CD60" s="47" t="n"/>
      <c r="CE60" s="213" t="n"/>
      <c r="CF60" s="47" t="n"/>
      <c r="CG60" s="47" t="n"/>
      <c r="CH60" s="81" t="n"/>
      <c r="CI60" s="81" t="n"/>
      <c r="CJ60" s="47" t="n"/>
      <c r="CK60" s="47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</row>
    <row r="61" ht="20.1" customFormat="1" customHeight="1" s="167">
      <c r="B61" s="81" t="n"/>
      <c r="C61" s="81" t="n"/>
      <c r="D61" s="81" t="n"/>
      <c r="E61" s="384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286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216" t="n"/>
      <c r="AW61" s="47" t="n"/>
      <c r="AX61" s="47" t="n"/>
      <c r="AY61" s="56" t="n"/>
      <c r="AZ61" s="52" t="n"/>
      <c r="BA61" s="47" t="n"/>
      <c r="BB61" s="47" t="n"/>
      <c r="BC61" s="212" t="n"/>
      <c r="BD61" s="47" t="n"/>
      <c r="BE61" s="47" t="n"/>
      <c r="BF61" s="56" t="n"/>
      <c r="BG61" s="52" t="n"/>
      <c r="BH61" s="47" t="n"/>
      <c r="BI61" s="47" t="n"/>
      <c r="BJ61" s="212" t="n"/>
      <c r="BK61" s="47" t="n"/>
      <c r="BL61" s="47" t="n"/>
      <c r="BM61" s="56" t="n"/>
      <c r="BN61" s="52" t="n"/>
      <c r="BO61" s="47" t="n"/>
      <c r="BP61" s="47" t="n"/>
      <c r="BQ61" s="211" t="n"/>
      <c r="BR61" s="47" t="n"/>
      <c r="BS61" s="47" t="n"/>
      <c r="BT61" s="56" t="n"/>
      <c r="BU61" s="52" t="n"/>
      <c r="BV61" s="47" t="n"/>
      <c r="BW61" s="47" t="n"/>
      <c r="BX61" s="213" t="n"/>
      <c r="BY61" s="47" t="n"/>
      <c r="BZ61" s="47" t="n"/>
      <c r="CA61" s="56" t="n"/>
      <c r="CB61" s="52" t="n"/>
      <c r="CC61" s="47" t="n"/>
      <c r="CD61" s="47" t="n"/>
      <c r="CE61" s="213" t="n"/>
      <c r="CF61" s="47" t="n"/>
      <c r="CG61" s="47" t="n"/>
      <c r="CH61" s="56" t="n"/>
      <c r="CI61" s="52" t="n"/>
      <c r="CJ61" s="47" t="n"/>
      <c r="CK61" s="47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</row>
    <row r="62" ht="9.949999999999999" customFormat="1" customHeight="1" s="167" thickBot="1">
      <c r="B62" s="81" t="n"/>
      <c r="C62" s="81" t="n"/>
      <c r="D62" s="81" t="n"/>
      <c r="E62" s="81" t="n"/>
      <c r="F62" s="81" t="n"/>
      <c r="G62" s="81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286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213" t="n"/>
      <c r="AW62" s="81" t="n"/>
      <c r="AX62" s="81" t="n"/>
      <c r="AY62" s="56" t="n"/>
      <c r="AZ62" s="52" t="n"/>
      <c r="BA62" s="47" t="n"/>
      <c r="BB62" s="47" t="n"/>
      <c r="BC62" s="212" t="n"/>
      <c r="BD62" s="81" t="n"/>
      <c r="BE62" s="81" t="n"/>
      <c r="BF62" s="56" t="n"/>
      <c r="BG62" s="52" t="n"/>
      <c r="BH62" s="47" t="n"/>
      <c r="BI62" s="47" t="n"/>
      <c r="BJ62" s="212" t="n"/>
      <c r="BK62" s="81" t="n"/>
      <c r="BL62" s="81" t="n"/>
      <c r="BM62" s="56" t="n"/>
      <c r="BN62" s="52" t="n"/>
      <c r="BO62" s="47" t="n"/>
      <c r="BP62" s="47" t="n"/>
      <c r="BQ62" s="211" t="n"/>
      <c r="BR62" s="81" t="n"/>
      <c r="BS62" s="81" t="n"/>
      <c r="BT62" s="56" t="n"/>
      <c r="BU62" s="52" t="n"/>
      <c r="BV62" s="47" t="n"/>
      <c r="BW62" s="47" t="n"/>
      <c r="BX62" s="213" t="n"/>
      <c r="BY62" s="81" t="n"/>
      <c r="BZ62" s="81" t="n"/>
      <c r="CA62" s="56" t="n"/>
      <c r="CB62" s="52" t="n"/>
      <c r="CC62" s="47" t="n"/>
      <c r="CD62" s="47" t="n"/>
      <c r="CE62" s="213" t="n"/>
      <c r="CF62" s="81" t="n"/>
      <c r="CG62" s="81" t="n"/>
      <c r="CH62" s="56" t="n"/>
      <c r="CI62" s="52" t="n"/>
      <c r="CJ62" s="47" t="n"/>
      <c r="CK62" s="47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</row>
    <row r="63" ht="45.75" customFormat="1" customHeight="1" s="167">
      <c r="B63" s="48" t="n"/>
      <c r="C63" s="48" t="n"/>
      <c r="D63" s="48" t="n"/>
      <c r="E63" s="385" t="inlineStr">
        <is>
          <t>VERIFICA E GIUDIZIO IDONEITA' DEI D.P.I. CON CALCOLO DEL PNR PER OGNI SORGENTE SONORA 
CON LAeq &gt; 80 dB(A) SUL LIVELLO D'ESPOSIZIONE</t>
        </is>
      </c>
      <c r="F63" s="482" t="n"/>
      <c r="G63" s="482" t="n"/>
      <c r="H63" s="482" t="n"/>
      <c r="I63" s="482" t="n"/>
      <c r="J63" s="482" t="n"/>
      <c r="K63" s="482" t="n"/>
      <c r="L63" s="482" t="n"/>
      <c r="M63" s="482" t="n"/>
      <c r="N63" s="482" t="n"/>
      <c r="O63" s="482" t="n"/>
      <c r="P63" s="483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286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217" t="n"/>
      <c r="AW63" s="81" t="n"/>
      <c r="AX63" s="81" t="n"/>
      <c r="AY63" s="56" t="n"/>
      <c r="AZ63" s="52" t="n"/>
      <c r="BA63" s="47" t="n"/>
      <c r="BB63" s="47" t="n"/>
      <c r="BC63" s="212" t="n"/>
      <c r="BD63" s="81" t="n"/>
      <c r="BE63" s="81" t="n"/>
      <c r="BF63" s="56" t="n"/>
      <c r="BG63" s="52" t="n"/>
      <c r="BH63" s="47" t="n"/>
      <c r="BI63" s="47" t="n"/>
      <c r="BJ63" s="212" t="n"/>
      <c r="BK63" s="81" t="n"/>
      <c r="BL63" s="81" t="n"/>
      <c r="BM63" s="56" t="n"/>
      <c r="BN63" s="52" t="n"/>
      <c r="BO63" s="47" t="n"/>
      <c r="BP63" s="47" t="n"/>
      <c r="BQ63" s="211" t="n"/>
      <c r="BR63" s="81" t="n"/>
      <c r="BS63" s="81" t="n"/>
      <c r="BT63" s="56" t="n"/>
      <c r="BU63" s="52" t="n"/>
      <c r="BV63" s="47" t="n"/>
      <c r="BW63" s="47" t="n"/>
      <c r="BX63" s="213" t="n"/>
      <c r="BY63" s="81" t="n"/>
      <c r="BZ63" s="81" t="n"/>
      <c r="CA63" s="56" t="n"/>
      <c r="CB63" s="52" t="n"/>
      <c r="CC63" s="47" t="n"/>
      <c r="CD63" s="47" t="n"/>
      <c r="CE63" s="213" t="n"/>
      <c r="CF63" s="81" t="n"/>
      <c r="CG63" s="81" t="n"/>
      <c r="CH63" s="56" t="n"/>
      <c r="CI63" s="52" t="n"/>
      <c r="CJ63" s="47" t="n"/>
      <c r="CK63" s="47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</row>
    <row r="64" ht="21" customFormat="1" customHeight="1" s="167">
      <c r="B64" s="48" t="n"/>
      <c r="C64" s="48" t="n"/>
      <c r="D64" s="48" t="n"/>
      <c r="E64" s="193" t="inlineStr">
        <is>
          <t>COD.</t>
        </is>
      </c>
      <c r="F64" s="373" t="inlineStr">
        <is>
          <t>Tipologia:</t>
        </is>
      </c>
      <c r="G64" s="373" t="inlineStr">
        <is>
          <t>Marca:</t>
        </is>
      </c>
      <c r="H64" s="373" t="inlineStr">
        <is>
          <t>Modello:</t>
        </is>
      </c>
      <c r="I64" s="461" t="n"/>
      <c r="J64" s="114" t="inlineStr">
        <is>
          <t>SNR</t>
        </is>
      </c>
      <c r="K64" s="115" t="inlineStr">
        <is>
          <t>H</t>
        </is>
      </c>
      <c r="L64" s="116" t="inlineStr">
        <is>
          <t>M</t>
        </is>
      </c>
      <c r="M64" s="116" t="inlineStr">
        <is>
          <t>L</t>
        </is>
      </c>
      <c r="N64" s="388" t="inlineStr">
        <is>
          <t>PNR medio</t>
        </is>
      </c>
      <c r="O64" s="460" t="n"/>
      <c r="P64" s="46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286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218" t="n"/>
      <c r="AW64" s="81" t="n"/>
      <c r="AX64" s="81" t="n"/>
      <c r="AY64" s="56" t="n"/>
      <c r="AZ64" s="52" t="n"/>
      <c r="BA64" s="47" t="n"/>
      <c r="BB64" s="47" t="n"/>
      <c r="BC64" s="212" t="n"/>
      <c r="BD64" s="81" t="n"/>
      <c r="BE64" s="81" t="n"/>
      <c r="BF64" s="56" t="n"/>
      <c r="BG64" s="52" t="n"/>
      <c r="BH64" s="47" t="n"/>
      <c r="BI64" s="47" t="n"/>
      <c r="BJ64" s="212" t="n"/>
      <c r="BK64" s="81" t="n"/>
      <c r="BL64" s="81" t="n"/>
      <c r="BM64" s="56" t="n"/>
      <c r="BN64" s="52" t="n"/>
      <c r="BO64" s="47" t="n"/>
      <c r="BP64" s="47" t="n"/>
      <c r="BQ64" s="211" t="n"/>
      <c r="BR64" s="81" t="n"/>
      <c r="BS64" s="81" t="n"/>
      <c r="BT64" s="56" t="n"/>
      <c r="BU64" s="52" t="n"/>
      <c r="BV64" s="47" t="n"/>
      <c r="BW64" s="47" t="n"/>
      <c r="BX64" s="213" t="n"/>
      <c r="BY64" s="81" t="n"/>
      <c r="BZ64" s="81" t="n"/>
      <c r="CA64" s="56" t="n"/>
      <c r="CB64" s="52" t="n"/>
      <c r="CC64" s="47" t="n"/>
      <c r="CD64" s="47" t="n"/>
      <c r="CE64" s="213" t="n"/>
      <c r="CF64" s="81" t="n"/>
      <c r="CG64" s="81" t="n"/>
      <c r="CH64" s="56" t="n"/>
      <c r="CI64" s="52" t="n"/>
      <c r="CJ64" s="47" t="n"/>
      <c r="CK64" s="47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</row>
    <row r="65" ht="21" customFormat="1" customHeight="1" s="167">
      <c r="B65" s="48" t="n"/>
      <c r="C65" s="48" t="n"/>
      <c r="D65" s="48" t="n"/>
      <c r="E65" s="193" t="inlineStr">
        <is>
          <t>A1</t>
        </is>
      </c>
      <c r="F65" s="374">
        <f>VLOOKUP(E65,$E$115:$L$246,2,FALSE)</f>
        <v/>
      </c>
      <c r="G65" s="374">
        <f>VLOOKUP($E$65,$E$115:$L$246,3,FALSE)</f>
        <v/>
      </c>
      <c r="H65" s="374">
        <f>VLOOKUP($E$65,$E$115:$L$246,4,FALSE)</f>
        <v/>
      </c>
      <c r="I65" s="461" t="n"/>
      <c r="J65" s="46">
        <f>VLOOKUP($E$65,$E$115:$L$246,5,FALSE)</f>
        <v/>
      </c>
      <c r="K65" s="46">
        <f>VLOOKUP($E$65,$E$115:$L$246,6,FALSE)</f>
        <v/>
      </c>
      <c r="L65" s="46">
        <f>VLOOKUP($E$65,$E$115:$L$246,7,FALSE)</f>
        <v/>
      </c>
      <c r="M65" s="46">
        <f>VLOOKUP($E$65,$E$115:$L$246,8,FALSE)</f>
        <v/>
      </c>
      <c r="N65" s="392">
        <f>IF(AK41=0,"Non necessario",AK41/(COUNT(AK11:AK40)))</f>
        <v/>
      </c>
      <c r="O65" s="454" t="n"/>
      <c r="P65" s="456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286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219" t="n"/>
      <c r="AW65" s="81" t="n"/>
      <c r="AX65" s="81" t="n"/>
      <c r="AY65" s="56" t="n"/>
      <c r="AZ65" s="56" t="n"/>
      <c r="BA65" s="47" t="n"/>
      <c r="BB65" s="47" t="n"/>
      <c r="BC65" s="212" t="n"/>
      <c r="BD65" s="81" t="n"/>
      <c r="BE65" s="81" t="n"/>
      <c r="BF65" s="56" t="n"/>
      <c r="BG65" s="56" t="n"/>
      <c r="BH65" s="47" t="n"/>
      <c r="BI65" s="47" t="n"/>
      <c r="BJ65" s="212" t="n"/>
      <c r="BK65" s="81" t="n"/>
      <c r="BL65" s="81" t="n"/>
      <c r="BM65" s="56" t="n"/>
      <c r="BN65" s="56" t="n"/>
      <c r="BO65" s="47" t="n"/>
      <c r="BP65" s="47" t="n"/>
      <c r="BQ65" s="211" t="n"/>
      <c r="BR65" s="81" t="n"/>
      <c r="BS65" s="81" t="n"/>
      <c r="BT65" s="56" t="n"/>
      <c r="BU65" s="56" t="n"/>
      <c r="BV65" s="47" t="n"/>
      <c r="BW65" s="47" t="n"/>
      <c r="BX65" s="213" t="n"/>
      <c r="BY65" s="81" t="n"/>
      <c r="BZ65" s="81" t="n"/>
      <c r="CA65" s="56" t="n"/>
      <c r="CB65" s="56" t="n"/>
      <c r="CC65" s="47" t="n"/>
      <c r="CD65" s="47" t="n"/>
      <c r="CE65" s="213" t="n"/>
      <c r="CF65" s="81" t="n"/>
      <c r="CG65" s="81" t="n"/>
      <c r="CH65" s="56" t="n"/>
      <c r="CI65" s="56" t="n"/>
      <c r="CJ65" s="47" t="n"/>
      <c r="CK65" s="47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</row>
    <row r="66" ht="21" customFormat="1" customHeight="1" s="167">
      <c r="B66" s="48" t="n"/>
      <c r="C66" s="48" t="n"/>
      <c r="D66" s="48" t="n"/>
      <c r="E66" s="395" t="inlineStr">
        <is>
          <t xml:space="preserve">Coeffciente correttivo β = </t>
        </is>
      </c>
      <c r="F66" s="460" t="n"/>
      <c r="G66" s="461" t="n"/>
      <c r="H66" s="379" t="n">
        <v>0.65</v>
      </c>
      <c r="I66" s="461" t="n"/>
      <c r="J66" s="117">
        <f>H66*J65</f>
        <v/>
      </c>
      <c r="K66" s="118">
        <f>K65*$H$66</f>
        <v/>
      </c>
      <c r="L66" s="118">
        <f>L65*$H$66</f>
        <v/>
      </c>
      <c r="M66" s="118">
        <f>M65*$H$66</f>
        <v/>
      </c>
      <c r="N66" s="458" t="n"/>
      <c r="O66" s="457" t="n"/>
      <c r="P66" s="459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286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211" t="n"/>
      <c r="AW66" s="81" t="n"/>
      <c r="AX66" s="81" t="n"/>
      <c r="AY66" s="56" t="n"/>
      <c r="AZ66" s="56" t="n"/>
      <c r="BA66" s="47" t="n"/>
      <c r="BB66" s="47" t="n"/>
      <c r="BC66" s="212" t="n"/>
      <c r="BD66" s="81" t="n"/>
      <c r="BE66" s="81" t="n"/>
      <c r="BF66" s="56" t="n"/>
      <c r="BG66" s="56" t="n"/>
      <c r="BH66" s="47" t="n"/>
      <c r="BI66" s="47" t="n"/>
      <c r="BJ66" s="212" t="n"/>
      <c r="BK66" s="81" t="n"/>
      <c r="BL66" s="81" t="n"/>
      <c r="BM66" s="56" t="n"/>
      <c r="BN66" s="56" t="n"/>
      <c r="BO66" s="47" t="n"/>
      <c r="BP66" s="47" t="n"/>
      <c r="BQ66" s="211" t="n"/>
      <c r="BR66" s="81" t="n"/>
      <c r="BS66" s="81" t="n"/>
      <c r="BT66" s="56" t="n"/>
      <c r="BU66" s="56" t="n"/>
      <c r="BV66" s="47" t="n"/>
      <c r="BW66" s="47" t="n"/>
      <c r="BX66" s="213" t="n"/>
      <c r="BY66" s="81" t="n"/>
      <c r="BZ66" s="81" t="n"/>
      <c r="CA66" s="56" t="n"/>
      <c r="CB66" s="56" t="n"/>
      <c r="CC66" s="47" t="n"/>
      <c r="CD66" s="47" t="n"/>
      <c r="CE66" s="213" t="n"/>
      <c r="CF66" s="81" t="n"/>
      <c r="CG66" s="81" t="n"/>
      <c r="CH66" s="56" t="n"/>
      <c r="CI66" s="56" t="n"/>
      <c r="CJ66" s="47" t="n"/>
      <c r="CK66" s="47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</row>
    <row r="67" ht="9.75" customFormat="1" customHeight="1" s="167">
      <c r="B67" s="48" t="n"/>
      <c r="C67" s="48" t="n"/>
      <c r="D67" s="48" t="n"/>
      <c r="E67" s="389" t="n"/>
      <c r="F67" s="460" t="n"/>
      <c r="G67" s="460" t="n"/>
      <c r="H67" s="460" t="n"/>
      <c r="I67" s="460" t="n"/>
      <c r="J67" s="460" t="n"/>
      <c r="K67" s="460" t="n"/>
      <c r="L67" s="460" t="n"/>
      <c r="M67" s="460" t="n"/>
      <c r="N67" s="460" t="n"/>
      <c r="O67" s="460" t="n"/>
      <c r="P67" s="46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286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213" t="n"/>
      <c r="AW67" s="81" t="n"/>
      <c r="AX67" s="81" t="n"/>
      <c r="AY67" s="56" t="n"/>
      <c r="AZ67" s="56" t="n"/>
      <c r="BA67" s="47" t="n"/>
      <c r="BB67" s="47" t="n"/>
      <c r="BC67" s="212" t="n"/>
      <c r="BD67" s="81" t="n"/>
      <c r="BE67" s="81" t="n"/>
      <c r="BF67" s="56" t="n"/>
      <c r="BG67" s="56" t="n"/>
      <c r="BH67" s="47" t="n"/>
      <c r="BI67" s="47" t="n"/>
      <c r="BJ67" s="212" t="n"/>
      <c r="BK67" s="81" t="n"/>
      <c r="BL67" s="81" t="n"/>
      <c r="BM67" s="56" t="n"/>
      <c r="BN67" s="56" t="n"/>
      <c r="BO67" s="47" t="n"/>
      <c r="BP67" s="47" t="n"/>
      <c r="BQ67" s="211" t="n"/>
      <c r="BR67" s="81" t="n"/>
      <c r="BS67" s="81" t="n"/>
      <c r="BT67" s="56" t="n"/>
      <c r="BU67" s="56" t="n"/>
      <c r="BV67" s="47" t="n"/>
      <c r="BW67" s="47" t="n"/>
      <c r="BX67" s="213" t="n"/>
      <c r="BY67" s="81" t="n"/>
      <c r="BZ67" s="81" t="n"/>
      <c r="CA67" s="56" t="n"/>
      <c r="CB67" s="56" t="n"/>
      <c r="CC67" s="47" t="n"/>
      <c r="CD67" s="47" t="n"/>
      <c r="CE67" s="213" t="n"/>
      <c r="CF67" s="81" t="n"/>
      <c r="CG67" s="81" t="n"/>
      <c r="CH67" s="56" t="n"/>
      <c r="CI67" s="56" t="n"/>
      <c r="CJ67" s="47" t="n"/>
      <c r="CK67" s="47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</row>
    <row r="68" ht="24" customFormat="1" customHeight="1" s="167">
      <c r="B68" s="48" t="n"/>
      <c r="C68" s="48" t="n"/>
      <c r="D68" s="48" t="n"/>
      <c r="E68" s="361" t="inlineStr">
        <is>
          <t>STATO</t>
        </is>
      </c>
      <c r="F68" s="461" t="n"/>
      <c r="G68" s="398" t="inlineStr">
        <is>
          <t>Medoto HML</t>
        </is>
      </c>
      <c r="H68" s="398" t="inlineStr">
        <is>
          <t>LEX</t>
        </is>
      </c>
      <c r="I68" s="119" t="inlineStr">
        <is>
          <t>LEX'</t>
        </is>
      </c>
      <c r="J68" s="133">
        <f>IF(O47&lt;87,CX43,CX43)</f>
        <v/>
      </c>
      <c r="K68" s="119" t="inlineStr">
        <is>
          <t xml:space="preserve">Lact </t>
        </is>
      </c>
      <c r="L68" s="119" t="n">
        <v>80</v>
      </c>
      <c r="M68" s="365">
        <f>IF(J68&lt;65,"IPERPROTEZIONE",IF(J68&lt;70,"ACCETTABILE",IF(J68&lt;75,"BUONA",IF(J68&lt;80,"ACCETTABILE","INSUFFICIENTE"))))</f>
        <v/>
      </c>
      <c r="N68" s="460" t="n"/>
      <c r="O68" s="460" t="n"/>
      <c r="P68" s="46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286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220" t="n"/>
      <c r="AW68" s="81" t="n"/>
      <c r="AX68" s="81" t="n"/>
      <c r="AY68" s="56" t="n"/>
      <c r="AZ68" s="56" t="n"/>
      <c r="BA68" s="47" t="n"/>
      <c r="BB68" s="47" t="n"/>
      <c r="BC68" s="212" t="n"/>
      <c r="BD68" s="81" t="n"/>
      <c r="BE68" s="81" t="n"/>
      <c r="BF68" s="56" t="n"/>
      <c r="BG68" s="56" t="n"/>
      <c r="BH68" s="47" t="n"/>
      <c r="BI68" s="47" t="n"/>
      <c r="BJ68" s="212" t="n"/>
      <c r="BK68" s="81" t="n"/>
      <c r="BL68" s="81" t="n"/>
      <c r="BM68" s="56" t="n"/>
      <c r="BN68" s="56" t="n"/>
      <c r="BO68" s="47" t="n"/>
      <c r="BP68" s="47" t="n"/>
      <c r="BQ68" s="211" t="n"/>
      <c r="BR68" s="81" t="n"/>
      <c r="BS68" s="81" t="n"/>
      <c r="BT68" s="56" t="n"/>
      <c r="BU68" s="56" t="n"/>
      <c r="BV68" s="47" t="n"/>
      <c r="BW68" s="47" t="n"/>
      <c r="BX68" s="213" t="n"/>
      <c r="BY68" s="81" t="n"/>
      <c r="BZ68" s="81" t="n"/>
      <c r="CA68" s="56" t="n"/>
      <c r="CB68" s="56" t="n"/>
      <c r="CC68" s="47" t="n"/>
      <c r="CD68" s="47" t="n"/>
      <c r="CE68" s="213" t="n"/>
      <c r="CF68" s="81" t="n"/>
      <c r="CG68" s="81" t="n"/>
      <c r="CH68" s="56" t="n"/>
      <c r="CI68" s="56" t="n"/>
      <c r="CJ68" s="47" t="n"/>
      <c r="CK68" s="47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</row>
    <row r="69" ht="37.5" customFormat="1" customHeight="1" s="167" thickBot="1">
      <c r="B69" s="48" t="n"/>
      <c r="C69" s="48" t="n"/>
      <c r="D69" s="48" t="n"/>
      <c r="E69" s="367" t="inlineStr">
        <is>
          <t>IN DOTAZIONE</t>
        </is>
      </c>
      <c r="F69" s="484" t="n"/>
      <c r="G69" s="463" t="n"/>
      <c r="H69" s="113" t="inlineStr">
        <is>
          <t>PPeak</t>
        </is>
      </c>
      <c r="I69" s="112" t="inlineStr">
        <is>
          <t>dm</t>
        </is>
      </c>
      <c r="J69" s="112">
        <f>M66-5</f>
        <v/>
      </c>
      <c r="K69" s="112" t="inlineStr">
        <is>
          <t xml:space="preserve">Lact </t>
        </is>
      </c>
      <c r="L69" s="112" t="n">
        <v>135</v>
      </c>
      <c r="M69" s="368">
        <f>IF($O$48&lt;135,"VERIFICA NON NECESSARIA",IF(($O$48-J69)&lt;135,"IDONEO","INSUFFICIENTE"))</f>
        <v/>
      </c>
      <c r="N69" s="485" t="n"/>
      <c r="O69" s="485" t="n"/>
      <c r="P69" s="484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286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220" t="n"/>
      <c r="AW69" s="81" t="n"/>
      <c r="AX69" s="81" t="n"/>
      <c r="AY69" s="56" t="n"/>
      <c r="AZ69" s="56" t="n"/>
      <c r="BA69" s="47" t="n"/>
      <c r="BB69" s="47" t="n"/>
      <c r="BC69" s="212" t="n"/>
      <c r="BD69" s="81" t="n"/>
      <c r="BE69" s="81" t="n"/>
      <c r="BF69" s="56" t="n"/>
      <c r="BG69" s="56" t="n"/>
      <c r="BH69" s="47" t="n"/>
      <c r="BI69" s="47" t="n"/>
      <c r="BJ69" s="212" t="n"/>
      <c r="BK69" s="81" t="n"/>
      <c r="BL69" s="81" t="n"/>
      <c r="BM69" s="56" t="n"/>
      <c r="BN69" s="56" t="n"/>
      <c r="BO69" s="47" t="n"/>
      <c r="BP69" s="47" t="n"/>
      <c r="BQ69" s="211" t="n"/>
      <c r="BR69" s="81" t="n"/>
      <c r="BS69" s="81" t="n"/>
      <c r="BT69" s="56" t="n"/>
      <c r="BU69" s="56" t="n"/>
      <c r="BV69" s="47" t="n"/>
      <c r="BW69" s="47" t="n"/>
      <c r="BX69" s="213" t="n"/>
      <c r="BY69" s="81" t="n"/>
      <c r="BZ69" s="81" t="n"/>
      <c r="CA69" s="56" t="n"/>
      <c r="CB69" s="56" t="n"/>
      <c r="CC69" s="47" t="n"/>
      <c r="CD69" s="47" t="n"/>
      <c r="CE69" s="213" t="n"/>
      <c r="CF69" s="81" t="n"/>
      <c r="CG69" s="81" t="n"/>
      <c r="CH69" s="56" t="n"/>
      <c r="CI69" s="56" t="n"/>
      <c r="CJ69" s="47" t="n"/>
      <c r="CK69" s="47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</row>
    <row r="70" ht="12.6" customFormat="1" customHeight="1" s="167">
      <c r="B70" s="48" t="n"/>
      <c r="C70" s="48" t="n"/>
      <c r="D70" s="48" t="n"/>
      <c r="E70" s="81" t="n"/>
      <c r="F70" s="81" t="n"/>
      <c r="G70" s="81" t="n"/>
      <c r="H70" s="81" t="n"/>
      <c r="I70" s="61" t="n"/>
      <c r="J70" s="61" t="n"/>
      <c r="K70" s="50" t="n"/>
      <c r="L70" s="51" t="n"/>
      <c r="M70" s="51" t="n"/>
      <c r="N70" s="52" t="n"/>
      <c r="O70" s="53" t="n"/>
      <c r="P70" s="53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286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221" t="n"/>
      <c r="AW70" s="81" t="n"/>
      <c r="AX70" s="81" t="n"/>
      <c r="AY70" s="56" t="n"/>
      <c r="AZ70" s="56" t="n"/>
      <c r="BA70" s="47" t="n"/>
      <c r="BB70" s="47" t="n"/>
      <c r="BC70" s="212" t="n"/>
      <c r="BD70" s="81" t="n"/>
      <c r="BE70" s="81" t="n"/>
      <c r="BF70" s="56" t="n"/>
      <c r="BG70" s="56" t="n"/>
      <c r="BH70" s="47" t="n"/>
      <c r="BI70" s="47" t="n"/>
      <c r="BJ70" s="212" t="n"/>
      <c r="BK70" s="81" t="n"/>
      <c r="BL70" s="81" t="n"/>
      <c r="BM70" s="56" t="n"/>
      <c r="BN70" s="56" t="n"/>
      <c r="BO70" s="47" t="n"/>
      <c r="BP70" s="47" t="n"/>
      <c r="BQ70" s="211" t="n"/>
      <c r="BR70" s="81" t="n"/>
      <c r="BS70" s="81" t="n"/>
      <c r="BT70" s="56" t="n"/>
      <c r="BU70" s="56" t="n"/>
      <c r="BV70" s="47" t="n"/>
      <c r="BW70" s="47" t="n"/>
      <c r="BX70" s="213" t="n"/>
      <c r="BY70" s="81" t="n"/>
      <c r="BZ70" s="81" t="n"/>
      <c r="CA70" s="56" t="n"/>
      <c r="CB70" s="56" t="n"/>
      <c r="CC70" s="47" t="n"/>
      <c r="CD70" s="47" t="n"/>
      <c r="CE70" s="213" t="n"/>
      <c r="CF70" s="81" t="n"/>
      <c r="CG70" s="81" t="n"/>
      <c r="CH70" s="56" t="n"/>
      <c r="CI70" s="56" t="n"/>
      <c r="CJ70" s="47" t="n"/>
      <c r="CK70" s="47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</row>
    <row r="71" ht="12.6" customFormat="1" customHeight="1" s="167" thickBot="1">
      <c r="B71" s="48" t="n"/>
      <c r="C71" s="48" t="n"/>
      <c r="D71" s="48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2" t="n"/>
      <c r="O71" s="53" t="n"/>
      <c r="P71" s="53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286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221" t="n"/>
      <c r="AW71" s="81" t="n"/>
      <c r="AX71" s="81" t="n"/>
      <c r="AY71" s="56" t="n"/>
      <c r="AZ71" s="56" t="n"/>
      <c r="BA71" s="47" t="n"/>
      <c r="BB71" s="47" t="n"/>
      <c r="BC71" s="212" t="n"/>
      <c r="BD71" s="81" t="n"/>
      <c r="BE71" s="81" t="n"/>
      <c r="BF71" s="56" t="n"/>
      <c r="BG71" s="56" t="n"/>
      <c r="BH71" s="47" t="n"/>
      <c r="BI71" s="47" t="n"/>
      <c r="BJ71" s="212" t="n"/>
      <c r="BK71" s="81" t="n"/>
      <c r="BL71" s="81" t="n"/>
      <c r="BM71" s="56" t="n"/>
      <c r="BN71" s="56" t="n"/>
      <c r="BO71" s="47" t="n"/>
      <c r="BP71" s="47" t="n"/>
      <c r="BQ71" s="211" t="n"/>
      <c r="BR71" s="81" t="n"/>
      <c r="BS71" s="81" t="n"/>
      <c r="BT71" s="56" t="n"/>
      <c r="BU71" s="56" t="n"/>
      <c r="BV71" s="47" t="n"/>
      <c r="BW71" s="47" t="n"/>
      <c r="BX71" s="213" t="n"/>
      <c r="BY71" s="81" t="n"/>
      <c r="BZ71" s="81" t="n"/>
      <c r="CA71" s="56" t="n"/>
      <c r="CB71" s="56" t="n"/>
      <c r="CC71" s="47" t="n"/>
      <c r="CD71" s="47" t="n"/>
      <c r="CE71" s="213" t="n"/>
      <c r="CF71" s="81" t="n"/>
      <c r="CG71" s="81" t="n"/>
      <c r="CH71" s="56" t="n"/>
      <c r="CI71" s="56" t="n"/>
      <c r="CJ71" s="47" t="n"/>
      <c r="CK71" s="47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</row>
    <row r="72" ht="27" customFormat="1" customHeight="1" s="167">
      <c r="B72" s="48" t="n"/>
      <c r="C72" s="48" t="n"/>
      <c r="D72" s="48" t="n"/>
      <c r="E72" s="486" t="inlineStr">
        <is>
          <t>VERIFICA E GIUDIZIO IDONEITA' DEL D.P.I. CON CALCOLO DEL PNR GLOBALE PER LAeq,F</t>
        </is>
      </c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7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286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221" t="n"/>
      <c r="AW72" s="81" t="n"/>
      <c r="AX72" s="81" t="n"/>
      <c r="AY72" s="56" t="n"/>
      <c r="AZ72" s="56" t="n"/>
      <c r="BA72" s="47" t="n"/>
      <c r="BB72" s="47" t="n"/>
      <c r="BC72" s="212" t="n"/>
      <c r="BD72" s="81" t="n"/>
      <c r="BE72" s="81" t="n"/>
      <c r="BF72" s="56" t="n"/>
      <c r="BG72" s="56" t="n"/>
      <c r="BH72" s="47" t="n"/>
      <c r="BI72" s="47" t="n"/>
      <c r="BJ72" s="212" t="n"/>
      <c r="BK72" s="81" t="n"/>
      <c r="BL72" s="81" t="n"/>
      <c r="BM72" s="56" t="n"/>
      <c r="BN72" s="56" t="n"/>
      <c r="BO72" s="47" t="n"/>
      <c r="BP72" s="47" t="n"/>
      <c r="BQ72" s="211" t="n"/>
      <c r="BR72" s="81" t="n"/>
      <c r="BS72" s="81" t="n"/>
      <c r="BT72" s="56" t="n"/>
      <c r="BU72" s="56" t="n"/>
      <c r="BV72" s="47" t="n"/>
      <c r="BW72" s="47" t="n"/>
      <c r="BX72" s="213" t="n"/>
      <c r="BY72" s="81" t="n"/>
      <c r="BZ72" s="81" t="n"/>
      <c r="CA72" s="56" t="n"/>
      <c r="CB72" s="56" t="n"/>
      <c r="CC72" s="47" t="n"/>
      <c r="CD72" s="47" t="n"/>
      <c r="CE72" s="213" t="n"/>
      <c r="CF72" s="81" t="n"/>
      <c r="CG72" s="81" t="n"/>
      <c r="CH72" s="56" t="n"/>
      <c r="CI72" s="56" t="n"/>
      <c r="CJ72" s="47" t="n"/>
      <c r="CK72" s="47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</row>
    <row r="73" ht="21" customFormat="1" customHeight="1" s="167">
      <c r="B73" s="48" t="n"/>
      <c r="C73" s="48" t="n"/>
      <c r="D73" s="48" t="n"/>
      <c r="E73" s="193" t="inlineStr">
        <is>
          <t>COD.</t>
        </is>
      </c>
      <c r="F73" s="373" t="inlineStr">
        <is>
          <t>Tipologia:</t>
        </is>
      </c>
      <c r="G73" s="373" t="inlineStr">
        <is>
          <t>Marca:</t>
        </is>
      </c>
      <c r="H73" s="373" t="inlineStr">
        <is>
          <t>Modello:</t>
        </is>
      </c>
      <c r="I73" s="461" t="n"/>
      <c r="J73" s="114" t="inlineStr">
        <is>
          <t>SNR</t>
        </is>
      </c>
      <c r="K73" s="115" t="inlineStr">
        <is>
          <t>H</t>
        </is>
      </c>
      <c r="L73" s="116" t="inlineStr">
        <is>
          <t>M</t>
        </is>
      </c>
      <c r="M73" s="116" t="inlineStr">
        <is>
          <t>L</t>
        </is>
      </c>
      <c r="N73" s="388" t="inlineStr">
        <is>
          <t>LEQ(A)F</t>
        </is>
      </c>
      <c r="O73" s="388" t="inlineStr">
        <is>
          <t>LEQ(C)F</t>
        </is>
      </c>
      <c r="P73" s="132" t="inlineStr">
        <is>
          <t>PNR</t>
        </is>
      </c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286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218" t="n"/>
      <c r="AW73" s="81" t="n"/>
      <c r="AX73" s="81" t="n"/>
      <c r="AY73" s="56" t="n"/>
      <c r="AZ73" s="52" t="n"/>
      <c r="BA73" s="47" t="n"/>
      <c r="BB73" s="47" t="n"/>
      <c r="BC73" s="212" t="n"/>
      <c r="BD73" s="81" t="n"/>
      <c r="BE73" s="81" t="n"/>
      <c r="BF73" s="56" t="n"/>
      <c r="BG73" s="52" t="n"/>
      <c r="BH73" s="47" t="n"/>
      <c r="BI73" s="47" t="n"/>
      <c r="BJ73" s="212" t="n"/>
      <c r="BK73" s="81" t="n"/>
      <c r="BL73" s="81" t="n"/>
      <c r="BM73" s="56" t="n"/>
      <c r="BN73" s="52" t="n"/>
      <c r="BO73" s="47" t="n"/>
      <c r="BP73" s="47" t="n"/>
      <c r="BQ73" s="211" t="n"/>
      <c r="BR73" s="81" t="n"/>
      <c r="BS73" s="81" t="n"/>
      <c r="BT73" s="56" t="n"/>
      <c r="BU73" s="52" t="n"/>
      <c r="BV73" s="47" t="n"/>
      <c r="BW73" s="47" t="n"/>
      <c r="BX73" s="213" t="n"/>
      <c r="BY73" s="81" t="n"/>
      <c r="BZ73" s="81" t="n"/>
      <c r="CA73" s="56" t="n"/>
      <c r="CB73" s="52" t="n"/>
      <c r="CC73" s="47" t="n"/>
      <c r="CD73" s="47" t="n"/>
      <c r="CE73" s="213" t="n"/>
      <c r="CF73" s="81" t="n"/>
      <c r="CG73" s="81" t="n"/>
      <c r="CH73" s="56" t="n"/>
      <c r="CI73" s="52" t="n"/>
      <c r="CJ73" s="47" t="n"/>
      <c r="CK73" s="47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</row>
    <row r="74" ht="21" customFormat="1" customHeight="1" s="167">
      <c r="B74" s="48" t="n"/>
      <c r="C74" s="48" t="n"/>
      <c r="D74" s="48" t="n"/>
      <c r="E74" s="374" t="inlineStr">
        <is>
          <t>A2</t>
        </is>
      </c>
      <c r="F74" s="374">
        <f>VLOOKUP(E74,$E$115:$L$246,2,FALSE)</f>
        <v/>
      </c>
      <c r="G74" s="374">
        <f>VLOOKUP($E$74,$E$115:$L$246,3,FALSE)</f>
        <v/>
      </c>
      <c r="H74" s="374">
        <f>VLOOKUP($E$74,$E$115:$L$246,4,FALSE)</f>
        <v/>
      </c>
      <c r="I74" s="461" t="n"/>
      <c r="J74" s="46">
        <f>VLOOKUP(E74,$E$115:$L$246,5,FALSE)</f>
        <v/>
      </c>
      <c r="K74" s="46">
        <f>VLOOKUP($E$74,$E$115:$L$246,6,FALSE)</f>
        <v/>
      </c>
      <c r="L74" s="46">
        <f>VLOOKUP($E$74,$E$115:$L$246,7,FALSE)</f>
        <v/>
      </c>
      <c r="M74" s="46">
        <f>VLOOKUP($E$74,$E$115:$L$246,8,FALSE)</f>
        <v/>
      </c>
      <c r="N74" s="375">
        <f>$DE$11</f>
        <v/>
      </c>
      <c r="O74" s="375">
        <f>$DF$11</f>
        <v/>
      </c>
      <c r="P74" s="376">
        <f>IF(($DF$11-$DE$11)&lt;=2,(L75-((K75-L75)/4)*($DF$11-$DE$11-2)),(L75-((L75-M75)/8)*($DF$11-$DE$11-2)))</f>
        <v/>
      </c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286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219" t="n"/>
      <c r="AW74" s="81" t="n"/>
      <c r="AX74" s="81" t="n"/>
      <c r="AY74" s="56" t="n"/>
      <c r="AZ74" s="56" t="n"/>
      <c r="BA74" s="47" t="n"/>
      <c r="BB74" s="47" t="n"/>
      <c r="BC74" s="212" t="n"/>
      <c r="BD74" s="81" t="n"/>
      <c r="BE74" s="81" t="n"/>
      <c r="BF74" s="56" t="n"/>
      <c r="BG74" s="56" t="n"/>
      <c r="BH74" s="47" t="n"/>
      <c r="BI74" s="47" t="n"/>
      <c r="BJ74" s="212" t="n"/>
      <c r="BK74" s="81" t="n"/>
      <c r="BL74" s="81" t="n"/>
      <c r="BM74" s="56" t="n"/>
      <c r="BN74" s="56" t="n"/>
      <c r="BO74" s="47" t="n"/>
      <c r="BP74" s="47" t="n"/>
      <c r="BQ74" s="211" t="n"/>
      <c r="BR74" s="81" t="n"/>
      <c r="BS74" s="81" t="n"/>
      <c r="BT74" s="56" t="n"/>
      <c r="BU74" s="56" t="n"/>
      <c r="BV74" s="47" t="n"/>
      <c r="BW74" s="47" t="n"/>
      <c r="BX74" s="213" t="n"/>
      <c r="BY74" s="81" t="n"/>
      <c r="BZ74" s="81" t="n"/>
      <c r="CA74" s="56" t="n"/>
      <c r="CB74" s="56" t="n"/>
      <c r="CC74" s="47" t="n"/>
      <c r="CD74" s="47" t="n"/>
      <c r="CE74" s="213" t="n"/>
      <c r="CF74" s="81" t="n"/>
      <c r="CG74" s="81" t="n"/>
      <c r="CH74" s="56" t="n"/>
      <c r="CI74" s="56" t="n"/>
      <c r="CJ74" s="47" t="n"/>
      <c r="CK74" s="47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</row>
    <row r="75" ht="21" customFormat="1" customHeight="1" s="167">
      <c r="B75" s="48" t="n"/>
      <c r="C75" s="48" t="n"/>
      <c r="D75" s="48" t="n"/>
      <c r="E75" s="191" t="n"/>
      <c r="F75" s="127" t="n"/>
      <c r="G75" s="128" t="inlineStr">
        <is>
          <t xml:space="preserve">Coeffciente correttivo β = </t>
        </is>
      </c>
      <c r="H75" s="378" t="n">
        <v>0.65</v>
      </c>
      <c r="I75" s="461" t="n"/>
      <c r="J75" s="117">
        <f>H75*J74</f>
        <v/>
      </c>
      <c r="K75" s="118">
        <f>K74*$H$75</f>
        <v/>
      </c>
      <c r="L75" s="118">
        <f>L74*$H$75</f>
        <v/>
      </c>
      <c r="M75" s="118">
        <f>M74*$H$75</f>
        <v/>
      </c>
      <c r="N75" s="463" t="n"/>
      <c r="O75" s="463" t="n"/>
      <c r="P75" s="488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286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211" t="n"/>
      <c r="AW75" s="81" t="n"/>
      <c r="AX75" s="81" t="n"/>
      <c r="AY75" s="56" t="n"/>
      <c r="AZ75" s="56" t="n"/>
      <c r="BA75" s="47" t="n"/>
      <c r="BB75" s="47" t="n"/>
      <c r="BC75" s="212" t="n"/>
      <c r="BD75" s="81" t="n"/>
      <c r="BE75" s="81" t="n"/>
      <c r="BF75" s="56" t="n"/>
      <c r="BG75" s="56" t="n"/>
      <c r="BH75" s="47" t="n"/>
      <c r="BI75" s="47" t="n"/>
      <c r="BJ75" s="212" t="n"/>
      <c r="BK75" s="81" t="n"/>
      <c r="BL75" s="81" t="n"/>
      <c r="BM75" s="56" t="n"/>
      <c r="BN75" s="56" t="n"/>
      <c r="BO75" s="47" t="n"/>
      <c r="BP75" s="47" t="n"/>
      <c r="BQ75" s="211" t="n"/>
      <c r="BR75" s="81" t="n"/>
      <c r="BS75" s="81" t="n"/>
      <c r="BT75" s="56" t="n"/>
      <c r="BU75" s="56" t="n"/>
      <c r="BV75" s="47" t="n"/>
      <c r="BW75" s="47" t="n"/>
      <c r="BX75" s="213" t="n"/>
      <c r="BY75" s="81" t="n"/>
      <c r="BZ75" s="81" t="n"/>
      <c r="CA75" s="56" t="n"/>
      <c r="CB75" s="56" t="n"/>
      <c r="CC75" s="47" t="n"/>
      <c r="CD75" s="47" t="n"/>
      <c r="CE75" s="213" t="n"/>
      <c r="CF75" s="81" t="n"/>
      <c r="CG75" s="81" t="n"/>
      <c r="CH75" s="56" t="n"/>
      <c r="CI75" s="56" t="n"/>
      <c r="CJ75" s="47" t="n"/>
      <c r="CK75" s="47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</row>
    <row r="76" ht="9" customFormat="1" customHeight="1" s="167">
      <c r="B76" s="48" t="n"/>
      <c r="C76" s="48" t="n"/>
      <c r="D76" s="48" t="n"/>
      <c r="E76" s="489" t="n"/>
      <c r="F76" s="457" t="n"/>
      <c r="G76" s="457" t="n"/>
      <c r="H76" s="457" t="n"/>
      <c r="I76" s="457" t="n"/>
      <c r="J76" s="457" t="n"/>
      <c r="K76" s="457" t="n"/>
      <c r="L76" s="457" t="n"/>
      <c r="M76" s="457" t="n"/>
      <c r="N76" s="457" t="n"/>
      <c r="O76" s="457" t="n"/>
      <c r="P76" s="490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286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211" t="n"/>
      <c r="AW76" s="81" t="n"/>
      <c r="AX76" s="81" t="n"/>
      <c r="AY76" s="56" t="n"/>
      <c r="AZ76" s="56" t="n"/>
      <c r="BA76" s="47" t="n"/>
      <c r="BB76" s="47" t="n"/>
      <c r="BC76" s="212" t="n"/>
      <c r="BD76" s="81" t="n"/>
      <c r="BE76" s="81" t="n"/>
      <c r="BF76" s="56" t="n"/>
      <c r="BG76" s="56" t="n"/>
      <c r="BH76" s="47" t="n"/>
      <c r="BI76" s="47" t="n"/>
      <c r="BJ76" s="212" t="n"/>
      <c r="BK76" s="81" t="n"/>
      <c r="BL76" s="81" t="n"/>
      <c r="BM76" s="56" t="n"/>
      <c r="BN76" s="56" t="n"/>
      <c r="BO76" s="47" t="n"/>
      <c r="BP76" s="47" t="n"/>
      <c r="BQ76" s="211" t="n"/>
      <c r="BR76" s="81" t="n"/>
      <c r="BS76" s="81" t="n"/>
      <c r="BT76" s="56" t="n"/>
      <c r="BU76" s="56" t="n"/>
      <c r="BV76" s="47" t="n"/>
      <c r="BW76" s="47" t="n"/>
      <c r="BX76" s="213" t="n"/>
      <c r="BY76" s="81" t="n"/>
      <c r="BZ76" s="81" t="n"/>
      <c r="CA76" s="56" t="n"/>
      <c r="CB76" s="56" t="n"/>
      <c r="CC76" s="47" t="n"/>
      <c r="CD76" s="47" t="n"/>
      <c r="CE76" s="213" t="n"/>
      <c r="CF76" s="81" t="n"/>
      <c r="CG76" s="81" t="n"/>
      <c r="CH76" s="56" t="n"/>
      <c r="CI76" s="56" t="n"/>
      <c r="CJ76" s="47" t="n"/>
      <c r="CK76" s="47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</row>
    <row r="77" ht="21" customFormat="1" customHeight="1" s="167">
      <c r="B77" s="48" t="n"/>
      <c r="C77" s="48" t="n"/>
      <c r="D77" s="48" t="n"/>
      <c r="E77" s="361" t="inlineStr">
        <is>
          <t>STATO</t>
        </is>
      </c>
      <c r="F77" s="461" t="n"/>
      <c r="G77" s="363" t="inlineStr">
        <is>
          <t>Medoto HML</t>
        </is>
      </c>
      <c r="H77" s="130" t="inlineStr">
        <is>
          <t>LEQ</t>
        </is>
      </c>
      <c r="I77" s="131" t="inlineStr">
        <is>
          <t>Leq(A)'</t>
        </is>
      </c>
      <c r="J77" s="133">
        <f>$DE$11-P74</f>
        <v/>
      </c>
      <c r="K77" s="131" t="inlineStr">
        <is>
          <t xml:space="preserve">Lact </t>
        </is>
      </c>
      <c r="L77" s="131" t="n">
        <v>80</v>
      </c>
      <c r="M77" s="365">
        <f>IF(J77&lt;65,"IPERPROTEZIONE",IF(J77&lt;70,"ACCETTABILE",IF(J77&lt;75,"BUONA",IF(J77&lt;80,"ACCETTABILE","INSUFFICIENTE"))))</f>
        <v/>
      </c>
      <c r="N77" s="460" t="n"/>
      <c r="O77" s="460" t="n"/>
      <c r="P77" s="46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286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220" t="n"/>
      <c r="AW77" s="81" t="n"/>
      <c r="AX77" s="81" t="n"/>
      <c r="AY77" s="56" t="n"/>
      <c r="AZ77" s="56" t="n"/>
      <c r="BA77" s="47" t="n"/>
      <c r="BB77" s="47" t="n"/>
      <c r="BC77" s="212" t="n"/>
      <c r="BD77" s="81" t="n"/>
      <c r="BE77" s="81" t="n"/>
      <c r="BF77" s="56" t="n"/>
      <c r="BG77" s="56" t="n"/>
      <c r="BH77" s="47" t="n"/>
      <c r="BI77" s="47" t="n"/>
      <c r="BJ77" s="212" t="n"/>
      <c r="BK77" s="81" t="n"/>
      <c r="BL77" s="81" t="n"/>
      <c r="BM77" s="56" t="n"/>
      <c r="BN77" s="56" t="n"/>
      <c r="BO77" s="47" t="n"/>
      <c r="BP77" s="47" t="n"/>
      <c r="BQ77" s="211" t="n"/>
      <c r="BR77" s="81" t="n"/>
      <c r="BS77" s="81" t="n"/>
      <c r="BT77" s="56" t="n"/>
      <c r="BU77" s="56" t="n"/>
      <c r="BV77" s="47" t="n"/>
      <c r="BW77" s="47" t="n"/>
      <c r="BX77" s="213" t="n"/>
      <c r="BY77" s="81" t="n"/>
      <c r="BZ77" s="81" t="n"/>
      <c r="CA77" s="56" t="n"/>
      <c r="CB77" s="56" t="n"/>
      <c r="CC77" s="47" t="n"/>
      <c r="CD77" s="47" t="n"/>
      <c r="CE77" s="213" t="n"/>
      <c r="CF77" s="81" t="n"/>
      <c r="CG77" s="81" t="n"/>
      <c r="CH77" s="56" t="n"/>
      <c r="CI77" s="56" t="n"/>
      <c r="CJ77" s="47" t="n"/>
      <c r="CK77" s="47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</row>
    <row r="78" ht="37.5" customFormat="1" customHeight="1" s="167" thickBot="1">
      <c r="B78" s="48" t="n"/>
      <c r="C78" s="48" t="n"/>
      <c r="D78" s="48" t="n"/>
      <c r="E78" s="367" t="inlineStr">
        <is>
          <t>IN DOTAZIONE</t>
        </is>
      </c>
      <c r="F78" s="484" t="n"/>
      <c r="G78" s="463" t="n"/>
      <c r="H78" s="59" t="inlineStr">
        <is>
          <t>PPeak</t>
        </is>
      </c>
      <c r="I78" s="60" t="inlineStr">
        <is>
          <t>dm</t>
        </is>
      </c>
      <c r="J78" s="60">
        <f>M75-5</f>
        <v/>
      </c>
      <c r="K78" s="60" t="inlineStr">
        <is>
          <t xml:space="preserve">Lact </t>
        </is>
      </c>
      <c r="L78" s="60" t="n">
        <v>135</v>
      </c>
      <c r="M78" s="368">
        <f>IF($O$48&lt;135,"VERIFICA NON NECESSARIA",IF(($O$48-J78)&lt;135,"IDONEO","INSUFFICIENTE"))</f>
        <v/>
      </c>
      <c r="N78" s="485" t="n"/>
      <c r="O78" s="485" t="n"/>
      <c r="P78" s="484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286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220" t="n"/>
      <c r="AW78" s="81" t="n"/>
      <c r="AX78" s="81" t="n"/>
      <c r="AY78" s="56" t="n"/>
      <c r="AZ78" s="56" t="n"/>
      <c r="BA78" s="47" t="n"/>
      <c r="BB78" s="47" t="n"/>
      <c r="BC78" s="212" t="n"/>
      <c r="BD78" s="81" t="n"/>
      <c r="BE78" s="81" t="n"/>
      <c r="BF78" s="56" t="n"/>
      <c r="BG78" s="56" t="n"/>
      <c r="BH78" s="47" t="n"/>
      <c r="BI78" s="47" t="n"/>
      <c r="BJ78" s="212" t="n"/>
      <c r="BK78" s="81" t="n"/>
      <c r="BL78" s="81" t="n"/>
      <c r="BM78" s="56" t="n"/>
      <c r="BN78" s="56" t="n"/>
      <c r="BO78" s="47" t="n"/>
      <c r="BP78" s="47" t="n"/>
      <c r="BQ78" s="211" t="n"/>
      <c r="BR78" s="81" t="n"/>
      <c r="BS78" s="81" t="n"/>
      <c r="BT78" s="56" t="n"/>
      <c r="BU78" s="56" t="n"/>
      <c r="BV78" s="47" t="n"/>
      <c r="BW78" s="47" t="n"/>
      <c r="BX78" s="213" t="n"/>
      <c r="BY78" s="81" t="n"/>
      <c r="BZ78" s="81" t="n"/>
      <c r="CA78" s="56" t="n"/>
      <c r="CB78" s="56" t="n"/>
      <c r="CC78" s="47" t="n"/>
      <c r="CD78" s="47" t="n"/>
      <c r="CE78" s="213" t="n"/>
      <c r="CF78" s="81" t="n"/>
      <c r="CG78" s="81" t="n"/>
      <c r="CH78" s="56" t="n"/>
      <c r="CI78" s="56" t="n"/>
      <c r="CJ78" s="47" t="n"/>
      <c r="CK78" s="47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</row>
    <row r="79" ht="25.5" customFormat="1" customHeight="1" s="167" thickBot="1">
      <c r="B79" s="81" t="n"/>
      <c r="C79" s="81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286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213" t="n"/>
      <c r="AW79" s="81" t="n"/>
      <c r="AX79" s="81" t="n"/>
      <c r="AY79" s="56" t="n"/>
      <c r="AZ79" s="52" t="n"/>
      <c r="BA79" s="47" t="n"/>
      <c r="BB79" s="47" t="n"/>
      <c r="BC79" s="212" t="n"/>
      <c r="BD79" s="81" t="n"/>
      <c r="BE79" s="81" t="n"/>
      <c r="BF79" s="56" t="n"/>
      <c r="BG79" s="52" t="n"/>
      <c r="BH79" s="47" t="n"/>
      <c r="BI79" s="47" t="n"/>
      <c r="BJ79" s="212" t="n"/>
      <c r="BK79" s="81" t="n"/>
      <c r="BL79" s="81" t="n"/>
      <c r="BM79" s="56" t="n"/>
      <c r="BN79" s="52" t="n"/>
      <c r="BO79" s="47" t="n"/>
      <c r="BP79" s="47" t="n"/>
      <c r="BQ79" s="211" t="n"/>
      <c r="BR79" s="81" t="n"/>
      <c r="BS79" s="81" t="n"/>
      <c r="BT79" s="56" t="n"/>
      <c r="BU79" s="52" t="n"/>
      <c r="BV79" s="47" t="n"/>
      <c r="BW79" s="47" t="n"/>
      <c r="BX79" s="213" t="n"/>
      <c r="BY79" s="81" t="n"/>
      <c r="BZ79" s="81" t="n"/>
      <c r="CA79" s="56" t="n"/>
      <c r="CB79" s="52" t="n"/>
      <c r="CC79" s="47" t="n"/>
      <c r="CD79" s="47" t="n"/>
      <c r="CE79" s="213" t="n"/>
      <c r="CF79" s="81" t="n"/>
      <c r="CG79" s="81" t="n"/>
      <c r="CH79" s="56" t="n"/>
      <c r="CI79" s="52" t="n"/>
      <c r="CJ79" s="47" t="n"/>
      <c r="CK79" s="47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</row>
    <row r="80" ht="27" customFormat="1" customHeight="1" s="167">
      <c r="B80" s="48" t="n"/>
      <c r="C80" s="48" t="n"/>
      <c r="D80" s="48" t="n"/>
      <c r="E80" s="486" t="inlineStr">
        <is>
          <t>VERIFICA E GIUDIZIO IDONEITA' DEL D.P.I. CON CALCOLO DEL PNR GLOBALE PER LAeq,F</t>
        </is>
      </c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7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286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221" t="n"/>
      <c r="AW80" s="81" t="n"/>
      <c r="AX80" s="81" t="n"/>
      <c r="AY80" s="56" t="n"/>
      <c r="AZ80" s="56" t="n"/>
      <c r="BA80" s="47" t="n"/>
      <c r="BB80" s="47" t="n"/>
      <c r="BC80" s="212" t="n"/>
      <c r="BD80" s="81" t="n"/>
      <c r="BE80" s="81" t="n"/>
      <c r="BF80" s="56" t="n"/>
      <c r="BG80" s="56" t="n"/>
      <c r="BH80" s="47" t="n"/>
      <c r="BI80" s="47" t="n"/>
      <c r="BJ80" s="212" t="n"/>
      <c r="BK80" s="81" t="n"/>
      <c r="BL80" s="81" t="n"/>
      <c r="BM80" s="56" t="n"/>
      <c r="BN80" s="56" t="n"/>
      <c r="BO80" s="47" t="n"/>
      <c r="BP80" s="47" t="n"/>
      <c r="BQ80" s="211" t="n"/>
      <c r="BR80" s="81" t="n"/>
      <c r="BS80" s="81" t="n"/>
      <c r="BT80" s="56" t="n"/>
      <c r="BU80" s="56" t="n"/>
      <c r="BV80" s="47" t="n"/>
      <c r="BW80" s="47" t="n"/>
      <c r="BX80" s="213" t="n"/>
      <c r="BY80" s="81" t="n"/>
      <c r="BZ80" s="81" t="n"/>
      <c r="CA80" s="56" t="n"/>
      <c r="CB80" s="56" t="n"/>
      <c r="CC80" s="47" t="n"/>
      <c r="CD80" s="47" t="n"/>
      <c r="CE80" s="213" t="n"/>
      <c r="CF80" s="81" t="n"/>
      <c r="CG80" s="81" t="n"/>
      <c r="CH80" s="56" t="n"/>
      <c r="CI80" s="56" t="n"/>
      <c r="CJ80" s="47" t="n"/>
      <c r="CK80" s="47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</row>
    <row r="81" ht="21" customFormat="1" customHeight="1" s="167">
      <c r="B81" s="48" t="n"/>
      <c r="C81" s="48" t="n"/>
      <c r="D81" s="48" t="n"/>
      <c r="E81" s="193" t="inlineStr">
        <is>
          <t>COD.</t>
        </is>
      </c>
      <c r="F81" s="373" t="inlineStr">
        <is>
          <t>Tipologia:</t>
        </is>
      </c>
      <c r="G81" s="373" t="inlineStr">
        <is>
          <t>Marca:</t>
        </is>
      </c>
      <c r="H81" s="373" t="inlineStr">
        <is>
          <t>Modello:</t>
        </is>
      </c>
      <c r="I81" s="461" t="n"/>
      <c r="J81" s="114" t="inlineStr">
        <is>
          <t>SNR</t>
        </is>
      </c>
      <c r="K81" s="115" t="inlineStr">
        <is>
          <t>H</t>
        </is>
      </c>
      <c r="L81" s="116" t="inlineStr">
        <is>
          <t>M</t>
        </is>
      </c>
      <c r="M81" s="116" t="inlineStr">
        <is>
          <t>L</t>
        </is>
      </c>
      <c r="N81" s="388" t="inlineStr">
        <is>
          <t>LEQ(A)F</t>
        </is>
      </c>
      <c r="O81" s="388" t="inlineStr">
        <is>
          <t>LEQ(C)F</t>
        </is>
      </c>
      <c r="P81" s="132" t="inlineStr">
        <is>
          <t>PNR</t>
        </is>
      </c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286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218" t="n"/>
      <c r="AW81" s="81" t="n"/>
      <c r="AX81" s="81" t="n"/>
      <c r="AY81" s="56" t="n"/>
      <c r="AZ81" s="52" t="n"/>
      <c r="BA81" s="47" t="n"/>
      <c r="BB81" s="47" t="n"/>
      <c r="BC81" s="212" t="n"/>
      <c r="BD81" s="81" t="n"/>
      <c r="BE81" s="81" t="n"/>
      <c r="BF81" s="56" t="n"/>
      <c r="BG81" s="52" t="n"/>
      <c r="BH81" s="47" t="n"/>
      <c r="BI81" s="47" t="n"/>
      <c r="BJ81" s="212" t="n"/>
      <c r="BK81" s="81" t="n"/>
      <c r="BL81" s="81" t="n"/>
      <c r="BM81" s="56" t="n"/>
      <c r="BN81" s="52" t="n"/>
      <c r="BO81" s="47" t="n"/>
      <c r="BP81" s="47" t="n"/>
      <c r="BQ81" s="211" t="n"/>
      <c r="BR81" s="81" t="n"/>
      <c r="BS81" s="81" t="n"/>
      <c r="BT81" s="56" t="n"/>
      <c r="BU81" s="52" t="n"/>
      <c r="BV81" s="47" t="n"/>
      <c r="BW81" s="47" t="n"/>
      <c r="BX81" s="213" t="n"/>
      <c r="BY81" s="81" t="n"/>
      <c r="BZ81" s="81" t="n"/>
      <c r="CA81" s="56" t="n"/>
      <c r="CB81" s="52" t="n"/>
      <c r="CC81" s="47" t="n"/>
      <c r="CD81" s="47" t="n"/>
      <c r="CE81" s="213" t="n"/>
      <c r="CF81" s="81" t="n"/>
      <c r="CG81" s="81" t="n"/>
      <c r="CH81" s="56" t="n"/>
      <c r="CI81" s="52" t="n"/>
      <c r="CJ81" s="47" t="n"/>
      <c r="CK81" s="47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</row>
    <row r="82" ht="21" customFormat="1" customHeight="1" s="167">
      <c r="B82" s="48" t="n"/>
      <c r="C82" s="48" t="n"/>
      <c r="D82" s="48" t="n"/>
      <c r="E82" s="129" t="inlineStr">
        <is>
          <t>A3</t>
        </is>
      </c>
      <c r="F82" s="126">
        <f>VLOOKUP(E82,$E$115:$L$246,2,FALSE)</f>
        <v/>
      </c>
      <c r="G82" s="126">
        <f>VLOOKUP($E$82,$E$115:$L$246,3,FALSE)</f>
        <v/>
      </c>
      <c r="H82" s="374">
        <f>VLOOKUP($E$82,$E$115:$L$246,4,FALSE)</f>
        <v/>
      </c>
      <c r="I82" s="461" t="n"/>
      <c r="J82" s="46">
        <f>VLOOKUP(E82,$E$115:$L$246,5,FALSE)</f>
        <v/>
      </c>
      <c r="K82" s="46">
        <f>VLOOKUP($E$82,$E$115:$L$246,6,FALSE)</f>
        <v/>
      </c>
      <c r="L82" s="46">
        <f>VLOOKUP($E$82,$E$115:$L$246,7,FALSE)</f>
        <v/>
      </c>
      <c r="M82" s="46">
        <f>VLOOKUP($E$82,$E$115:$L$246,8,FALSE)</f>
        <v/>
      </c>
      <c r="N82" s="375">
        <f>$DE$11</f>
        <v/>
      </c>
      <c r="O82" s="375">
        <f>$DF$11</f>
        <v/>
      </c>
      <c r="P82" s="376">
        <f>IF(($DF$11-$DE$11)&lt;=2,(L83-((K83-L83)/4)*($DF$11-$DE$11-2)),(L83-((L83-M83)/8)*($DF$11-$DE$11-2)))</f>
        <v/>
      </c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286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219" t="n"/>
      <c r="AW82" s="81" t="n"/>
      <c r="AX82" s="81" t="n"/>
      <c r="AY82" s="56" t="n"/>
      <c r="AZ82" s="56" t="n"/>
      <c r="BA82" s="47" t="n"/>
      <c r="BB82" s="47" t="n"/>
      <c r="BC82" s="212" t="n"/>
      <c r="BD82" s="81" t="n"/>
      <c r="BE82" s="81" t="n"/>
      <c r="BF82" s="56" t="n"/>
      <c r="BG82" s="56" t="n"/>
      <c r="BH82" s="47" t="n"/>
      <c r="BI82" s="47" t="n"/>
      <c r="BJ82" s="212" t="n"/>
      <c r="BK82" s="81" t="n"/>
      <c r="BL82" s="81" t="n"/>
      <c r="BM82" s="56" t="n"/>
      <c r="BN82" s="56" t="n"/>
      <c r="BO82" s="47" t="n"/>
      <c r="BP82" s="47" t="n"/>
      <c r="BQ82" s="211" t="n"/>
      <c r="BR82" s="81" t="n"/>
      <c r="BS82" s="81" t="n"/>
      <c r="BT82" s="56" t="n"/>
      <c r="BU82" s="56" t="n"/>
      <c r="BV82" s="47" t="n"/>
      <c r="BW82" s="47" t="n"/>
      <c r="BX82" s="213" t="n"/>
      <c r="BY82" s="81" t="n"/>
      <c r="BZ82" s="81" t="n"/>
      <c r="CA82" s="56" t="n"/>
      <c r="CB82" s="56" t="n"/>
      <c r="CC82" s="47" t="n"/>
      <c r="CD82" s="47" t="n"/>
      <c r="CE82" s="213" t="n"/>
      <c r="CF82" s="81" t="n"/>
      <c r="CG82" s="81" t="n"/>
      <c r="CH82" s="56" t="n"/>
      <c r="CI82" s="56" t="n"/>
      <c r="CJ82" s="47" t="n"/>
      <c r="CK82" s="47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</row>
    <row r="83" ht="21" customFormat="1" customHeight="1" s="167">
      <c r="B83" s="48" t="n"/>
      <c r="C83" s="48" t="n"/>
      <c r="D83" s="48" t="n"/>
      <c r="E83" s="191" t="n"/>
      <c r="F83" s="127" t="n"/>
      <c r="G83" s="128" t="inlineStr">
        <is>
          <t xml:space="preserve">Coeffciente correttivo β = </t>
        </is>
      </c>
      <c r="H83" s="378" t="n">
        <v>0.85</v>
      </c>
      <c r="I83" s="461" t="n"/>
      <c r="J83" s="117">
        <f>H83*J82</f>
        <v/>
      </c>
      <c r="K83" s="118">
        <f>K82*$H$83</f>
        <v/>
      </c>
      <c r="L83" s="118">
        <f>L82*$H$83</f>
        <v/>
      </c>
      <c r="M83" s="118">
        <f>M82*$H$83</f>
        <v/>
      </c>
      <c r="N83" s="463" t="n"/>
      <c r="O83" s="463" t="n"/>
      <c r="P83" s="488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286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211" t="n"/>
      <c r="AW83" s="81" t="n"/>
      <c r="AX83" s="81" t="n"/>
      <c r="AY83" s="56" t="n"/>
      <c r="AZ83" s="56" t="n"/>
      <c r="BA83" s="47" t="n"/>
      <c r="BB83" s="47" t="n"/>
      <c r="BC83" s="212" t="n"/>
      <c r="BD83" s="81" t="n"/>
      <c r="BE83" s="81" t="n"/>
      <c r="BF83" s="56" t="n"/>
      <c r="BG83" s="56" t="n"/>
      <c r="BH83" s="47" t="n"/>
      <c r="BI83" s="47" t="n"/>
      <c r="BJ83" s="212" t="n"/>
      <c r="BK83" s="81" t="n"/>
      <c r="BL83" s="81" t="n"/>
      <c r="BM83" s="56" t="n"/>
      <c r="BN83" s="56" t="n"/>
      <c r="BO83" s="47" t="n"/>
      <c r="BP83" s="47" t="n"/>
      <c r="BQ83" s="211" t="n"/>
      <c r="BR83" s="81" t="n"/>
      <c r="BS83" s="81" t="n"/>
      <c r="BT83" s="56" t="n"/>
      <c r="BU83" s="56" t="n"/>
      <c r="BV83" s="47" t="n"/>
      <c r="BW83" s="47" t="n"/>
      <c r="BX83" s="213" t="n"/>
      <c r="BY83" s="81" t="n"/>
      <c r="BZ83" s="81" t="n"/>
      <c r="CA83" s="56" t="n"/>
      <c r="CB83" s="56" t="n"/>
      <c r="CC83" s="47" t="n"/>
      <c r="CD83" s="47" t="n"/>
      <c r="CE83" s="213" t="n"/>
      <c r="CF83" s="81" t="n"/>
      <c r="CG83" s="81" t="n"/>
      <c r="CH83" s="56" t="n"/>
      <c r="CI83" s="56" t="n"/>
      <c r="CJ83" s="47" t="n"/>
      <c r="CK83" s="47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</row>
    <row r="84" ht="9" customFormat="1" customHeight="1" s="167">
      <c r="B84" s="48" t="n"/>
      <c r="C84" s="48" t="n"/>
      <c r="D84" s="48" t="n"/>
      <c r="E84" s="489" t="n"/>
      <c r="F84" s="457" t="n"/>
      <c r="G84" s="457" t="n"/>
      <c r="H84" s="457" t="n"/>
      <c r="I84" s="457" t="n"/>
      <c r="J84" s="457" t="n"/>
      <c r="K84" s="457" t="n"/>
      <c r="L84" s="457" t="n"/>
      <c r="M84" s="457" t="n"/>
      <c r="N84" s="457" t="n"/>
      <c r="O84" s="457" t="n"/>
      <c r="P84" s="490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286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211" t="n"/>
      <c r="AW84" s="81" t="n"/>
      <c r="AX84" s="81" t="n"/>
      <c r="AY84" s="56" t="n"/>
      <c r="AZ84" s="56" t="n"/>
      <c r="BA84" s="47" t="n"/>
      <c r="BB84" s="47" t="n"/>
      <c r="BC84" s="212" t="n"/>
      <c r="BD84" s="81" t="n"/>
      <c r="BE84" s="81" t="n"/>
      <c r="BF84" s="56" t="n"/>
      <c r="BG84" s="56" t="n"/>
      <c r="BH84" s="47" t="n"/>
      <c r="BI84" s="47" t="n"/>
      <c r="BJ84" s="212" t="n"/>
      <c r="BK84" s="81" t="n"/>
      <c r="BL84" s="81" t="n"/>
      <c r="BM84" s="56" t="n"/>
      <c r="BN84" s="56" t="n"/>
      <c r="BO84" s="47" t="n"/>
      <c r="BP84" s="47" t="n"/>
      <c r="BQ84" s="211" t="n"/>
      <c r="BR84" s="81" t="n"/>
      <c r="BS84" s="81" t="n"/>
      <c r="BT84" s="56" t="n"/>
      <c r="BU84" s="56" t="n"/>
      <c r="BV84" s="47" t="n"/>
      <c r="BW84" s="47" t="n"/>
      <c r="BX84" s="213" t="n"/>
      <c r="BY84" s="81" t="n"/>
      <c r="BZ84" s="81" t="n"/>
      <c r="CA84" s="56" t="n"/>
      <c r="CB84" s="56" t="n"/>
      <c r="CC84" s="47" t="n"/>
      <c r="CD84" s="47" t="n"/>
      <c r="CE84" s="213" t="n"/>
      <c r="CF84" s="81" t="n"/>
      <c r="CG84" s="81" t="n"/>
      <c r="CH84" s="56" t="n"/>
      <c r="CI84" s="56" t="n"/>
      <c r="CJ84" s="47" t="n"/>
      <c r="CK84" s="47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</row>
    <row r="85" ht="21" customFormat="1" customHeight="1" s="167">
      <c r="B85" s="48" t="n"/>
      <c r="C85" s="48" t="n"/>
      <c r="D85" s="48" t="n"/>
      <c r="E85" s="361" t="inlineStr">
        <is>
          <t>STATO</t>
        </is>
      </c>
      <c r="F85" s="461" t="n"/>
      <c r="G85" s="363" t="inlineStr">
        <is>
          <t>Medoto HML</t>
        </is>
      </c>
      <c r="H85" s="130" t="inlineStr">
        <is>
          <t>LEQ</t>
        </is>
      </c>
      <c r="I85" s="131" t="inlineStr">
        <is>
          <t>Leq(A)'</t>
        </is>
      </c>
      <c r="J85" s="133">
        <f>$DE$11-P82</f>
        <v/>
      </c>
      <c r="K85" s="131" t="inlineStr">
        <is>
          <t xml:space="preserve">Lact </t>
        </is>
      </c>
      <c r="L85" s="131" t="n">
        <v>80</v>
      </c>
      <c r="M85" s="365">
        <f>IF(J85&lt;65,"IPERPROTEZIONE",IF(J85&lt;70,"ACCETTABILE",IF(J85&lt;75,"BUONA",IF(J85&lt;80,"ACCETTABILE","INSUFFICIENTE"))))</f>
        <v/>
      </c>
      <c r="N85" s="460" t="n"/>
      <c r="O85" s="460" t="n"/>
      <c r="P85" s="46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286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220" t="n"/>
      <c r="AW85" s="81" t="n"/>
      <c r="AX85" s="81" t="n"/>
      <c r="AY85" s="56" t="n"/>
      <c r="AZ85" s="56" t="n"/>
      <c r="BA85" s="47" t="n"/>
      <c r="BB85" s="47" t="n"/>
      <c r="BC85" s="212" t="n"/>
      <c r="BD85" s="81" t="n"/>
      <c r="BE85" s="81" t="n"/>
      <c r="BF85" s="56" t="n"/>
      <c r="BG85" s="56" t="n"/>
      <c r="BH85" s="47" t="n"/>
      <c r="BI85" s="47" t="n"/>
      <c r="BJ85" s="212" t="n"/>
      <c r="BK85" s="81" t="n"/>
      <c r="BL85" s="81" t="n"/>
      <c r="BM85" s="56" t="n"/>
      <c r="BN85" s="56" t="n"/>
      <c r="BO85" s="47" t="n"/>
      <c r="BP85" s="47" t="n"/>
      <c r="BQ85" s="211" t="n"/>
      <c r="BR85" s="81" t="n"/>
      <c r="BS85" s="81" t="n"/>
      <c r="BT85" s="56" t="n"/>
      <c r="BU85" s="56" t="n"/>
      <c r="BV85" s="47" t="n"/>
      <c r="BW85" s="47" t="n"/>
      <c r="BX85" s="213" t="n"/>
      <c r="BY85" s="81" t="n"/>
      <c r="BZ85" s="81" t="n"/>
      <c r="CA85" s="56" t="n"/>
      <c r="CB85" s="56" t="n"/>
      <c r="CC85" s="47" t="n"/>
      <c r="CD85" s="47" t="n"/>
      <c r="CE85" s="213" t="n"/>
      <c r="CF85" s="81" t="n"/>
      <c r="CG85" s="81" t="n"/>
      <c r="CH85" s="56" t="n"/>
      <c r="CI85" s="56" t="n"/>
      <c r="CJ85" s="47" t="n"/>
      <c r="CK85" s="47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</row>
    <row r="86" ht="43.5" customFormat="1" customHeight="1" s="167" thickBot="1">
      <c r="B86" s="48" t="n"/>
      <c r="C86" s="48" t="n"/>
      <c r="D86" s="48" t="n"/>
      <c r="E86" s="367" t="inlineStr">
        <is>
          <t>IN DOTAZIONE</t>
        </is>
      </c>
      <c r="F86" s="484" t="n"/>
      <c r="G86" s="463" t="n"/>
      <c r="H86" s="59" t="inlineStr">
        <is>
          <t>PPeak</t>
        </is>
      </c>
      <c r="I86" s="60" t="inlineStr">
        <is>
          <t>dm</t>
        </is>
      </c>
      <c r="J86" s="60">
        <f>M83-5</f>
        <v/>
      </c>
      <c r="K86" s="60" t="inlineStr">
        <is>
          <t xml:space="preserve">Lact </t>
        </is>
      </c>
      <c r="L86" s="60" t="n">
        <v>135</v>
      </c>
      <c r="M86" s="368">
        <f>IF($O$48&lt;135,"VERIFICA NON NECESSARIA",IF(($O$48-J86)&lt;135,"IDONEO","INSUFFICIENTE"))</f>
        <v/>
      </c>
      <c r="N86" s="485" t="n"/>
      <c r="O86" s="485" t="n"/>
      <c r="P86" s="484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286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220" t="n"/>
      <c r="AW86" s="81" t="n"/>
      <c r="AX86" s="81" t="n"/>
      <c r="AY86" s="56" t="n"/>
      <c r="AZ86" s="56" t="n"/>
      <c r="BA86" s="47" t="n"/>
      <c r="BB86" s="47" t="n"/>
      <c r="BC86" s="212" t="n"/>
      <c r="BD86" s="81" t="n"/>
      <c r="BE86" s="81" t="n"/>
      <c r="BF86" s="56" t="n"/>
      <c r="BG86" s="56" t="n"/>
      <c r="BH86" s="47" t="n"/>
      <c r="BI86" s="47" t="n"/>
      <c r="BJ86" s="212" t="n"/>
      <c r="BK86" s="81" t="n"/>
      <c r="BL86" s="81" t="n"/>
      <c r="BM86" s="56" t="n"/>
      <c r="BN86" s="56" t="n"/>
      <c r="BO86" s="47" t="n"/>
      <c r="BP86" s="47" t="n"/>
      <c r="BQ86" s="211" t="n"/>
      <c r="BR86" s="81" t="n"/>
      <c r="BS86" s="81" t="n"/>
      <c r="BT86" s="56" t="n"/>
      <c r="BU86" s="56" t="n"/>
      <c r="BV86" s="47" t="n"/>
      <c r="BW86" s="47" t="n"/>
      <c r="BX86" s="213" t="n"/>
      <c r="BY86" s="81" t="n"/>
      <c r="BZ86" s="81" t="n"/>
      <c r="CA86" s="56" t="n"/>
      <c r="CB86" s="56" t="n"/>
      <c r="CC86" s="47" t="n"/>
      <c r="CD86" s="47" t="n"/>
      <c r="CE86" s="213" t="n"/>
      <c r="CF86" s="81" t="n"/>
      <c r="CG86" s="81" t="n"/>
      <c r="CH86" s="56" t="n"/>
      <c r="CI86" s="56" t="n"/>
      <c r="CJ86" s="47" t="n"/>
      <c r="CK86" s="47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</row>
    <row r="87" ht="26.25" customFormat="1" customHeight="1" s="167" thickBot="1">
      <c r="B87" s="81" t="n"/>
      <c r="C87" s="81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286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213" t="n"/>
      <c r="AW87" s="81" t="n"/>
      <c r="AX87" s="81" t="n"/>
      <c r="AY87" s="81" t="n"/>
      <c r="BC87" s="211" t="n"/>
      <c r="BD87" s="81" t="n"/>
      <c r="BE87" s="81" t="n"/>
      <c r="BF87" s="81" t="n"/>
      <c r="BJ87" s="211" t="n"/>
      <c r="BK87" s="81" t="n"/>
      <c r="BL87" s="81" t="n"/>
      <c r="BM87" s="81" t="n"/>
      <c r="BQ87" s="211" t="n"/>
      <c r="BR87" s="81" t="n"/>
      <c r="BS87" s="81" t="n"/>
      <c r="BT87" s="81" t="n"/>
      <c r="BX87" s="213" t="n"/>
      <c r="BY87" s="81" t="n"/>
      <c r="BZ87" s="81" t="n"/>
      <c r="CA87" s="81" t="n"/>
      <c r="CE87" s="213" t="n"/>
      <c r="CF87" s="81" t="n"/>
      <c r="CG87" s="81" t="n"/>
      <c r="CH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</row>
    <row r="88" ht="27" customFormat="1" customHeight="1" s="167">
      <c r="B88" s="48" t="n"/>
      <c r="C88" s="48" t="n"/>
      <c r="D88" s="48" t="n"/>
      <c r="E88" s="486" t="inlineStr">
        <is>
          <t>VERIFICA E GIUDIZIO IDONEITA' DEL D.P.I. CON CALCOLO DEL PNR GLOBALE PER LAeq,F</t>
        </is>
      </c>
      <c r="F88" s="482" t="n"/>
      <c r="G88" s="482" t="n"/>
      <c r="H88" s="482" t="n"/>
      <c r="I88" s="482" t="n"/>
      <c r="J88" s="482" t="n"/>
      <c r="K88" s="482" t="n"/>
      <c r="L88" s="482" t="n"/>
      <c r="M88" s="482" t="n"/>
      <c r="N88" s="482" t="n"/>
      <c r="O88" s="482" t="n"/>
      <c r="P88" s="487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286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221" t="n"/>
      <c r="AW88" s="81" t="n"/>
      <c r="AX88" s="81" t="n"/>
      <c r="AY88" s="56" t="n"/>
      <c r="AZ88" s="56" t="n"/>
      <c r="BA88" s="47" t="n"/>
      <c r="BB88" s="47" t="n"/>
      <c r="BC88" s="212" t="n"/>
      <c r="BD88" s="81" t="n"/>
      <c r="BE88" s="81" t="n"/>
      <c r="BF88" s="56" t="n"/>
      <c r="BG88" s="56" t="n"/>
      <c r="BH88" s="47" t="n"/>
      <c r="BI88" s="47" t="n"/>
      <c r="BJ88" s="212" t="n"/>
      <c r="BK88" s="81" t="n"/>
      <c r="BL88" s="81" t="n"/>
      <c r="BM88" s="56" t="n"/>
      <c r="BN88" s="56" t="n"/>
      <c r="BO88" s="47" t="n"/>
      <c r="BP88" s="47" t="n"/>
      <c r="BQ88" s="211" t="n"/>
      <c r="BR88" s="81" t="n"/>
      <c r="BS88" s="81" t="n"/>
      <c r="BT88" s="56" t="n"/>
      <c r="BU88" s="56" t="n"/>
      <c r="BV88" s="47" t="n"/>
      <c r="BW88" s="47" t="n"/>
      <c r="BX88" s="213" t="n"/>
      <c r="BY88" s="81" t="n"/>
      <c r="BZ88" s="81" t="n"/>
      <c r="CA88" s="56" t="n"/>
      <c r="CB88" s="56" t="n"/>
      <c r="CC88" s="47" t="n"/>
      <c r="CD88" s="47" t="n"/>
      <c r="CE88" s="213" t="n"/>
      <c r="CF88" s="81" t="n"/>
      <c r="CG88" s="81" t="n"/>
      <c r="CH88" s="56" t="n"/>
      <c r="CI88" s="56" t="n"/>
      <c r="CJ88" s="47" t="n"/>
      <c r="CK88" s="47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</row>
    <row r="89" ht="21" customFormat="1" customHeight="1" s="167">
      <c r="B89" s="48" t="n"/>
      <c r="C89" s="48" t="n"/>
      <c r="D89" s="48" t="n"/>
      <c r="E89" s="193" t="inlineStr">
        <is>
          <t>COD.</t>
        </is>
      </c>
      <c r="F89" s="373" t="inlineStr">
        <is>
          <t>Tipologia:</t>
        </is>
      </c>
      <c r="G89" s="373" t="inlineStr">
        <is>
          <t>Marca:</t>
        </is>
      </c>
      <c r="H89" s="373" t="inlineStr">
        <is>
          <t>Modello:</t>
        </is>
      </c>
      <c r="I89" s="461" t="n"/>
      <c r="J89" s="114" t="inlineStr">
        <is>
          <t>SNR</t>
        </is>
      </c>
      <c r="K89" s="115" t="inlineStr">
        <is>
          <t>H</t>
        </is>
      </c>
      <c r="L89" s="116" t="inlineStr">
        <is>
          <t>M</t>
        </is>
      </c>
      <c r="M89" s="116" t="inlineStr">
        <is>
          <t>L</t>
        </is>
      </c>
      <c r="N89" s="388" t="inlineStr">
        <is>
          <t>LEQ(A)F</t>
        </is>
      </c>
      <c r="O89" s="388" t="inlineStr">
        <is>
          <t>LEQ(C)F</t>
        </is>
      </c>
      <c r="P89" s="132" t="inlineStr">
        <is>
          <t>PNR</t>
        </is>
      </c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286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218" t="n"/>
      <c r="AW89" s="81" t="n"/>
      <c r="AX89" s="81" t="n"/>
      <c r="AY89" s="56" t="n"/>
      <c r="AZ89" s="52" t="n"/>
      <c r="BA89" s="47" t="n"/>
      <c r="BB89" s="47" t="n"/>
      <c r="BC89" s="212" t="n"/>
      <c r="BD89" s="81" t="n"/>
      <c r="BE89" s="81" t="n"/>
      <c r="BF89" s="56" t="n"/>
      <c r="BG89" s="52" t="n"/>
      <c r="BH89" s="47" t="n"/>
      <c r="BI89" s="47" t="n"/>
      <c r="BJ89" s="212" t="n"/>
      <c r="BK89" s="81" t="n"/>
      <c r="BL89" s="81" t="n"/>
      <c r="BM89" s="56" t="n"/>
      <c r="BN89" s="52" t="n"/>
      <c r="BO89" s="47" t="n"/>
      <c r="BP89" s="47" t="n"/>
      <c r="BQ89" s="211" t="n"/>
      <c r="BR89" s="81" t="n"/>
      <c r="BS89" s="81" t="n"/>
      <c r="BT89" s="56" t="n"/>
      <c r="BU89" s="52" t="n"/>
      <c r="BV89" s="47" t="n"/>
      <c r="BW89" s="47" t="n"/>
      <c r="BX89" s="213" t="n"/>
      <c r="BY89" s="81" t="n"/>
      <c r="BZ89" s="81" t="n"/>
      <c r="CA89" s="56" t="n"/>
      <c r="CB89" s="52" t="n"/>
      <c r="CC89" s="47" t="n"/>
      <c r="CD89" s="47" t="n"/>
      <c r="CE89" s="213" t="n"/>
      <c r="CF89" s="81" t="n"/>
      <c r="CG89" s="81" t="n"/>
      <c r="CH89" s="56" t="n"/>
      <c r="CI89" s="52" t="n"/>
      <c r="CJ89" s="47" t="n"/>
      <c r="CK89" s="47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</row>
    <row r="90" ht="21" customFormat="1" customHeight="1" s="167">
      <c r="B90" s="48" t="n"/>
      <c r="C90" s="48" t="n"/>
      <c r="D90" s="48" t="n"/>
      <c r="E90" s="129" t="inlineStr">
        <is>
          <t>A3</t>
        </is>
      </c>
      <c r="F90" s="126">
        <f>VLOOKUP(E90,$E$115:$L$246,2,FALSE)</f>
        <v/>
      </c>
      <c r="G90" s="126">
        <f>VLOOKUP($E$90,$E$115:$L$246,3,FALSE)</f>
        <v/>
      </c>
      <c r="H90" s="374">
        <f>VLOOKUP($E$90,$E$115:$L$246,4,FALSE)</f>
        <v/>
      </c>
      <c r="I90" s="461" t="n"/>
      <c r="J90" s="46">
        <f>VLOOKUP(E90,$E$115:$L$246,5,FALSE)</f>
        <v/>
      </c>
      <c r="K90" s="46">
        <f>VLOOKUP($E$90,$E$115:$L$246,6,FALSE)</f>
        <v/>
      </c>
      <c r="L90" s="46">
        <f>VLOOKUP($E$90,$E$115:$L$246,7,FALSE)</f>
        <v/>
      </c>
      <c r="M90" s="46">
        <f>VLOOKUP($E$90,$E$115:$L$246,8,FALSE)</f>
        <v/>
      </c>
      <c r="N90" s="375">
        <f>$DE$11</f>
        <v/>
      </c>
      <c r="O90" s="375">
        <f>$DF$11</f>
        <v/>
      </c>
      <c r="P90" s="376">
        <f>IF(($DF$11-$DE$11)&lt;=2,(L91-((K91-L91)/4)*($DF$11-$DE$11-2)),(L91-((L91-M91)/8)*($DF$11-$DE$11-2)))</f>
        <v/>
      </c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286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219" t="n"/>
      <c r="AW90" s="81" t="n"/>
      <c r="AX90" s="81" t="n"/>
      <c r="AY90" s="56" t="n"/>
      <c r="AZ90" s="56" t="n"/>
      <c r="BA90" s="47" t="n"/>
      <c r="BB90" s="47" t="n"/>
      <c r="BC90" s="212" t="n"/>
      <c r="BD90" s="81" t="n"/>
      <c r="BE90" s="81" t="n"/>
      <c r="BF90" s="56" t="n"/>
      <c r="BG90" s="56" t="n"/>
      <c r="BH90" s="47" t="n"/>
      <c r="BI90" s="47" t="n"/>
      <c r="BJ90" s="212" t="n"/>
      <c r="BK90" s="81" t="n"/>
      <c r="BL90" s="81" t="n"/>
      <c r="BM90" s="56" t="n"/>
      <c r="BN90" s="56" t="n"/>
      <c r="BO90" s="47" t="n"/>
      <c r="BP90" s="47" t="n"/>
      <c r="BQ90" s="211" t="n"/>
      <c r="BR90" s="81" t="n"/>
      <c r="BS90" s="81" t="n"/>
      <c r="BT90" s="56" t="n"/>
      <c r="BU90" s="56" t="n"/>
      <c r="BV90" s="47" t="n"/>
      <c r="BW90" s="47" t="n"/>
      <c r="BX90" s="213" t="n"/>
      <c r="BY90" s="81" t="n"/>
      <c r="BZ90" s="81" t="n"/>
      <c r="CA90" s="56" t="n"/>
      <c r="CB90" s="56" t="n"/>
      <c r="CC90" s="47" t="n"/>
      <c r="CD90" s="47" t="n"/>
      <c r="CE90" s="213" t="n"/>
      <c r="CF90" s="81" t="n"/>
      <c r="CG90" s="81" t="n"/>
      <c r="CH90" s="56" t="n"/>
      <c r="CI90" s="56" t="n"/>
      <c r="CJ90" s="47" t="n"/>
      <c r="CK90" s="47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</row>
    <row r="91" ht="21" customFormat="1" customHeight="1" s="167">
      <c r="B91" s="48" t="n"/>
      <c r="C91" s="48" t="n"/>
      <c r="D91" s="48" t="n"/>
      <c r="E91" s="191" t="n"/>
      <c r="F91" s="127" t="n"/>
      <c r="G91" s="128" t="inlineStr">
        <is>
          <t xml:space="preserve">Coeffciente correttivo β = </t>
        </is>
      </c>
      <c r="H91" s="378" t="n">
        <v>0.85</v>
      </c>
      <c r="I91" s="461" t="n"/>
      <c r="J91" s="117">
        <f>H91*J90</f>
        <v/>
      </c>
      <c r="K91" s="118">
        <f>K90*$H$91</f>
        <v/>
      </c>
      <c r="L91" s="118">
        <f>L90*$H$91</f>
        <v/>
      </c>
      <c r="M91" s="118">
        <f>M90*$H$91</f>
        <v/>
      </c>
      <c r="N91" s="463" t="n"/>
      <c r="O91" s="463" t="n"/>
      <c r="P91" s="488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286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211" t="n"/>
      <c r="AW91" s="81" t="n"/>
      <c r="AX91" s="81" t="n"/>
      <c r="AY91" s="56" t="n"/>
      <c r="AZ91" s="56" t="n"/>
      <c r="BA91" s="47" t="n"/>
      <c r="BB91" s="47" t="n"/>
      <c r="BC91" s="212" t="n"/>
      <c r="BD91" s="81" t="n"/>
      <c r="BE91" s="81" t="n"/>
      <c r="BF91" s="56" t="n"/>
      <c r="BG91" s="56" t="n"/>
      <c r="BH91" s="47" t="n"/>
      <c r="BI91" s="47" t="n"/>
      <c r="BJ91" s="212" t="n"/>
      <c r="BK91" s="81" t="n"/>
      <c r="BL91" s="81" t="n"/>
      <c r="BM91" s="56" t="n"/>
      <c r="BN91" s="56" t="n"/>
      <c r="BO91" s="47" t="n"/>
      <c r="BP91" s="47" t="n"/>
      <c r="BQ91" s="211" t="n"/>
      <c r="BR91" s="81" t="n"/>
      <c r="BS91" s="81" t="n"/>
      <c r="BT91" s="56" t="n"/>
      <c r="BU91" s="56" t="n"/>
      <c r="BV91" s="47" t="n"/>
      <c r="BW91" s="47" t="n"/>
      <c r="BX91" s="213" t="n"/>
      <c r="BY91" s="81" t="n"/>
      <c r="BZ91" s="81" t="n"/>
      <c r="CA91" s="56" t="n"/>
      <c r="CB91" s="56" t="n"/>
      <c r="CC91" s="47" t="n"/>
      <c r="CD91" s="47" t="n"/>
      <c r="CE91" s="213" t="n"/>
      <c r="CF91" s="81" t="n"/>
      <c r="CG91" s="81" t="n"/>
      <c r="CH91" s="56" t="n"/>
      <c r="CI91" s="56" t="n"/>
      <c r="CJ91" s="47" t="n"/>
      <c r="CK91" s="47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</row>
    <row r="92" ht="9" customFormat="1" customHeight="1" s="167">
      <c r="B92" s="48" t="n"/>
      <c r="C92" s="48" t="n"/>
      <c r="D92" s="48" t="n"/>
      <c r="E92" s="489" t="n"/>
      <c r="F92" s="457" t="n"/>
      <c r="G92" s="457" t="n"/>
      <c r="H92" s="457" t="n"/>
      <c r="I92" s="457" t="n"/>
      <c r="J92" s="457" t="n"/>
      <c r="K92" s="457" t="n"/>
      <c r="L92" s="457" t="n"/>
      <c r="M92" s="457" t="n"/>
      <c r="N92" s="457" t="n"/>
      <c r="O92" s="457" t="n"/>
      <c r="P92" s="490" t="n"/>
      <c r="Q92" s="81" t="n"/>
      <c r="R92" s="81" t="n"/>
      <c r="S92" s="81" t="n"/>
      <c r="T92" s="81" t="n"/>
      <c r="U92" s="81" t="n"/>
      <c r="V92" s="81" t="n"/>
      <c r="W92" s="81" t="n"/>
      <c r="X92" s="81" t="n"/>
      <c r="Y92" s="81" t="n"/>
      <c r="Z92" s="81" t="n"/>
      <c r="AA92" s="81" t="n"/>
      <c r="AB92" s="81" t="n"/>
      <c r="AC92" s="81" t="n"/>
      <c r="AD92" s="81" t="n"/>
      <c r="AE92" s="81" t="n"/>
      <c r="AF92" s="81" t="n"/>
      <c r="AG92" s="81" t="n"/>
      <c r="AH92" s="81" t="n"/>
      <c r="AI92" s="81" t="n"/>
      <c r="AJ92" s="286" t="n"/>
      <c r="AK92" s="81" t="n"/>
      <c r="AL92" s="81" t="n"/>
      <c r="AM92" s="81" t="n"/>
      <c r="AN92" s="81" t="n"/>
      <c r="AO92" s="81" t="n"/>
      <c r="AP92" s="81" t="n"/>
      <c r="AQ92" s="81" t="n"/>
      <c r="AR92" s="81" t="n"/>
      <c r="AS92" s="81" t="n"/>
      <c r="AT92" s="81" t="n"/>
      <c r="AU92" s="81" t="n"/>
      <c r="AV92" s="211" t="n"/>
      <c r="AW92" s="81" t="n"/>
      <c r="AX92" s="81" t="n"/>
      <c r="AY92" s="56" t="n"/>
      <c r="AZ92" s="56" t="n"/>
      <c r="BA92" s="47" t="n"/>
      <c r="BB92" s="47" t="n"/>
      <c r="BC92" s="212" t="n"/>
      <c r="BD92" s="81" t="n"/>
      <c r="BE92" s="81" t="n"/>
      <c r="BF92" s="56" t="n"/>
      <c r="BG92" s="56" t="n"/>
      <c r="BH92" s="47" t="n"/>
      <c r="BI92" s="47" t="n"/>
      <c r="BJ92" s="212" t="n"/>
      <c r="BK92" s="81" t="n"/>
      <c r="BL92" s="81" t="n"/>
      <c r="BM92" s="56" t="n"/>
      <c r="BN92" s="56" t="n"/>
      <c r="BO92" s="47" t="n"/>
      <c r="BP92" s="47" t="n"/>
      <c r="BQ92" s="211" t="n"/>
      <c r="BR92" s="81" t="n"/>
      <c r="BS92" s="81" t="n"/>
      <c r="BT92" s="56" t="n"/>
      <c r="BU92" s="56" t="n"/>
      <c r="BV92" s="47" t="n"/>
      <c r="BW92" s="47" t="n"/>
      <c r="BX92" s="213" t="n"/>
      <c r="BY92" s="81" t="n"/>
      <c r="BZ92" s="81" t="n"/>
      <c r="CA92" s="56" t="n"/>
      <c r="CB92" s="56" t="n"/>
      <c r="CC92" s="47" t="n"/>
      <c r="CD92" s="47" t="n"/>
      <c r="CE92" s="213" t="n"/>
      <c r="CF92" s="81" t="n"/>
      <c r="CG92" s="81" t="n"/>
      <c r="CH92" s="56" t="n"/>
      <c r="CI92" s="56" t="n"/>
      <c r="CJ92" s="47" t="n"/>
      <c r="CK92" s="47" t="n"/>
      <c r="CL92" s="81" t="n"/>
      <c r="CM92" s="81" t="n"/>
      <c r="CN92" s="81" t="n"/>
      <c r="CO92" s="81" t="n"/>
      <c r="CP92" s="81" t="n"/>
      <c r="CQ92" s="81" t="n"/>
      <c r="CR92" s="81" t="n"/>
      <c r="CS92" s="81" t="n"/>
      <c r="CT92" s="81" t="n"/>
      <c r="CU92" s="81" t="n"/>
      <c r="CV92" s="81" t="n"/>
      <c r="CW92" s="81" t="n"/>
      <c r="CX92" s="81" t="n"/>
      <c r="CY92" s="81" t="n"/>
      <c r="CZ92" s="81" t="n"/>
      <c r="DA92" s="81" t="n"/>
      <c r="DB92" s="81" t="n"/>
      <c r="DC92" s="81" t="n"/>
      <c r="DD92" s="81" t="n"/>
      <c r="DE92" s="81" t="n"/>
      <c r="DF92" s="81" t="n"/>
      <c r="DG92" s="81" t="n"/>
      <c r="DH92" s="81" t="n"/>
    </row>
    <row r="93" ht="21" customFormat="1" customHeight="1" s="167">
      <c r="B93" s="48" t="n"/>
      <c r="C93" s="48" t="n"/>
      <c r="D93" s="48" t="n"/>
      <c r="E93" s="361" t="inlineStr">
        <is>
          <t>STATO</t>
        </is>
      </c>
      <c r="F93" s="461" t="n"/>
      <c r="G93" s="363" t="inlineStr">
        <is>
          <t>Medoto HML</t>
        </is>
      </c>
      <c r="H93" s="130" t="inlineStr">
        <is>
          <t>LEQ</t>
        </is>
      </c>
      <c r="I93" s="131" t="inlineStr">
        <is>
          <t>Leq(A)'</t>
        </is>
      </c>
      <c r="J93" s="133">
        <f>$DE$11-P90</f>
        <v/>
      </c>
      <c r="K93" s="131" t="inlineStr">
        <is>
          <t xml:space="preserve">Lact </t>
        </is>
      </c>
      <c r="L93" s="131" t="n">
        <v>80</v>
      </c>
      <c r="M93" s="365">
        <f>IF(J93&lt;65,"IPERPROTEZIONE",IF(J93&lt;70,"ACCETTABILE",IF(J93&lt;75,"BUONA",IF(J93&lt;80,"ACCETTABILE","INSUFFICIENTE"))))</f>
        <v/>
      </c>
      <c r="N93" s="460" t="n"/>
      <c r="O93" s="460" t="n"/>
      <c r="P93" s="46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286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220" t="n"/>
      <c r="AW93" s="81" t="n"/>
      <c r="AX93" s="81" t="n"/>
      <c r="AY93" s="56" t="n"/>
      <c r="AZ93" s="56" t="n"/>
      <c r="BA93" s="47" t="n"/>
      <c r="BB93" s="47" t="n"/>
      <c r="BC93" s="212" t="n"/>
      <c r="BD93" s="81" t="n"/>
      <c r="BE93" s="81" t="n"/>
      <c r="BF93" s="56" t="n"/>
      <c r="BG93" s="56" t="n"/>
      <c r="BH93" s="47" t="n"/>
      <c r="BI93" s="47" t="n"/>
      <c r="BJ93" s="212" t="n"/>
      <c r="BK93" s="81" t="n"/>
      <c r="BL93" s="81" t="n"/>
      <c r="BM93" s="56" t="n"/>
      <c r="BN93" s="56" t="n"/>
      <c r="BO93" s="47" t="n"/>
      <c r="BP93" s="47" t="n"/>
      <c r="BQ93" s="211" t="n"/>
      <c r="BR93" s="81" t="n"/>
      <c r="BS93" s="81" t="n"/>
      <c r="BT93" s="56" t="n"/>
      <c r="BU93" s="56" t="n"/>
      <c r="BV93" s="47" t="n"/>
      <c r="BW93" s="47" t="n"/>
      <c r="BX93" s="213" t="n"/>
      <c r="BY93" s="81" t="n"/>
      <c r="BZ93" s="81" t="n"/>
      <c r="CA93" s="56" t="n"/>
      <c r="CB93" s="56" t="n"/>
      <c r="CC93" s="47" t="n"/>
      <c r="CD93" s="47" t="n"/>
      <c r="CE93" s="213" t="n"/>
      <c r="CF93" s="81" t="n"/>
      <c r="CG93" s="81" t="n"/>
      <c r="CH93" s="56" t="n"/>
      <c r="CI93" s="56" t="n"/>
      <c r="CJ93" s="47" t="n"/>
      <c r="CK93" s="47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</row>
    <row r="94" ht="39" customFormat="1" customHeight="1" s="167" thickBot="1">
      <c r="B94" s="48" t="n"/>
      <c r="C94" s="48" t="n"/>
      <c r="D94" s="48" t="n"/>
      <c r="E94" s="367" t="inlineStr">
        <is>
          <t>DA ACQUISTARE</t>
        </is>
      </c>
      <c r="F94" s="484" t="n"/>
      <c r="G94" s="463" t="n"/>
      <c r="H94" s="59" t="inlineStr">
        <is>
          <t>PPeak</t>
        </is>
      </c>
      <c r="I94" s="60" t="inlineStr">
        <is>
          <t>dm</t>
        </is>
      </c>
      <c r="J94" s="60">
        <f>M91-5</f>
        <v/>
      </c>
      <c r="K94" s="60" t="inlineStr">
        <is>
          <t xml:space="preserve">Lact </t>
        </is>
      </c>
      <c r="L94" s="60" t="n">
        <v>135</v>
      </c>
      <c r="M94" s="368">
        <f>IF($O$48&lt;135,"VERIFICA NON NECESSARIA",IF(($O$48-J94)&lt;135,"IDONEO","INSUFFICIENTE"))</f>
        <v/>
      </c>
      <c r="N94" s="485" t="n"/>
      <c r="O94" s="485" t="n"/>
      <c r="P94" s="484" t="n"/>
      <c r="Q94" s="81" t="n"/>
      <c r="R94" s="81" t="n"/>
      <c r="S94" s="81" t="n"/>
      <c r="T94" s="81" t="n"/>
      <c r="U94" s="81" t="n"/>
      <c r="V94" s="81" t="n"/>
      <c r="W94" s="81" t="n"/>
      <c r="X94" s="81" t="n"/>
      <c r="Y94" s="81" t="n"/>
      <c r="Z94" s="81" t="n"/>
      <c r="AA94" s="81" t="n"/>
      <c r="AB94" s="81" t="n"/>
      <c r="AC94" s="81" t="n"/>
      <c r="AD94" s="81" t="n"/>
      <c r="AE94" s="81" t="n"/>
      <c r="AF94" s="81" t="n"/>
      <c r="AG94" s="81" t="n"/>
      <c r="AH94" s="81" t="n"/>
      <c r="AI94" s="81" t="n"/>
      <c r="AJ94" s="286" t="n"/>
      <c r="AK94" s="81" t="n"/>
      <c r="AL94" s="81" t="n"/>
      <c r="AM94" s="81" t="n"/>
      <c r="AN94" s="81" t="n"/>
      <c r="AO94" s="81" t="n"/>
      <c r="AP94" s="81" t="n"/>
      <c r="AQ94" s="81" t="n"/>
      <c r="AR94" s="81" t="n"/>
      <c r="AS94" s="81" t="n"/>
      <c r="AT94" s="81" t="n"/>
      <c r="AU94" s="81" t="n"/>
      <c r="AV94" s="220" t="n"/>
      <c r="AW94" s="81" t="n"/>
      <c r="AX94" s="81" t="n"/>
      <c r="AY94" s="56" t="n"/>
      <c r="AZ94" s="56" t="n"/>
      <c r="BA94" s="47" t="n"/>
      <c r="BB94" s="47" t="n"/>
      <c r="BC94" s="212" t="n"/>
      <c r="BD94" s="81" t="n"/>
      <c r="BE94" s="81" t="n"/>
      <c r="BF94" s="56" t="n"/>
      <c r="BG94" s="56" t="n"/>
      <c r="BH94" s="47" t="n"/>
      <c r="BI94" s="47" t="n"/>
      <c r="BJ94" s="212" t="n"/>
      <c r="BK94" s="81" t="n"/>
      <c r="BL94" s="81" t="n"/>
      <c r="BM94" s="56" t="n"/>
      <c r="BN94" s="56" t="n"/>
      <c r="BO94" s="47" t="n"/>
      <c r="BP94" s="47" t="n"/>
      <c r="BQ94" s="211" t="n"/>
      <c r="BR94" s="81" t="n"/>
      <c r="BS94" s="81" t="n"/>
      <c r="BT94" s="56" t="n"/>
      <c r="BU94" s="56" t="n"/>
      <c r="BV94" s="47" t="n"/>
      <c r="BW94" s="47" t="n"/>
      <c r="BX94" s="213" t="n"/>
      <c r="BY94" s="81" t="n"/>
      <c r="BZ94" s="81" t="n"/>
      <c r="CA94" s="56" t="n"/>
      <c r="CB94" s="56" t="n"/>
      <c r="CC94" s="47" t="n"/>
      <c r="CD94" s="47" t="n"/>
      <c r="CE94" s="213" t="n"/>
      <c r="CF94" s="81" t="n"/>
      <c r="CG94" s="81" t="n"/>
      <c r="CH94" s="56" t="n"/>
      <c r="CI94" s="56" t="n"/>
      <c r="CJ94" s="47" t="n"/>
      <c r="CK94" s="47" t="n"/>
      <c r="CL94" s="81" t="n"/>
      <c r="CM94" s="81" t="n"/>
      <c r="CN94" s="81" t="n"/>
      <c r="CO94" s="81" t="n"/>
      <c r="CP94" s="81" t="n"/>
      <c r="CQ94" s="81" t="n"/>
      <c r="CR94" s="81" t="n"/>
      <c r="CS94" s="81" t="n"/>
      <c r="CT94" s="81" t="n"/>
      <c r="CU94" s="81" t="n"/>
      <c r="CV94" s="81" t="n"/>
      <c r="CW94" s="81" t="n"/>
      <c r="CX94" s="81" t="n"/>
      <c r="CY94" s="81" t="n"/>
      <c r="CZ94" s="81" t="n"/>
      <c r="DA94" s="81" t="n"/>
      <c r="DB94" s="81" t="n"/>
      <c r="DC94" s="81" t="n"/>
      <c r="DD94" s="81" t="n"/>
      <c r="DE94" s="81" t="n"/>
      <c r="DF94" s="81" t="n"/>
      <c r="DG94" s="81" t="n"/>
      <c r="DH94" s="81" t="n"/>
    </row>
    <row r="95" ht="13.5" customFormat="1" customHeight="1" s="167" thickBot="1">
      <c r="B95" s="81" t="n"/>
      <c r="C95" s="81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286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213" t="n"/>
      <c r="AW95" s="81" t="n"/>
      <c r="AX95" s="81" t="n"/>
      <c r="AY95" s="81" t="n"/>
      <c r="BC95" s="211" t="n"/>
      <c r="BD95" s="81" t="n"/>
      <c r="BE95" s="81" t="n"/>
      <c r="BF95" s="81" t="n"/>
      <c r="BJ95" s="211" t="n"/>
      <c r="BK95" s="81" t="n"/>
      <c r="BL95" s="81" t="n"/>
      <c r="BM95" s="81" t="n"/>
      <c r="BQ95" s="211" t="n"/>
      <c r="BR95" s="81" t="n"/>
      <c r="BS95" s="81" t="n"/>
      <c r="BT95" s="81" t="n"/>
      <c r="BX95" s="213" t="n"/>
      <c r="BY95" s="81" t="n"/>
      <c r="BZ95" s="81" t="n"/>
      <c r="CA95" s="81" t="n"/>
      <c r="CE95" s="213" t="n"/>
      <c r="CF95" s="81" t="n"/>
      <c r="CG95" s="81" t="n"/>
      <c r="CH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</row>
    <row r="96" ht="27" customFormat="1" customHeight="1" s="167">
      <c r="B96" s="48" t="n"/>
      <c r="C96" s="48" t="n"/>
      <c r="D96" s="48" t="n"/>
      <c r="E96" s="486" t="inlineStr">
        <is>
          <t>VERIFICA E GIUDIZIO IDONEITA' DEL D.P.I. CON CALCOLO DEL PNR GLOBALE PER LAeq,F</t>
        </is>
      </c>
      <c r="F96" s="482" t="n"/>
      <c r="G96" s="482" t="n"/>
      <c r="H96" s="482" t="n"/>
      <c r="I96" s="482" t="n"/>
      <c r="J96" s="482" t="n"/>
      <c r="K96" s="482" t="n"/>
      <c r="L96" s="482" t="n"/>
      <c r="M96" s="482" t="n"/>
      <c r="N96" s="482" t="n"/>
      <c r="O96" s="482" t="n"/>
      <c r="P96" s="487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286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221" t="n"/>
      <c r="AW96" s="81" t="n"/>
      <c r="AX96" s="81" t="n"/>
      <c r="AY96" s="56" t="n"/>
      <c r="AZ96" s="56" t="n"/>
      <c r="BA96" s="47" t="n"/>
      <c r="BB96" s="47" t="n"/>
      <c r="BC96" s="212" t="n"/>
      <c r="BD96" s="81" t="n"/>
      <c r="BE96" s="81" t="n"/>
      <c r="BF96" s="56" t="n"/>
      <c r="BG96" s="56" t="n"/>
      <c r="BH96" s="47" t="n"/>
      <c r="BI96" s="47" t="n"/>
      <c r="BJ96" s="212" t="n"/>
      <c r="BK96" s="81" t="n"/>
      <c r="BL96" s="81" t="n"/>
      <c r="BM96" s="56" t="n"/>
      <c r="BN96" s="56" t="n"/>
      <c r="BO96" s="47" t="n"/>
      <c r="BP96" s="47" t="n"/>
      <c r="BQ96" s="211" t="n"/>
      <c r="BR96" s="81" t="n"/>
      <c r="BS96" s="81" t="n"/>
      <c r="BT96" s="56" t="n"/>
      <c r="BU96" s="56" t="n"/>
      <c r="BV96" s="47" t="n"/>
      <c r="BW96" s="47" t="n"/>
      <c r="BX96" s="213" t="n"/>
      <c r="BY96" s="81" t="n"/>
      <c r="BZ96" s="81" t="n"/>
      <c r="CA96" s="56" t="n"/>
      <c r="CB96" s="56" t="n"/>
      <c r="CC96" s="47" t="n"/>
      <c r="CD96" s="47" t="n"/>
      <c r="CE96" s="213" t="n"/>
      <c r="CF96" s="81" t="n"/>
      <c r="CG96" s="81" t="n"/>
      <c r="CH96" s="56" t="n"/>
      <c r="CI96" s="56" t="n"/>
      <c r="CJ96" s="47" t="n"/>
      <c r="CK96" s="47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</row>
    <row r="97" ht="21" customFormat="1" customHeight="1" s="167">
      <c r="B97" s="48" t="n"/>
      <c r="C97" s="48" t="n"/>
      <c r="D97" s="48" t="n"/>
      <c r="E97" s="193" t="inlineStr">
        <is>
          <t>COD.</t>
        </is>
      </c>
      <c r="F97" s="373" t="inlineStr">
        <is>
          <t>Tipologia:</t>
        </is>
      </c>
      <c r="G97" s="373" t="inlineStr">
        <is>
          <t>Marca:</t>
        </is>
      </c>
      <c r="H97" s="373" t="inlineStr">
        <is>
          <t>Modello:</t>
        </is>
      </c>
      <c r="I97" s="461" t="n"/>
      <c r="J97" s="114" t="inlineStr">
        <is>
          <t>SNR</t>
        </is>
      </c>
      <c r="K97" s="115" t="inlineStr">
        <is>
          <t>H</t>
        </is>
      </c>
      <c r="L97" s="116" t="inlineStr">
        <is>
          <t>M</t>
        </is>
      </c>
      <c r="M97" s="116" t="inlineStr">
        <is>
          <t>L</t>
        </is>
      </c>
      <c r="N97" s="388" t="inlineStr">
        <is>
          <t>LEQ(A)F</t>
        </is>
      </c>
      <c r="O97" s="388" t="inlineStr">
        <is>
          <t>LEQ(C)F</t>
        </is>
      </c>
      <c r="P97" s="132" t="inlineStr">
        <is>
          <t>PNR</t>
        </is>
      </c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286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218" t="n"/>
      <c r="AW97" s="81" t="n"/>
      <c r="AX97" s="81" t="n"/>
      <c r="AY97" s="56" t="n"/>
      <c r="AZ97" s="52" t="n"/>
      <c r="BA97" s="47" t="n"/>
      <c r="BB97" s="47" t="n"/>
      <c r="BC97" s="212" t="n"/>
      <c r="BD97" s="81" t="n"/>
      <c r="BE97" s="81" t="n"/>
      <c r="BF97" s="56" t="n"/>
      <c r="BG97" s="52" t="n"/>
      <c r="BH97" s="47" t="n"/>
      <c r="BI97" s="47" t="n"/>
      <c r="BJ97" s="212" t="n"/>
      <c r="BK97" s="81" t="n"/>
      <c r="BL97" s="81" t="n"/>
      <c r="BM97" s="56" t="n"/>
      <c r="BN97" s="52" t="n"/>
      <c r="BO97" s="47" t="n"/>
      <c r="BP97" s="47" t="n"/>
      <c r="BQ97" s="211" t="n"/>
      <c r="BR97" s="81" t="n"/>
      <c r="BS97" s="81" t="n"/>
      <c r="BT97" s="56" t="n"/>
      <c r="BU97" s="52" t="n"/>
      <c r="BV97" s="47" t="n"/>
      <c r="BW97" s="47" t="n"/>
      <c r="BX97" s="213" t="n"/>
      <c r="BY97" s="81" t="n"/>
      <c r="BZ97" s="81" t="n"/>
      <c r="CA97" s="56" t="n"/>
      <c r="CB97" s="52" t="n"/>
      <c r="CC97" s="47" t="n"/>
      <c r="CD97" s="47" t="n"/>
      <c r="CE97" s="213" t="n"/>
      <c r="CF97" s="81" t="n"/>
      <c r="CG97" s="81" t="n"/>
      <c r="CH97" s="56" t="n"/>
      <c r="CI97" s="52" t="n"/>
      <c r="CJ97" s="47" t="n"/>
      <c r="CK97" s="47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</row>
    <row r="98" ht="21" customFormat="1" customHeight="1" s="167">
      <c r="B98" s="48" t="n"/>
      <c r="C98" s="48" t="n"/>
      <c r="D98" s="48" t="n"/>
      <c r="E98" s="129" t="inlineStr">
        <is>
          <t>A6</t>
        </is>
      </c>
      <c r="F98" s="126">
        <f>VLOOKUP(E98,$E$115:$L$246,2,FALSE)</f>
        <v/>
      </c>
      <c r="G98" s="126">
        <f>VLOOKUP($E$98,$E$115:$L$246,3,FALSE)</f>
        <v/>
      </c>
      <c r="H98" s="374">
        <f>VLOOKUP($E$98,$E$115:$L$246,4,FALSE)</f>
        <v/>
      </c>
      <c r="I98" s="461" t="n"/>
      <c r="J98" s="46">
        <f>VLOOKUP(E98,$E$115:$L$246,5,FALSE)</f>
        <v/>
      </c>
      <c r="K98" s="46">
        <f>VLOOKUP($E$98,$E$115:$L$246,6,FALSE)</f>
        <v/>
      </c>
      <c r="L98" s="46">
        <f>VLOOKUP($E$98,$E$115:$L$246,7,FALSE)</f>
        <v/>
      </c>
      <c r="M98" s="46">
        <f>VLOOKUP($E$98,$E$115:$L$246,8,FALSE)</f>
        <v/>
      </c>
      <c r="N98" s="375">
        <f>$DE$11</f>
        <v/>
      </c>
      <c r="O98" s="375">
        <f>$DF$11</f>
        <v/>
      </c>
      <c r="P98" s="376">
        <f>IF(($DF$11-$DE$11)&lt;=2,(L99-((K99-L99)/4)*($DF$11-$DE$11-2)),(L99-((L99-M99)/8)*($DF$11-$DE$11-2)))</f>
        <v/>
      </c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286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219" t="n"/>
      <c r="AW98" s="81" t="n"/>
      <c r="AX98" s="81" t="n"/>
      <c r="AY98" s="56" t="n"/>
      <c r="AZ98" s="56" t="n"/>
      <c r="BA98" s="47" t="n"/>
      <c r="BB98" s="47" t="n"/>
      <c r="BC98" s="212" t="n"/>
      <c r="BD98" s="81" t="n"/>
      <c r="BE98" s="81" t="n"/>
      <c r="BF98" s="56" t="n"/>
      <c r="BG98" s="56" t="n"/>
      <c r="BH98" s="47" t="n"/>
      <c r="BI98" s="47" t="n"/>
      <c r="BJ98" s="212" t="n"/>
      <c r="BK98" s="81" t="n"/>
      <c r="BL98" s="81" t="n"/>
      <c r="BM98" s="56" t="n"/>
      <c r="BN98" s="56" t="n"/>
      <c r="BO98" s="47" t="n"/>
      <c r="BP98" s="47" t="n"/>
      <c r="BQ98" s="211" t="n"/>
      <c r="BR98" s="81" t="n"/>
      <c r="BS98" s="81" t="n"/>
      <c r="BT98" s="56" t="n"/>
      <c r="BU98" s="56" t="n"/>
      <c r="BV98" s="47" t="n"/>
      <c r="BW98" s="47" t="n"/>
      <c r="BX98" s="213" t="n"/>
      <c r="BY98" s="81" t="n"/>
      <c r="BZ98" s="81" t="n"/>
      <c r="CA98" s="56" t="n"/>
      <c r="CB98" s="56" t="n"/>
      <c r="CC98" s="47" t="n"/>
      <c r="CD98" s="47" t="n"/>
      <c r="CE98" s="213" t="n"/>
      <c r="CF98" s="81" t="n"/>
      <c r="CG98" s="81" t="n"/>
      <c r="CH98" s="56" t="n"/>
      <c r="CI98" s="56" t="n"/>
      <c r="CJ98" s="47" t="n"/>
      <c r="CK98" s="47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</row>
    <row r="99" ht="21" customFormat="1" customHeight="1" s="167">
      <c r="B99" s="48" t="n"/>
      <c r="C99" s="48" t="n"/>
      <c r="D99" s="48" t="n"/>
      <c r="E99" s="191" t="n"/>
      <c r="F99" s="127" t="n"/>
      <c r="G99" s="128" t="inlineStr">
        <is>
          <t xml:space="preserve">Coeffciente correttivo β = </t>
        </is>
      </c>
      <c r="H99" s="378" t="n">
        <v>0.85</v>
      </c>
      <c r="I99" s="461" t="n"/>
      <c r="J99" s="117">
        <f>H99*J98</f>
        <v/>
      </c>
      <c r="K99" s="118">
        <f>K98*$H$99</f>
        <v/>
      </c>
      <c r="L99" s="118">
        <f>L98*$H$99</f>
        <v/>
      </c>
      <c r="M99" s="118">
        <f>M98*$H$99</f>
        <v/>
      </c>
      <c r="N99" s="463" t="n"/>
      <c r="O99" s="463" t="n"/>
      <c r="P99" s="488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286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211" t="n"/>
      <c r="AW99" s="81" t="n"/>
      <c r="AX99" s="81" t="n"/>
      <c r="AY99" s="56" t="n"/>
      <c r="AZ99" s="56" t="n"/>
      <c r="BA99" s="47" t="n"/>
      <c r="BB99" s="47" t="n"/>
      <c r="BC99" s="212" t="n"/>
      <c r="BD99" s="81" t="n"/>
      <c r="BE99" s="81" t="n"/>
      <c r="BF99" s="56" t="n"/>
      <c r="BG99" s="56" t="n"/>
      <c r="BH99" s="47" t="n"/>
      <c r="BI99" s="47" t="n"/>
      <c r="BJ99" s="212" t="n"/>
      <c r="BK99" s="81" t="n"/>
      <c r="BL99" s="81" t="n"/>
      <c r="BM99" s="56" t="n"/>
      <c r="BN99" s="56" t="n"/>
      <c r="BO99" s="47" t="n"/>
      <c r="BP99" s="47" t="n"/>
      <c r="BQ99" s="211" t="n"/>
      <c r="BR99" s="81" t="n"/>
      <c r="BS99" s="81" t="n"/>
      <c r="BT99" s="56" t="n"/>
      <c r="BU99" s="56" t="n"/>
      <c r="BV99" s="47" t="n"/>
      <c r="BW99" s="47" t="n"/>
      <c r="BX99" s="213" t="n"/>
      <c r="BY99" s="81" t="n"/>
      <c r="BZ99" s="81" t="n"/>
      <c r="CA99" s="56" t="n"/>
      <c r="CB99" s="56" t="n"/>
      <c r="CC99" s="47" t="n"/>
      <c r="CD99" s="47" t="n"/>
      <c r="CE99" s="213" t="n"/>
      <c r="CF99" s="81" t="n"/>
      <c r="CG99" s="81" t="n"/>
      <c r="CH99" s="56" t="n"/>
      <c r="CI99" s="56" t="n"/>
      <c r="CJ99" s="47" t="n"/>
      <c r="CK99" s="47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</row>
    <row r="100" ht="9" customFormat="1" customHeight="1" s="167">
      <c r="B100" s="48" t="n"/>
      <c r="C100" s="48" t="n"/>
      <c r="D100" s="48" t="n"/>
      <c r="E100" s="489" t="n"/>
      <c r="F100" s="457" t="n"/>
      <c r="G100" s="457" t="n"/>
      <c r="H100" s="457" t="n"/>
      <c r="I100" s="457" t="n"/>
      <c r="J100" s="457" t="n"/>
      <c r="K100" s="457" t="n"/>
      <c r="L100" s="457" t="n"/>
      <c r="M100" s="457" t="n"/>
      <c r="N100" s="457" t="n"/>
      <c r="O100" s="457" t="n"/>
      <c r="P100" s="490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286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211" t="n"/>
      <c r="AW100" s="81" t="n"/>
      <c r="AX100" s="81" t="n"/>
      <c r="AY100" s="56" t="n"/>
      <c r="AZ100" s="56" t="n"/>
      <c r="BA100" s="47" t="n"/>
      <c r="BB100" s="47" t="n"/>
      <c r="BC100" s="212" t="n"/>
      <c r="BD100" s="81" t="n"/>
      <c r="BE100" s="81" t="n"/>
      <c r="BF100" s="56" t="n"/>
      <c r="BG100" s="56" t="n"/>
      <c r="BH100" s="47" t="n"/>
      <c r="BI100" s="47" t="n"/>
      <c r="BJ100" s="212" t="n"/>
      <c r="BK100" s="81" t="n"/>
      <c r="BL100" s="81" t="n"/>
      <c r="BM100" s="56" t="n"/>
      <c r="BN100" s="56" t="n"/>
      <c r="BO100" s="47" t="n"/>
      <c r="BP100" s="47" t="n"/>
      <c r="BQ100" s="211" t="n"/>
      <c r="BR100" s="81" t="n"/>
      <c r="BS100" s="81" t="n"/>
      <c r="BT100" s="56" t="n"/>
      <c r="BU100" s="56" t="n"/>
      <c r="BV100" s="47" t="n"/>
      <c r="BW100" s="47" t="n"/>
      <c r="BX100" s="213" t="n"/>
      <c r="BY100" s="81" t="n"/>
      <c r="BZ100" s="81" t="n"/>
      <c r="CA100" s="56" t="n"/>
      <c r="CB100" s="56" t="n"/>
      <c r="CC100" s="47" t="n"/>
      <c r="CD100" s="47" t="n"/>
      <c r="CE100" s="213" t="n"/>
      <c r="CF100" s="81" t="n"/>
      <c r="CG100" s="81" t="n"/>
      <c r="CH100" s="56" t="n"/>
      <c r="CI100" s="56" t="n"/>
      <c r="CJ100" s="47" t="n"/>
      <c r="CK100" s="47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</row>
    <row r="101" ht="21" customFormat="1" customHeight="1" s="167">
      <c r="B101" s="48" t="n"/>
      <c r="C101" s="48" t="n"/>
      <c r="D101" s="48" t="n"/>
      <c r="E101" s="361" t="inlineStr">
        <is>
          <t>STATO</t>
        </is>
      </c>
      <c r="F101" s="461" t="n"/>
      <c r="G101" s="363" t="inlineStr">
        <is>
          <t>Medoto HML</t>
        </is>
      </c>
      <c r="H101" s="130" t="inlineStr">
        <is>
          <t>LEQ</t>
        </is>
      </c>
      <c r="I101" s="131" t="inlineStr">
        <is>
          <t>Leq(A)'</t>
        </is>
      </c>
      <c r="J101" s="133">
        <f>$DE$11-P98</f>
        <v/>
      </c>
      <c r="K101" s="131" t="inlineStr">
        <is>
          <t xml:space="preserve">Lact </t>
        </is>
      </c>
      <c r="L101" s="131" t="n">
        <v>80</v>
      </c>
      <c r="M101" s="365">
        <f>IF(J101&lt;65,"IPERPROTEZIONE",IF(J101&lt;70,"ACCETTABILE",IF(J101&lt;75,"BUONA",IF(J101&lt;80,"ACCETTABILE","INSUFFICIENTE"))))</f>
        <v/>
      </c>
      <c r="N101" s="460" t="n"/>
      <c r="O101" s="460" t="n"/>
      <c r="P101" s="46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286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220" t="n"/>
      <c r="AW101" s="81" t="n"/>
      <c r="AX101" s="81" t="n"/>
      <c r="AY101" s="56" t="n"/>
      <c r="AZ101" s="56" t="n"/>
      <c r="BA101" s="47" t="n"/>
      <c r="BB101" s="47" t="n"/>
      <c r="BC101" s="212" t="n"/>
      <c r="BD101" s="81" t="n"/>
      <c r="BE101" s="81" t="n"/>
      <c r="BF101" s="56" t="n"/>
      <c r="BG101" s="56" t="n"/>
      <c r="BH101" s="47" t="n"/>
      <c r="BI101" s="47" t="n"/>
      <c r="BJ101" s="212" t="n"/>
      <c r="BK101" s="81" t="n"/>
      <c r="BL101" s="81" t="n"/>
      <c r="BM101" s="56" t="n"/>
      <c r="BN101" s="56" t="n"/>
      <c r="BO101" s="47" t="n"/>
      <c r="BP101" s="47" t="n"/>
      <c r="BQ101" s="211" t="n"/>
      <c r="BR101" s="81" t="n"/>
      <c r="BS101" s="81" t="n"/>
      <c r="BT101" s="56" t="n"/>
      <c r="BU101" s="56" t="n"/>
      <c r="BV101" s="47" t="n"/>
      <c r="BW101" s="47" t="n"/>
      <c r="BX101" s="213" t="n"/>
      <c r="BY101" s="81" t="n"/>
      <c r="BZ101" s="81" t="n"/>
      <c r="CA101" s="56" t="n"/>
      <c r="CB101" s="56" t="n"/>
      <c r="CC101" s="47" t="n"/>
      <c r="CD101" s="47" t="n"/>
      <c r="CE101" s="213" t="n"/>
      <c r="CF101" s="81" t="n"/>
      <c r="CG101" s="81" t="n"/>
      <c r="CH101" s="56" t="n"/>
      <c r="CI101" s="56" t="n"/>
      <c r="CJ101" s="47" t="n"/>
      <c r="CK101" s="47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</row>
    <row r="102" ht="29.25" customFormat="1" customHeight="1" s="167" thickBot="1">
      <c r="B102" s="48" t="n"/>
      <c r="C102" s="48" t="n"/>
      <c r="D102" s="48" t="n"/>
      <c r="E102" s="367" t="inlineStr">
        <is>
          <t>DA ACQUISTARE</t>
        </is>
      </c>
      <c r="F102" s="484" t="n"/>
      <c r="G102" s="463" t="n"/>
      <c r="H102" s="59" t="inlineStr">
        <is>
          <t>PPeak</t>
        </is>
      </c>
      <c r="I102" s="60" t="inlineStr">
        <is>
          <t>dm</t>
        </is>
      </c>
      <c r="J102" s="60">
        <f>M99-5</f>
        <v/>
      </c>
      <c r="K102" s="60" t="inlineStr">
        <is>
          <t xml:space="preserve">Lact </t>
        </is>
      </c>
      <c r="L102" s="60" t="n">
        <v>135</v>
      </c>
      <c r="M102" s="368">
        <f>IF($O$48&lt;135,"VERIFICA NON NECESSARIA",IF(($O$48-J102)&lt;135,"IDONEO","INSUFFICIENTE"))</f>
        <v/>
      </c>
      <c r="N102" s="485" t="n"/>
      <c r="O102" s="485" t="n"/>
      <c r="P102" s="484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286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220" t="n"/>
      <c r="AW102" s="81" t="n"/>
      <c r="AX102" s="81" t="n"/>
      <c r="AY102" s="56" t="n"/>
      <c r="AZ102" s="56" t="n"/>
      <c r="BA102" s="47" t="n"/>
      <c r="BB102" s="47" t="n"/>
      <c r="BC102" s="212" t="n"/>
      <c r="BD102" s="81" t="n"/>
      <c r="BE102" s="81" t="n"/>
      <c r="BF102" s="56" t="n"/>
      <c r="BG102" s="56" t="n"/>
      <c r="BH102" s="47" t="n"/>
      <c r="BI102" s="47" t="n"/>
      <c r="BJ102" s="212" t="n"/>
      <c r="BK102" s="81" t="n"/>
      <c r="BL102" s="81" t="n"/>
      <c r="BM102" s="56" t="n"/>
      <c r="BN102" s="56" t="n"/>
      <c r="BO102" s="47" t="n"/>
      <c r="BP102" s="47" t="n"/>
      <c r="BQ102" s="211" t="n"/>
      <c r="BR102" s="81" t="n"/>
      <c r="BS102" s="81" t="n"/>
      <c r="BT102" s="56" t="n"/>
      <c r="BU102" s="56" t="n"/>
      <c r="BV102" s="47" t="n"/>
      <c r="BW102" s="47" t="n"/>
      <c r="BX102" s="213" t="n"/>
      <c r="BY102" s="81" t="n"/>
      <c r="BZ102" s="81" t="n"/>
      <c r="CA102" s="56" t="n"/>
      <c r="CB102" s="56" t="n"/>
      <c r="CC102" s="47" t="n"/>
      <c r="CD102" s="47" t="n"/>
      <c r="CE102" s="213" t="n"/>
      <c r="CF102" s="81" t="n"/>
      <c r="CG102" s="81" t="n"/>
      <c r="CH102" s="56" t="n"/>
      <c r="CI102" s="56" t="n"/>
      <c r="CJ102" s="47" t="n"/>
      <c r="CK102" s="47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</row>
    <row r="103" ht="13.5" customFormat="1" customHeight="1" s="167" thickBot="1">
      <c r="B103" s="81" t="n"/>
      <c r="C103" s="81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286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213" t="n"/>
      <c r="AW103" s="81" t="n"/>
      <c r="AX103" s="81" t="n"/>
      <c r="AY103" s="81" t="n"/>
      <c r="BC103" s="211" t="n"/>
      <c r="BD103" s="81" t="n"/>
      <c r="BE103" s="81" t="n"/>
      <c r="BF103" s="81" t="n"/>
      <c r="BJ103" s="211" t="n"/>
      <c r="BK103" s="81" t="n"/>
      <c r="BL103" s="81" t="n"/>
      <c r="BM103" s="81" t="n"/>
      <c r="BQ103" s="211" t="n"/>
      <c r="BR103" s="81" t="n"/>
      <c r="BS103" s="81" t="n"/>
      <c r="BT103" s="81" t="n"/>
      <c r="BX103" s="213" t="n"/>
      <c r="BY103" s="81" t="n"/>
      <c r="BZ103" s="81" t="n"/>
      <c r="CA103" s="81" t="n"/>
      <c r="CE103" s="213" t="n"/>
      <c r="CF103" s="81" t="n"/>
      <c r="CG103" s="81" t="n"/>
      <c r="CH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</row>
    <row r="104" ht="27" customFormat="1" customHeight="1" s="167">
      <c r="B104" s="48" t="n"/>
      <c r="C104" s="48" t="n"/>
      <c r="D104" s="48" t="n"/>
      <c r="E104" s="486" t="inlineStr">
        <is>
          <t>VERIFICA E GIUDIZIO IDONEITA' DEL D.P.I. CON CALCOLO DEL PNR GLOBALE PER LAeq,F</t>
        </is>
      </c>
      <c r="F104" s="482" t="n"/>
      <c r="G104" s="482" t="n"/>
      <c r="H104" s="482" t="n"/>
      <c r="I104" s="482" t="n"/>
      <c r="J104" s="482" t="n"/>
      <c r="K104" s="482" t="n"/>
      <c r="L104" s="482" t="n"/>
      <c r="M104" s="482" t="n"/>
      <c r="N104" s="482" t="n"/>
      <c r="O104" s="482" t="n"/>
      <c r="P104" s="487" t="n"/>
      <c r="AJ104" s="291" t="n"/>
      <c r="AU104" s="53" t="n"/>
      <c r="AV104" s="221" t="n"/>
      <c r="AW104" s="81" t="n"/>
      <c r="AX104" s="81" t="n"/>
      <c r="AY104" s="56" t="n"/>
      <c r="AZ104" s="56" t="n"/>
      <c r="BA104" s="47" t="n"/>
      <c r="BB104" s="47" t="n"/>
      <c r="BC104" s="212" t="n"/>
      <c r="BD104" s="81" t="n"/>
      <c r="BE104" s="81" t="n"/>
      <c r="BF104" s="56" t="n"/>
      <c r="BG104" s="56" t="n"/>
      <c r="BH104" s="47" t="n"/>
      <c r="BI104" s="47" t="n"/>
      <c r="BJ104" s="212" t="n"/>
      <c r="BK104" s="81" t="n"/>
      <c r="BL104" s="81" t="n"/>
      <c r="BM104" s="56" t="n"/>
      <c r="BN104" s="56" t="n"/>
      <c r="BO104" s="47" t="n"/>
      <c r="BP104" s="47" t="n"/>
      <c r="BQ104" s="211" t="n"/>
      <c r="BR104" s="81" t="n"/>
      <c r="BS104" s="81" t="n"/>
      <c r="BT104" s="56" t="n"/>
      <c r="BU104" s="56" t="n"/>
      <c r="BV104" s="47" t="n"/>
      <c r="BW104" s="47" t="n"/>
      <c r="BX104" s="213" t="n"/>
      <c r="BY104" s="81" t="n"/>
      <c r="BZ104" s="81" t="n"/>
      <c r="CA104" s="56" t="n"/>
      <c r="CB104" s="56" t="n"/>
      <c r="CC104" s="47" t="n"/>
      <c r="CD104" s="47" t="n"/>
      <c r="CE104" s="213" t="n"/>
      <c r="CF104" s="81" t="n"/>
      <c r="CG104" s="81" t="n"/>
      <c r="CH104" s="56" t="n"/>
      <c r="CI104" s="56" t="n"/>
      <c r="CJ104" s="47" t="n"/>
      <c r="CK104" s="47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</row>
    <row r="105" ht="21" customFormat="1" customHeight="1" s="167">
      <c r="B105" s="48" t="n"/>
      <c r="C105" s="48" t="n"/>
      <c r="D105" s="48" t="n"/>
      <c r="E105" s="193" t="inlineStr">
        <is>
          <t>COD.</t>
        </is>
      </c>
      <c r="F105" s="373" t="inlineStr">
        <is>
          <t>Tipologia:</t>
        </is>
      </c>
      <c r="G105" s="373" t="inlineStr">
        <is>
          <t>Marca:</t>
        </is>
      </c>
      <c r="H105" s="373" t="inlineStr">
        <is>
          <t>Modello:</t>
        </is>
      </c>
      <c r="I105" s="461" t="n"/>
      <c r="J105" s="114" t="inlineStr">
        <is>
          <t>SNR</t>
        </is>
      </c>
      <c r="K105" s="115" t="inlineStr">
        <is>
          <t>H</t>
        </is>
      </c>
      <c r="L105" s="116" t="inlineStr">
        <is>
          <t>M</t>
        </is>
      </c>
      <c r="M105" s="116" t="inlineStr">
        <is>
          <t>L</t>
        </is>
      </c>
      <c r="N105" s="388" t="inlineStr">
        <is>
          <t>LEQ(A)F</t>
        </is>
      </c>
      <c r="O105" s="388" t="inlineStr">
        <is>
          <t>LEQ(C)F</t>
        </is>
      </c>
      <c r="P105" s="132" t="inlineStr">
        <is>
          <t>PNR</t>
        </is>
      </c>
      <c r="AJ105" s="291" t="n"/>
      <c r="AU105" s="54" t="n"/>
      <c r="AV105" s="218" t="n"/>
      <c r="AW105" s="81" t="n"/>
      <c r="AX105" s="81" t="n"/>
      <c r="AY105" s="56" t="n"/>
      <c r="AZ105" s="52" t="n"/>
      <c r="BA105" s="47" t="n"/>
      <c r="BB105" s="47" t="n"/>
      <c r="BC105" s="212" t="n"/>
      <c r="BD105" s="81" t="n"/>
      <c r="BE105" s="81" t="n"/>
      <c r="BF105" s="56" t="n"/>
      <c r="BG105" s="52" t="n"/>
      <c r="BH105" s="47" t="n"/>
      <c r="BI105" s="47" t="n"/>
      <c r="BJ105" s="212" t="n"/>
      <c r="BK105" s="81" t="n"/>
      <c r="BL105" s="81" t="n"/>
      <c r="BM105" s="56" t="n"/>
      <c r="BN105" s="52" t="n"/>
      <c r="BO105" s="47" t="n"/>
      <c r="BP105" s="47" t="n"/>
      <c r="BQ105" s="211" t="n"/>
      <c r="BR105" s="81" t="n"/>
      <c r="BS105" s="81" t="n"/>
      <c r="BT105" s="56" t="n"/>
      <c r="BU105" s="52" t="n"/>
      <c r="BV105" s="47" t="n"/>
      <c r="BW105" s="47" t="n"/>
      <c r="BX105" s="213" t="n"/>
      <c r="BY105" s="81" t="n"/>
      <c r="BZ105" s="81" t="n"/>
      <c r="CA105" s="56" t="n"/>
      <c r="CB105" s="52" t="n"/>
      <c r="CC105" s="47" t="n"/>
      <c r="CD105" s="47" t="n"/>
      <c r="CE105" s="213" t="n"/>
      <c r="CF105" s="81" t="n"/>
      <c r="CG105" s="81" t="n"/>
      <c r="CH105" s="56" t="n"/>
      <c r="CI105" s="52" t="n"/>
      <c r="CJ105" s="47" t="n"/>
      <c r="CK105" s="47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</row>
    <row r="106" ht="21" customFormat="1" customHeight="1" s="167">
      <c r="B106" s="48" t="n"/>
      <c r="C106" s="48" t="n"/>
      <c r="D106" s="48" t="n"/>
      <c r="E106" s="129" t="inlineStr">
        <is>
          <t>A7</t>
        </is>
      </c>
      <c r="F106" s="126">
        <f>VLOOKUP(E106,$E$115:$L$246,2,FALSE)</f>
        <v/>
      </c>
      <c r="G106" s="126">
        <f>VLOOKUP($E$106,$E$115:$L$246,3,FALSE)</f>
        <v/>
      </c>
      <c r="H106" s="374">
        <f>VLOOKUP($E$106,$E$115:$L$246,4,FALSE)</f>
        <v/>
      </c>
      <c r="I106" s="461" t="n"/>
      <c r="J106" s="46">
        <f>VLOOKUP(E106,$E$115:$L$246,5,FALSE)</f>
        <v/>
      </c>
      <c r="K106" s="46">
        <f>VLOOKUP($E$106,$E$115:$L$246,6,FALSE)</f>
        <v/>
      </c>
      <c r="L106" s="46">
        <f>VLOOKUP($E$106,$E$115:$L$246,7,FALSE)</f>
        <v/>
      </c>
      <c r="M106" s="46">
        <f>VLOOKUP($E$106,$E$115:$L$246,8,FALSE)</f>
        <v/>
      </c>
      <c r="N106" s="375">
        <f>$DE$11</f>
        <v/>
      </c>
      <c r="O106" s="375">
        <f>$DF$11</f>
        <v/>
      </c>
      <c r="P106" s="376">
        <f>IF(($DF$11-$DE$11)&lt;=2,(L107-((K107-L107)/4)*($DF$11-$DE$11-2)),(L107-((L107-M107)/8)*($DF$11-$DE$11-2)))</f>
        <v/>
      </c>
      <c r="AJ106" s="291" t="n"/>
      <c r="AU106" s="196" t="n"/>
      <c r="AV106" s="219" t="n"/>
      <c r="AW106" s="81" t="n"/>
      <c r="AX106" s="81" t="n"/>
      <c r="AY106" s="56" t="n"/>
      <c r="AZ106" s="56" t="n"/>
      <c r="BA106" s="47" t="n"/>
      <c r="BB106" s="47" t="n"/>
      <c r="BC106" s="212" t="n"/>
      <c r="BD106" s="81" t="n"/>
      <c r="BE106" s="81" t="n"/>
      <c r="BF106" s="56" t="n"/>
      <c r="BG106" s="56" t="n"/>
      <c r="BH106" s="47" t="n"/>
      <c r="BI106" s="47" t="n"/>
      <c r="BJ106" s="212" t="n"/>
      <c r="BK106" s="81" t="n"/>
      <c r="BL106" s="81" t="n"/>
      <c r="BM106" s="56" t="n"/>
      <c r="BN106" s="56" t="n"/>
      <c r="BO106" s="47" t="n"/>
      <c r="BP106" s="47" t="n"/>
      <c r="BQ106" s="211" t="n"/>
      <c r="BR106" s="81" t="n"/>
      <c r="BS106" s="81" t="n"/>
      <c r="BT106" s="56" t="n"/>
      <c r="BU106" s="56" t="n"/>
      <c r="BV106" s="47" t="n"/>
      <c r="BW106" s="47" t="n"/>
      <c r="BX106" s="213" t="n"/>
      <c r="BY106" s="81" t="n"/>
      <c r="BZ106" s="81" t="n"/>
      <c r="CA106" s="56" t="n"/>
      <c r="CB106" s="56" t="n"/>
      <c r="CC106" s="47" t="n"/>
      <c r="CD106" s="47" t="n"/>
      <c r="CE106" s="213" t="n"/>
      <c r="CF106" s="81" t="n"/>
      <c r="CG106" s="81" t="n"/>
      <c r="CH106" s="56" t="n"/>
      <c r="CI106" s="56" t="n"/>
      <c r="CJ106" s="47" t="n"/>
      <c r="CK106" s="47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</row>
    <row r="107" ht="21" customFormat="1" customHeight="1" s="167">
      <c r="B107" s="48" t="n"/>
      <c r="C107" s="48" t="n"/>
      <c r="D107" s="48" t="n"/>
      <c r="E107" s="191" t="n"/>
      <c r="F107" s="127" t="n"/>
      <c r="G107" s="128" t="inlineStr">
        <is>
          <t xml:space="preserve">Coeffciente correttivo β = </t>
        </is>
      </c>
      <c r="H107" s="378" t="n">
        <v>0.85</v>
      </c>
      <c r="I107" s="461" t="n"/>
      <c r="J107" s="117">
        <f>H107*J106</f>
        <v/>
      </c>
      <c r="K107" s="118">
        <f>K106*$H$107</f>
        <v/>
      </c>
      <c r="L107" s="118">
        <f>L106*$H$107</f>
        <v/>
      </c>
      <c r="M107" s="118">
        <f>M106*$H$107</f>
        <v/>
      </c>
      <c r="N107" s="463" t="n"/>
      <c r="O107" s="463" t="n"/>
      <c r="P107" s="488" t="n"/>
      <c r="AJ107" s="291" t="n"/>
      <c r="AV107" s="211" t="n"/>
      <c r="AW107" s="81" t="n"/>
      <c r="AX107" s="81" t="n"/>
      <c r="AY107" s="56" t="n"/>
      <c r="AZ107" s="56" t="n"/>
      <c r="BA107" s="47" t="n"/>
      <c r="BB107" s="47" t="n"/>
      <c r="BC107" s="212" t="n"/>
      <c r="BD107" s="81" t="n"/>
      <c r="BE107" s="81" t="n"/>
      <c r="BF107" s="56" t="n"/>
      <c r="BG107" s="56" t="n"/>
      <c r="BH107" s="47" t="n"/>
      <c r="BI107" s="47" t="n"/>
      <c r="BJ107" s="212" t="n"/>
      <c r="BK107" s="81" t="n"/>
      <c r="BL107" s="81" t="n"/>
      <c r="BM107" s="56" t="n"/>
      <c r="BN107" s="56" t="n"/>
      <c r="BO107" s="47" t="n"/>
      <c r="BP107" s="47" t="n"/>
      <c r="BQ107" s="211" t="n"/>
      <c r="BR107" s="81" t="n"/>
      <c r="BS107" s="81" t="n"/>
      <c r="BT107" s="56" t="n"/>
      <c r="BU107" s="56" t="n"/>
      <c r="BV107" s="47" t="n"/>
      <c r="BW107" s="47" t="n"/>
      <c r="BX107" s="213" t="n"/>
      <c r="BY107" s="81" t="n"/>
      <c r="BZ107" s="81" t="n"/>
      <c r="CA107" s="56" t="n"/>
      <c r="CB107" s="56" t="n"/>
      <c r="CC107" s="47" t="n"/>
      <c r="CD107" s="47" t="n"/>
      <c r="CE107" s="213" t="n"/>
      <c r="CF107" s="81" t="n"/>
      <c r="CG107" s="81" t="n"/>
      <c r="CH107" s="56" t="n"/>
      <c r="CI107" s="56" t="n"/>
      <c r="CJ107" s="47" t="n"/>
      <c r="CK107" s="47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</row>
    <row r="108" ht="9" customFormat="1" customHeight="1" s="167">
      <c r="B108" s="48" t="n"/>
      <c r="C108" s="48" t="n"/>
      <c r="D108" s="48" t="n"/>
      <c r="E108" s="489" t="n"/>
      <c r="F108" s="457" t="n"/>
      <c r="G108" s="457" t="n"/>
      <c r="H108" s="457" t="n"/>
      <c r="I108" s="457" t="n"/>
      <c r="J108" s="457" t="n"/>
      <c r="K108" s="457" t="n"/>
      <c r="L108" s="457" t="n"/>
      <c r="M108" s="457" t="n"/>
      <c r="N108" s="457" t="n"/>
      <c r="O108" s="457" t="n"/>
      <c r="P108" s="490" t="n"/>
      <c r="AJ108" s="291" t="n"/>
      <c r="AV108" s="211" t="n"/>
      <c r="AW108" s="81" t="n"/>
      <c r="AX108" s="81" t="n"/>
      <c r="AY108" s="56" t="n"/>
      <c r="AZ108" s="56" t="n"/>
      <c r="BA108" s="47" t="n"/>
      <c r="BB108" s="47" t="n"/>
      <c r="BC108" s="212" t="n"/>
      <c r="BD108" s="81" t="n"/>
      <c r="BE108" s="81" t="n"/>
      <c r="BF108" s="56" t="n"/>
      <c r="BG108" s="56" t="n"/>
      <c r="BH108" s="47" t="n"/>
      <c r="BI108" s="47" t="n"/>
      <c r="BJ108" s="212" t="n"/>
      <c r="BK108" s="81" t="n"/>
      <c r="BL108" s="81" t="n"/>
      <c r="BM108" s="56" t="n"/>
      <c r="BN108" s="56" t="n"/>
      <c r="BO108" s="47" t="n"/>
      <c r="BP108" s="47" t="n"/>
      <c r="BQ108" s="211" t="n"/>
      <c r="BR108" s="81" t="n"/>
      <c r="BS108" s="81" t="n"/>
      <c r="BT108" s="56" t="n"/>
      <c r="BU108" s="56" t="n"/>
      <c r="BV108" s="47" t="n"/>
      <c r="BW108" s="47" t="n"/>
      <c r="BX108" s="213" t="n"/>
      <c r="BY108" s="81" t="n"/>
      <c r="BZ108" s="81" t="n"/>
      <c r="CA108" s="56" t="n"/>
      <c r="CB108" s="56" t="n"/>
      <c r="CC108" s="47" t="n"/>
      <c r="CD108" s="47" t="n"/>
      <c r="CE108" s="213" t="n"/>
      <c r="CF108" s="81" t="n"/>
      <c r="CG108" s="81" t="n"/>
      <c r="CH108" s="56" t="n"/>
      <c r="CI108" s="56" t="n"/>
      <c r="CJ108" s="47" t="n"/>
      <c r="CK108" s="47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</row>
    <row r="109" ht="21" customFormat="1" customHeight="1" s="167">
      <c r="B109" s="48" t="n"/>
      <c r="C109" s="48" t="n"/>
      <c r="D109" s="48" t="n"/>
      <c r="E109" s="361" t="inlineStr">
        <is>
          <t>STATO</t>
        </is>
      </c>
      <c r="F109" s="461" t="n"/>
      <c r="G109" s="363" t="inlineStr">
        <is>
          <t>Medoto HML</t>
        </is>
      </c>
      <c r="H109" s="130" t="inlineStr">
        <is>
          <t>LEQ</t>
        </is>
      </c>
      <c r="I109" s="131" t="inlineStr">
        <is>
          <t>Leq(A)'</t>
        </is>
      </c>
      <c r="J109" s="133">
        <f>$DE$11-P106</f>
        <v/>
      </c>
      <c r="K109" s="131" t="inlineStr">
        <is>
          <t xml:space="preserve">Lact </t>
        </is>
      </c>
      <c r="L109" s="131" t="n">
        <v>80</v>
      </c>
      <c r="M109" s="365">
        <f>IF(J109&lt;65,"IPERPROTEZIONE",IF(J109&lt;70,"ACCETTABILE",IF(J109&lt;75,"BUONA",IF(J109&lt;80,"ACCETTABILE","INSUFFICIENTE"))))</f>
        <v/>
      </c>
      <c r="N109" s="460" t="n"/>
      <c r="O109" s="460" t="n"/>
      <c r="P109" s="461" t="n"/>
      <c r="AJ109" s="291" t="n"/>
      <c r="AU109" s="85" t="n"/>
      <c r="AV109" s="220" t="n"/>
      <c r="AW109" s="81" t="n"/>
      <c r="AX109" s="81" t="n"/>
      <c r="AY109" s="56" t="n"/>
      <c r="AZ109" s="56" t="n"/>
      <c r="BA109" s="47" t="n"/>
      <c r="BB109" s="47" t="n"/>
      <c r="BC109" s="212" t="n"/>
      <c r="BD109" s="81" t="n"/>
      <c r="BE109" s="81" t="n"/>
      <c r="BF109" s="56" t="n"/>
      <c r="BG109" s="56" t="n"/>
      <c r="BH109" s="47" t="n"/>
      <c r="BI109" s="47" t="n"/>
      <c r="BJ109" s="212" t="n"/>
      <c r="BK109" s="81" t="n"/>
      <c r="BL109" s="81" t="n"/>
      <c r="BM109" s="56" t="n"/>
      <c r="BN109" s="56" t="n"/>
      <c r="BO109" s="47" t="n"/>
      <c r="BP109" s="47" t="n"/>
      <c r="BQ109" s="211" t="n"/>
      <c r="BR109" s="81" t="n"/>
      <c r="BS109" s="81" t="n"/>
      <c r="BT109" s="56" t="n"/>
      <c r="BU109" s="56" t="n"/>
      <c r="BV109" s="47" t="n"/>
      <c r="BW109" s="47" t="n"/>
      <c r="BX109" s="213" t="n"/>
      <c r="BY109" s="81" t="n"/>
      <c r="BZ109" s="81" t="n"/>
      <c r="CA109" s="56" t="n"/>
      <c r="CB109" s="56" t="n"/>
      <c r="CC109" s="47" t="n"/>
      <c r="CD109" s="47" t="n"/>
      <c r="CE109" s="213" t="n"/>
      <c r="CF109" s="81" t="n"/>
      <c r="CG109" s="81" t="n"/>
      <c r="CH109" s="56" t="n"/>
      <c r="CI109" s="56" t="n"/>
      <c r="CJ109" s="47" t="n"/>
      <c r="CK109" s="47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</row>
    <row r="110" ht="29.25" customFormat="1" customHeight="1" s="167" thickBot="1">
      <c r="B110" s="48" t="n"/>
      <c r="C110" s="48" t="n"/>
      <c r="D110" s="48" t="n"/>
      <c r="E110" s="367" t="inlineStr">
        <is>
          <t>DA ACQUISTARE</t>
        </is>
      </c>
      <c r="F110" s="484" t="n"/>
      <c r="G110" s="463" t="n"/>
      <c r="H110" s="59" t="inlineStr">
        <is>
          <t>PPeak</t>
        </is>
      </c>
      <c r="I110" s="60" t="inlineStr">
        <is>
          <t>dm</t>
        </is>
      </c>
      <c r="J110" s="60">
        <f>M107-5</f>
        <v/>
      </c>
      <c r="K110" s="60" t="inlineStr">
        <is>
          <t xml:space="preserve">Lact </t>
        </is>
      </c>
      <c r="L110" s="60" t="n">
        <v>135</v>
      </c>
      <c r="M110" s="368">
        <f>IF($O$48&lt;135,"VERIFICA NON NECESSARIA",IF(($O$48-J110)&lt;135,"IDONEO","INSUFFICIENTE"))</f>
        <v/>
      </c>
      <c r="N110" s="485" t="n"/>
      <c r="O110" s="485" t="n"/>
      <c r="P110" s="484" t="n"/>
      <c r="AJ110" s="291" t="n"/>
      <c r="AU110" s="86" t="n"/>
      <c r="AV110" s="220" t="n"/>
      <c r="AW110" s="81" t="n"/>
      <c r="AX110" s="81" t="n"/>
      <c r="AY110" s="56" t="n"/>
      <c r="AZ110" s="56" t="n"/>
      <c r="BA110" s="47" t="n"/>
      <c r="BB110" s="47" t="n"/>
      <c r="BC110" s="212" t="n"/>
      <c r="BD110" s="81" t="n"/>
      <c r="BE110" s="81" t="n"/>
      <c r="BF110" s="56" t="n"/>
      <c r="BG110" s="56" t="n"/>
      <c r="BH110" s="47" t="n"/>
      <c r="BI110" s="47" t="n"/>
      <c r="BJ110" s="212" t="n"/>
      <c r="BK110" s="81" t="n"/>
      <c r="BL110" s="81" t="n"/>
      <c r="BM110" s="56" t="n"/>
      <c r="BN110" s="56" t="n"/>
      <c r="BO110" s="47" t="n"/>
      <c r="BP110" s="47" t="n"/>
      <c r="BQ110" s="211" t="n"/>
      <c r="BR110" s="81" t="n"/>
      <c r="BS110" s="81" t="n"/>
      <c r="BT110" s="56" t="n"/>
      <c r="BU110" s="56" t="n"/>
      <c r="BV110" s="47" t="n"/>
      <c r="BW110" s="47" t="n"/>
      <c r="BX110" s="213" t="n"/>
      <c r="BY110" s="81" t="n"/>
      <c r="BZ110" s="81" t="n"/>
      <c r="CA110" s="56" t="n"/>
      <c r="CB110" s="56" t="n"/>
      <c r="CC110" s="47" t="n"/>
      <c r="CD110" s="47" t="n"/>
      <c r="CE110" s="213" t="n"/>
      <c r="CF110" s="81" t="n"/>
      <c r="CG110" s="81" t="n"/>
      <c r="CH110" s="56" t="n"/>
      <c r="CI110" s="56" t="n"/>
      <c r="CJ110" s="47" t="n"/>
      <c r="CK110" s="47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</row>
    <row r="114" ht="35.25" customFormat="1" customHeight="1" s="167">
      <c r="B114" s="81" t="n"/>
      <c r="C114" s="81" t="n"/>
      <c r="D114" s="81" t="n"/>
      <c r="E114" s="388" t="inlineStr">
        <is>
          <t>ID</t>
        </is>
      </c>
      <c r="F114" s="388" t="inlineStr">
        <is>
          <t>Tipologia</t>
        </is>
      </c>
      <c r="G114" s="388" t="inlineStr">
        <is>
          <t>Marca</t>
        </is>
      </c>
      <c r="H114" s="388" t="inlineStr">
        <is>
          <t>Modello</t>
        </is>
      </c>
      <c r="I114" s="388" t="inlineStr">
        <is>
          <t>SNR</t>
        </is>
      </c>
      <c r="J114" s="388" t="inlineStr">
        <is>
          <t>H</t>
        </is>
      </c>
      <c r="K114" s="388" t="inlineStr">
        <is>
          <t>M</t>
        </is>
      </c>
      <c r="L114" s="388" t="inlineStr">
        <is>
          <t>L</t>
        </is>
      </c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286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213" t="n"/>
      <c r="AW114" s="81" t="n"/>
      <c r="AX114" s="81" t="n"/>
      <c r="AY114" s="81" t="n"/>
      <c r="BC114" s="211" t="n"/>
      <c r="BD114" s="81" t="n"/>
      <c r="BE114" s="81" t="n"/>
      <c r="BF114" s="81" t="n"/>
      <c r="BJ114" s="211" t="n"/>
      <c r="BK114" s="81" t="n"/>
      <c r="BL114" s="81" t="n"/>
      <c r="BM114" s="81" t="n"/>
      <c r="BQ114" s="211" t="n"/>
      <c r="BR114" s="81" t="n"/>
      <c r="BS114" s="81" t="n"/>
      <c r="BT114" s="81" t="n"/>
      <c r="BX114" s="213" t="n"/>
      <c r="BY114" s="81" t="n"/>
      <c r="BZ114" s="81" t="n"/>
      <c r="CA114" s="81" t="n"/>
      <c r="CE114" s="213" t="n"/>
      <c r="CF114" s="81" t="n"/>
      <c r="CG114" s="81" t="n"/>
      <c r="CH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</row>
    <row r="115" ht="20.25" customFormat="1" customHeight="1" s="167">
      <c r="B115" s="81" t="n"/>
      <c r="C115" s="81" t="n"/>
      <c r="D115" s="81" t="n"/>
      <c r="E115" s="45" t="inlineStr">
        <is>
          <t>A1</t>
        </is>
      </c>
      <c r="F115" s="45" t="inlineStr">
        <is>
          <t>Inserti espandibili</t>
        </is>
      </c>
      <c r="G115" s="45" t="inlineStr">
        <is>
          <t>3M</t>
        </is>
      </c>
      <c r="H115" s="45" t="n">
        <v>1271</v>
      </c>
      <c r="I115" s="46" t="n">
        <v>25</v>
      </c>
      <c r="J115" s="46" t="n">
        <v>27</v>
      </c>
      <c r="K115" s="46" t="n">
        <v>22</v>
      </c>
      <c r="L115" s="46" t="n">
        <v>20</v>
      </c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286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213" t="n"/>
      <c r="AW115" s="81" t="n"/>
      <c r="AX115" s="81" t="n"/>
      <c r="AY115" s="81" t="n"/>
      <c r="BC115" s="211" t="n"/>
      <c r="BD115" s="81" t="n"/>
      <c r="BE115" s="81" t="n"/>
      <c r="BF115" s="81" t="n"/>
      <c r="BJ115" s="211" t="n"/>
      <c r="BK115" s="81" t="n"/>
      <c r="BL115" s="81" t="n"/>
      <c r="BM115" s="81" t="n"/>
      <c r="BQ115" s="211" t="n"/>
      <c r="BR115" s="81" t="n"/>
      <c r="BS115" s="81" t="n"/>
      <c r="BT115" s="81" t="n"/>
      <c r="BX115" s="213" t="n"/>
      <c r="BY115" s="81" t="n"/>
      <c r="BZ115" s="81" t="n"/>
      <c r="CA115" s="81" t="n"/>
      <c r="CE115" s="213" t="n"/>
      <c r="CF115" s="81" t="n"/>
      <c r="CG115" s="81" t="n"/>
      <c r="CH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</row>
    <row r="116" ht="20.25" customHeight="1" s="444">
      <c r="E116" s="45" t="inlineStr">
        <is>
          <t>A2</t>
        </is>
      </c>
      <c r="F116" s="45" t="inlineStr">
        <is>
          <t>Inserti con archetto</t>
        </is>
      </c>
      <c r="G116" s="45" t="inlineStr">
        <is>
          <t>AEARO</t>
        </is>
      </c>
      <c r="H116" s="45" t="inlineStr">
        <is>
          <t>EAR CAPS</t>
        </is>
      </c>
      <c r="I116" s="46" t="n">
        <v>21</v>
      </c>
      <c r="J116" s="46" t="n">
        <v>25</v>
      </c>
      <c r="K116" s="46" t="n">
        <v>17</v>
      </c>
      <c r="L116" s="46" t="n">
        <v>14</v>
      </c>
    </row>
    <row r="117" ht="20.25" customHeight="1" s="444">
      <c r="E117" s="45" t="inlineStr">
        <is>
          <t>A3</t>
        </is>
      </c>
      <c r="F117" s="45" t="inlineStr">
        <is>
          <t>Cuffie auricolari</t>
        </is>
      </c>
      <c r="G117" s="45" t="inlineStr">
        <is>
          <t>3M</t>
        </is>
      </c>
      <c r="H117" s="45" t="n">
        <v>1435</v>
      </c>
      <c r="I117" s="46" t="n">
        <v>27</v>
      </c>
      <c r="J117" s="46" t="n">
        <v>22</v>
      </c>
      <c r="K117" s="46" t="n">
        <v>15</v>
      </c>
      <c r="L117" s="46" t="n">
        <v>25</v>
      </c>
    </row>
    <row r="118" ht="20.25" customHeight="1" s="444">
      <c r="E118" s="45" t="inlineStr">
        <is>
          <t>A4</t>
        </is>
      </c>
      <c r="F118" s="45" t="n"/>
      <c r="G118" s="45" t="n"/>
      <c r="H118" s="45" t="n"/>
      <c r="I118" s="46" t="n"/>
      <c r="J118" s="46" t="n"/>
      <c r="K118" s="46" t="n"/>
      <c r="L118" s="46" t="n"/>
    </row>
    <row r="119" ht="20.25" customHeight="1" s="444">
      <c r="E119" s="45" t="inlineStr">
        <is>
          <t>A5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A6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A7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A8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A9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A10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A11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A12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A13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A14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A15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A16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A17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A18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A19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A20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A21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A22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A23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A24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A25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A26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A27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A28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A29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A30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A31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A32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A33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A34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A35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A36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A37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A38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A39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A40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A41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A42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A43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A44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A45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A46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A47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A48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A49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A50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A51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A52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A53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A54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A55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A56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A57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A58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A59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A60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A61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A62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A63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A64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A65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A66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A67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A68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A69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A70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A71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A72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A73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A74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A75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A76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A77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A78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A79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A80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A81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A82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A83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A84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A85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A86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A87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A88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A89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A90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A91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A92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A93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A94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A95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A96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A97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A98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A99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A100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A101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A102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A103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A104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A105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A106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A107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A108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A109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A110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A111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A112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A113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A114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A115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A116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A117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A118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A119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A120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A121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A122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A123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A124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A125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A126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A127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A128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A129</t>
        </is>
      </c>
      <c r="F243" s="45" t="n"/>
      <c r="G243" s="45" t="n"/>
      <c r="H243" s="45" t="n"/>
      <c r="I243" s="46" t="n"/>
      <c r="J243" s="46" t="n"/>
      <c r="K243" s="46" t="n"/>
      <c r="L243" s="46" t="n"/>
    </row>
    <row r="244" ht="20.25" customHeight="1" s="444">
      <c r="E244" s="45" t="inlineStr">
        <is>
          <t>A130</t>
        </is>
      </c>
      <c r="F244" s="45" t="n"/>
      <c r="G244" s="45" t="n"/>
      <c r="H244" s="45" t="n"/>
      <c r="I244" s="46" t="n"/>
      <c r="J244" s="46" t="n"/>
      <c r="K244" s="46" t="n"/>
      <c r="L244" s="46" t="n"/>
    </row>
    <row r="245" ht="20.25" customHeight="1" s="444">
      <c r="E245" s="45" t="inlineStr">
        <is>
          <t>A131</t>
        </is>
      </c>
      <c r="F245" s="45" t="n"/>
      <c r="G245" s="45" t="n"/>
      <c r="H245" s="45" t="n"/>
      <c r="I245" s="46" t="n"/>
      <c r="J245" s="46" t="n"/>
      <c r="K245" s="46" t="n"/>
      <c r="L245" s="46" t="n"/>
    </row>
    <row r="246" ht="20.25" customHeight="1" s="444">
      <c r="E246" s="45" t="inlineStr">
        <is>
          <t>A132</t>
        </is>
      </c>
      <c r="F246" s="45" t="n"/>
      <c r="G246" s="45" t="n"/>
      <c r="H246" s="45" t="n"/>
      <c r="I246" s="46" t="n"/>
      <c r="J246" s="46" t="n"/>
      <c r="K246" s="46" t="n"/>
      <c r="L246" s="46" t="n"/>
    </row>
  </sheetData>
  <mergeCells count="118">
    <mergeCell ref="H82:I82"/>
    <mergeCell ref="AK8:AN8"/>
    <mergeCell ref="AP9:AQ9"/>
    <mergeCell ref="E108:P108"/>
    <mergeCell ref="E104:P104"/>
    <mergeCell ref="G68:G69"/>
    <mergeCell ref="H89:I89"/>
    <mergeCell ref="Y10:Z10"/>
    <mergeCell ref="CF8:CK8"/>
    <mergeCell ref="S10:T10"/>
    <mergeCell ref="AE10:AF10"/>
    <mergeCell ref="H81:I81"/>
    <mergeCell ref="E58:P58"/>
    <mergeCell ref="N90:N91"/>
    <mergeCell ref="E101:F101"/>
    <mergeCell ref="H65:I65"/>
    <mergeCell ref="H105:I105"/>
    <mergeCell ref="E85:F85"/>
    <mergeCell ref="M55:O55"/>
    <mergeCell ref="BR8:BW8"/>
    <mergeCell ref="O82:O83"/>
    <mergeCell ref="F55:J56"/>
    <mergeCell ref="E52:P52"/>
    <mergeCell ref="H49:O50"/>
    <mergeCell ref="H107:I107"/>
    <mergeCell ref="E93:F93"/>
    <mergeCell ref="E92:P92"/>
    <mergeCell ref="E102:F102"/>
    <mergeCell ref="G101:G102"/>
    <mergeCell ref="H91:I91"/>
    <mergeCell ref="M85:P85"/>
    <mergeCell ref="E84:P84"/>
    <mergeCell ref="P90:P91"/>
    <mergeCell ref="K55:L55"/>
    <mergeCell ref="BY8:CD8"/>
    <mergeCell ref="H74:I74"/>
    <mergeCell ref="H83:I83"/>
    <mergeCell ref="V10:W10"/>
    <mergeCell ref="E80:P80"/>
    <mergeCell ref="AH10:AI10"/>
    <mergeCell ref="O74:O75"/>
    <mergeCell ref="H46:O46"/>
    <mergeCell ref="E61:P61"/>
    <mergeCell ref="K56:L56"/>
    <mergeCell ref="E72:P72"/>
    <mergeCell ref="M56:O56"/>
    <mergeCell ref="H75:I75"/>
    <mergeCell ref="CU9:DA9"/>
    <mergeCell ref="E96:P96"/>
    <mergeCell ref="E110:F110"/>
    <mergeCell ref="O106:O107"/>
    <mergeCell ref="G77:G78"/>
    <mergeCell ref="E88:P88"/>
    <mergeCell ref="H97:I97"/>
    <mergeCell ref="H106:I106"/>
    <mergeCell ref="M101:P101"/>
    <mergeCell ref="E68:F68"/>
    <mergeCell ref="E60:P60"/>
    <mergeCell ref="N106:N107"/>
    <mergeCell ref="N64:P64"/>
    <mergeCell ref="P98:P99"/>
    <mergeCell ref="M93:P93"/>
    <mergeCell ref="H73:I73"/>
    <mergeCell ref="BK8:BP8"/>
    <mergeCell ref="M102:P102"/>
    <mergeCell ref="E94:F94"/>
    <mergeCell ref="M68:P68"/>
    <mergeCell ref="CN9:CT9"/>
    <mergeCell ref="E69:F69"/>
    <mergeCell ref="N98:N99"/>
    <mergeCell ref="E78:F78"/>
    <mergeCell ref="AW9:AX9"/>
    <mergeCell ref="P106:P107"/>
    <mergeCell ref="F2:G2"/>
    <mergeCell ref="H2:I2"/>
    <mergeCell ref="E77:F77"/>
    <mergeCell ref="N82:N83"/>
    <mergeCell ref="BK9:BL9"/>
    <mergeCell ref="E86:F86"/>
    <mergeCell ref="M69:P69"/>
    <mergeCell ref="M109:P109"/>
    <mergeCell ref="M78:P78"/>
    <mergeCell ref="H66:I66"/>
    <mergeCell ref="J2:K2"/>
    <mergeCell ref="O90:O91"/>
    <mergeCell ref="AP8:AU8"/>
    <mergeCell ref="BR9:BS9"/>
    <mergeCell ref="BD8:BI8"/>
    <mergeCell ref="CF9:CG9"/>
    <mergeCell ref="E63:P63"/>
    <mergeCell ref="BD9:BE9"/>
    <mergeCell ref="H64:I64"/>
    <mergeCell ref="H98:I98"/>
    <mergeCell ref="G93:G94"/>
    <mergeCell ref="C9:D9"/>
    <mergeCell ref="P82:P83"/>
    <mergeCell ref="E76:P76"/>
    <mergeCell ref="E100:P100"/>
    <mergeCell ref="E66:G66"/>
    <mergeCell ref="M110:P110"/>
    <mergeCell ref="H90:I90"/>
    <mergeCell ref="H99:I99"/>
    <mergeCell ref="N74:N75"/>
    <mergeCell ref="E53:P53"/>
    <mergeCell ref="P74:P75"/>
    <mergeCell ref="G85:G86"/>
    <mergeCell ref="M94:P94"/>
    <mergeCell ref="AW8:BB8"/>
    <mergeCell ref="F10:H10"/>
    <mergeCell ref="BY9:BZ9"/>
    <mergeCell ref="G109:G110"/>
    <mergeCell ref="E67:P67"/>
    <mergeCell ref="AB10:AC10"/>
    <mergeCell ref="M77:P77"/>
    <mergeCell ref="M86:P86"/>
    <mergeCell ref="N65:P66"/>
    <mergeCell ref="E109:F109"/>
    <mergeCell ref="O98:O99"/>
  </mergeCells>
  <conditionalFormatting sqref="C11:C40">
    <cfRule type="containsText" priority="1" operator="containsText" dxfId="10" text="I">
      <formula>NOT(ISERROR(SEARCH("I",C11)))</formula>
    </cfRule>
    <cfRule type="containsText" priority="2" operator="containsText" dxfId="9" text="K">
      <formula>NOT(ISERROR(SEARCH("K",C11)))</formula>
    </cfRule>
  </conditionalFormatting>
  <conditionalFormatting sqref="C11:D40">
    <cfRule type="containsText" priority="3" operator="containsText" dxfId="8" text="T">
      <formula>NOT(ISERROR(SEARCH("T",C11)))</formula>
    </cfRule>
    <cfRule type="containsText" priority="10" operator="containsText" dxfId="3" text="J">
      <formula>NOT(ISERROR(SEARCH("J",C11)))</formula>
    </cfRule>
    <cfRule type="containsText" priority="11" operator="containsText" dxfId="2" text="L">
      <formula>NOT(ISERROR(SEARCH("L",C11)))</formula>
    </cfRule>
  </conditionalFormatting>
  <conditionalFormatting sqref="N11:N40">
    <cfRule type="cellIs" priority="4" operator="between" dxfId="5">
      <formula>75.0000001</formula>
      <formula>79.99999999999</formula>
    </cfRule>
    <cfRule type="cellIs" priority="5" operator="between" dxfId="4">
      <formula>65.00000001</formula>
      <formula>69.999999</formula>
    </cfRule>
    <cfRule type="cellIs" priority="6" operator="between" dxfId="3">
      <formula>70</formula>
      <formula>75</formula>
    </cfRule>
    <cfRule type="cellIs" priority="7" operator="greaterThan" dxfId="2">
      <formula>80</formula>
    </cfRule>
    <cfRule type="containsBlanks" priority="8" dxfId="1">
      <formula>LEN(TRIM(N11))=0</formula>
    </cfRule>
    <cfRule type="cellIs" priority="9" operator="lessThan" dxfId="0">
      <formula>65</formula>
    </cfRule>
  </conditionalFormatting>
  <dataValidations count="6">
    <dataValidation sqref="E11:E39" showDropDown="0" showInputMessage="1" showErrorMessage="1" allowBlank="1" type="list">
      <formula1>Elenco_Misure</formula1>
    </dataValidation>
    <dataValidation sqref="F115:F246" showDropDown="0" showInputMessage="1" showErrorMessage="1" allowBlank="1" type="list">
      <formula1>$L$3:$L$7</formula1>
    </dataValidation>
    <dataValidation sqref="E69:F69 E78 E86 E94 E102 E110" showDropDown="0" showInputMessage="1" showErrorMessage="1" allowBlank="1" type="list">
      <formula1>$K$3:$K$4</formula1>
    </dataValidation>
    <dataValidation sqref="O70:P71 AU104:AV104 AV70:AV72 AV80 AV88 AV96" showDropDown="0" showInputMessage="1" showErrorMessage="1" allowBlank="1" type="list">
      <formula1>$BJ$5:$BJ$7</formula1>
    </dataValidation>
    <dataValidation sqref="E65 E74 E76 E82 E84 E90 E92 E98 E100 E106 E108" showDropDown="0" showInputMessage="1" showErrorMessage="1" allowBlank="1" type="list">
      <formula1>$E$115:$E$246</formula1>
    </dataValidation>
    <dataValidation sqref="H66:I66 H75:I75 H83:I83 H91:I91 H99:I99 H107:I107" showDropDown="0" showInputMessage="1" showErrorMessage="1" allowBlank="1" type="list">
      <formula1>$I$3:$I$5</formula1>
    </dataValidation>
  </dataValidations>
  <printOptions horizontalCentered="1" verticalCentered="1"/>
  <pageMargins left="0.7480314960629921" right="0.7480314960629921" top="0.984251968503937" bottom="0.984251968503937" header="0.5118110236220472" footer="0.5118110236220472"/>
  <pageSetup orientation="portrait" paperSize="9" scale="1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2:DH246"/>
  <sheetViews>
    <sheetView zoomScale="70" zoomScaleNormal="70" zoomScaleSheetLayoutView="55" workbookViewId="0">
      <pane xSplit="2" ySplit="10" topLeftCell="C11" activePane="bottomRight" state="frozen"/>
      <selection activeCell="S75" sqref="S75"/>
      <selection pane="topRight" activeCell="S75" sqref="S75"/>
      <selection pane="bottomLeft" activeCell="S75" sqref="S75"/>
      <selection pane="bottomRight" activeCell="F8" sqref="F8"/>
    </sheetView>
  </sheetViews>
  <sheetFormatPr baseColWidth="8" defaultRowHeight="12.75"/>
  <cols>
    <col width="4.5703125" customWidth="1" style="81" min="1" max="1"/>
    <col width="7.5703125" customWidth="1" style="81" min="2" max="2"/>
    <col width="8.5703125" customWidth="1" style="81" min="3" max="3"/>
    <col width="8.85546875" customWidth="1" style="81" min="4" max="4"/>
    <col width="8.28515625" customWidth="1" style="81" min="5" max="5"/>
    <col width="35" customWidth="1" style="81" min="6" max="6"/>
    <col width="22.85546875" customWidth="1" style="81" min="7" max="7"/>
    <col width="20.140625" customWidth="1" style="81" min="8" max="8"/>
    <col width="9.42578125" customWidth="1" style="81" min="9" max="9"/>
    <col width="11.42578125" customWidth="1" style="81" min="10" max="10"/>
    <col width="11.7109375" customWidth="1" style="81" min="11" max="11"/>
    <col width="11" customWidth="1" style="81" min="12" max="12"/>
    <col width="11.42578125" customWidth="1" style="81" min="13" max="13"/>
    <col width="13.85546875" customWidth="1" style="81" min="14" max="14"/>
    <col width="9.28515625" customWidth="1" style="81" min="15" max="15"/>
    <col width="9.140625" customWidth="1" style="81" min="16" max="16"/>
    <col width="15.42578125" customWidth="1" style="81" min="17" max="17"/>
    <col width="9.140625" customWidth="1" style="81" min="18" max="22"/>
    <col width="12.28515625" customWidth="1" style="81" min="23" max="23"/>
    <col width="9.140625" customWidth="1" style="81" min="24" max="25"/>
    <col width="15" bestFit="1" customWidth="1" style="81" min="26" max="26"/>
    <col width="9.140625" customWidth="1" style="81" min="27" max="28"/>
    <col width="11.42578125" customWidth="1" style="81" min="29" max="29"/>
    <col width="9.140625" customWidth="1" style="81" min="30" max="34"/>
    <col width="11.42578125" customWidth="1" style="81" min="35" max="35"/>
    <col width="2" customWidth="1" style="286" min="36" max="36"/>
    <col width="15.42578125" customWidth="1" style="81" min="37" max="37"/>
    <col width="11.28515625" bestFit="1" customWidth="1" style="81" min="38" max="38"/>
    <col width="18.140625" customWidth="1" style="81" min="39" max="39"/>
    <col width="19" customWidth="1" style="81" min="40" max="40"/>
    <col width="12.5703125" customWidth="1" style="81" min="41" max="41"/>
    <col width="9.140625" customWidth="1" style="81" min="42" max="43"/>
    <col width="13" customWidth="1" style="81" min="44" max="44"/>
    <col width="9.140625" customWidth="1" style="81" min="45" max="46"/>
    <col width="7.85546875" customWidth="1" style="81" min="47" max="47"/>
    <col width="2.140625" customWidth="1" style="213" min="48" max="48"/>
    <col width="9.42578125" bestFit="1" customWidth="1" style="81" min="49" max="49"/>
    <col width="9.5703125" customWidth="1" style="81" min="50" max="50"/>
    <col width="10.140625" bestFit="1" customWidth="1" style="81" min="51" max="51"/>
    <col width="8" bestFit="1" customWidth="1" style="167" min="52" max="52"/>
    <col width="8.5703125" customWidth="1" style="167" min="53" max="53"/>
    <col width="11.85546875" customWidth="1" style="167" min="54" max="54"/>
    <col width="1.85546875" customWidth="1" style="211" min="55" max="55"/>
    <col width="9.42578125" bestFit="1" customWidth="1" style="81" min="56" max="56"/>
    <col width="9.5703125" customWidth="1" style="81" min="57" max="57"/>
    <col width="10.140625" bestFit="1" customWidth="1" style="81" min="58" max="58"/>
    <col width="8" bestFit="1" customWidth="1" style="167" min="59" max="59"/>
    <col width="8.5703125" customWidth="1" style="167" min="60" max="60"/>
    <col width="11.85546875" customWidth="1" style="167" min="61" max="61"/>
    <col width="2.42578125" customWidth="1" style="211" min="62" max="62"/>
    <col width="10" bestFit="1" customWidth="1" style="81" min="63" max="63"/>
    <col width="9.5703125" customWidth="1" style="81" min="64" max="64"/>
    <col width="10.140625" bestFit="1" customWidth="1" style="81" min="65" max="65"/>
    <col width="8" bestFit="1" customWidth="1" style="167" min="66" max="66"/>
    <col width="8.5703125" customWidth="1" style="167" min="67" max="67"/>
    <col width="11.85546875" customWidth="1" style="167" min="68" max="68"/>
    <col width="1.7109375" customWidth="1" style="211" min="69" max="69"/>
    <col width="9.42578125" bestFit="1" customWidth="1" style="81" min="70" max="70"/>
    <col width="9.5703125" customWidth="1" style="81" min="71" max="71"/>
    <col width="10.140625" bestFit="1" customWidth="1" style="81" min="72" max="72"/>
    <col width="8" bestFit="1" customWidth="1" style="167" min="73" max="73"/>
    <col width="8.5703125" customWidth="1" style="167" min="74" max="74"/>
    <col width="11.85546875" customWidth="1" style="167" min="75" max="75"/>
    <col width="2" customWidth="1" style="213" min="76" max="76"/>
    <col width="10.140625" bestFit="1" customWidth="1" style="81" min="77" max="77"/>
    <col width="9.5703125" customWidth="1" style="81" min="78" max="78"/>
    <col width="10.140625" bestFit="1" customWidth="1" style="81" min="79" max="79"/>
    <col width="8" bestFit="1" customWidth="1" style="167" min="80" max="80"/>
    <col width="8.5703125" customWidth="1" style="167" min="81" max="81"/>
    <col width="11.85546875" customWidth="1" style="167" min="82" max="82"/>
    <col width="2.85546875" customWidth="1" style="213" min="83" max="83"/>
    <col width="9.42578125" bestFit="1" customWidth="1" style="81" min="84" max="84"/>
    <col width="9.5703125" customWidth="1" style="81" min="85" max="85"/>
    <col width="10.140625" bestFit="1" customWidth="1" style="81" min="86" max="86"/>
    <col width="8" bestFit="1" customWidth="1" style="167" min="87" max="87"/>
    <col width="8.5703125" customWidth="1" style="167" min="88" max="88"/>
    <col width="11.85546875" customWidth="1" style="167" min="89" max="89"/>
    <col width="6" customWidth="1" style="81" min="90" max="90"/>
    <col width="13" customWidth="1" style="81" min="91" max="91"/>
    <col width="10.42578125" customWidth="1" style="81" min="92" max="98"/>
    <col width="16.140625" customWidth="1" style="81" min="99" max="105"/>
    <col width="22.42578125" customWidth="1" style="81" min="106" max="106"/>
    <col width="13.28515625" customWidth="1" style="81" min="107" max="107"/>
    <col width="16.140625" customWidth="1" style="81" min="108" max="108"/>
    <col width="9.7109375" bestFit="1" customWidth="1" style="81" min="109" max="109"/>
    <col width="9.28515625" bestFit="1" customWidth="1" style="81" min="110" max="110"/>
    <col width="9.140625" customWidth="1" style="81" min="111" max="16384"/>
  </cols>
  <sheetData>
    <row r="1" ht="38.25" customHeight="1" s="444"/>
    <row r="2" ht="30.75" customHeight="1" s="444">
      <c r="F2" s="427" t="inlineStr">
        <is>
          <t>Parametri d'incerteza usati</t>
        </is>
      </c>
      <c r="G2" s="454" t="n"/>
      <c r="H2" s="465" t="inlineStr">
        <is>
          <t>Coffifciente β dei DPI</t>
        </is>
      </c>
      <c r="I2" s="456" t="n"/>
      <c r="J2" s="431" t="inlineStr">
        <is>
          <t>Legenda DPI</t>
        </is>
      </c>
      <c r="K2" s="460" t="n"/>
      <c r="L2" s="168" t="n"/>
      <c r="M2" s="168" t="n"/>
      <c r="N2" s="169" t="n"/>
      <c r="W2" s="265" t="n"/>
      <c r="X2" s="265" t="n"/>
      <c r="Y2" s="265" t="n"/>
      <c r="Z2" s="265" t="n"/>
      <c r="AA2" s="265" t="n"/>
      <c r="AB2" s="265" t="n"/>
      <c r="AC2" s="265" t="n"/>
      <c r="AD2" s="265" t="n"/>
      <c r="AE2" s="265" t="n"/>
      <c r="AF2" s="265" t="n"/>
      <c r="AG2" s="265" t="n"/>
      <c r="AH2" s="265" t="n"/>
      <c r="AI2" s="265" t="n"/>
      <c r="AJ2" s="287" t="n"/>
      <c r="AK2" s="265" t="n"/>
      <c r="AL2" s="265" t="n"/>
      <c r="AM2" s="265" t="n"/>
    </row>
    <row r="3" ht="15.75" customHeight="1" s="444">
      <c r="F3" s="98" t="inlineStr">
        <is>
          <t>Incert. strumentale considerata U2</t>
        </is>
      </c>
      <c r="G3" s="241" t="n">
        <v>0.7</v>
      </c>
      <c r="H3" s="102" t="inlineStr">
        <is>
          <t>Inserti auricolari =</t>
        </is>
      </c>
      <c r="I3" s="103" t="n">
        <v>0.65</v>
      </c>
      <c r="J3" s="170" t="n"/>
      <c r="K3" s="122" t="inlineStr">
        <is>
          <t>DA ACQUISTARE</t>
        </is>
      </c>
      <c r="L3" s="121" t="inlineStr">
        <is>
          <t>Inserti con archetto</t>
        </is>
      </c>
      <c r="M3" s="122" t="n"/>
      <c r="N3" s="171" t="n"/>
    </row>
    <row r="4" ht="19.5" customHeight="1" s="444">
      <c r="F4" s="99" t="inlineStr">
        <is>
          <t>Incert. di pos. dello strumento U3</t>
        </is>
      </c>
      <c r="G4" s="242" t="n">
        <v>1</v>
      </c>
      <c r="H4" s="102" t="inlineStr">
        <is>
          <t>Cuffie =</t>
        </is>
      </c>
      <c r="I4" s="103" t="n">
        <v>0.85</v>
      </c>
      <c r="J4" s="172" t="n"/>
      <c r="K4" s="125" t="inlineStr">
        <is>
          <t>IN DOTAZIONE</t>
        </is>
      </c>
      <c r="L4" s="123" t="inlineStr">
        <is>
          <t>Inserti espandibili</t>
        </is>
      </c>
      <c r="M4" s="120" t="n"/>
      <c r="N4" s="173" t="n"/>
    </row>
    <row r="5" ht="22.5" customHeight="1" s="444">
      <c r="C5" s="263" t="n"/>
      <c r="D5" s="263" t="n"/>
      <c r="F5" s="240" t="inlineStr">
        <is>
          <t>To   (tempo di rif. girono)</t>
        </is>
      </c>
      <c r="G5" s="243" t="n">
        <v>480</v>
      </c>
      <c r="H5" s="104" t="inlineStr">
        <is>
          <t>Altro =</t>
        </is>
      </c>
      <c r="I5" s="105" t="n">
        <v>0.5</v>
      </c>
      <c r="J5" s="415" t="n"/>
      <c r="K5" s="415" t="n"/>
      <c r="L5" s="123" t="inlineStr">
        <is>
          <t>Inserti su calco dell'orecchio</t>
        </is>
      </c>
      <c r="M5" s="120" t="n"/>
      <c r="N5" s="173" t="n"/>
    </row>
    <row r="6" ht="22.5" customHeight="1" s="444">
      <c r="C6" s="263" t="n"/>
      <c r="D6" s="263" t="n"/>
      <c r="G6" s="415" t="n"/>
      <c r="I6" s="415" t="n"/>
      <c r="J6" s="415" t="n"/>
      <c r="K6" s="415" t="n"/>
      <c r="L6" s="123" t="inlineStr">
        <is>
          <t>Cuffie auricolari</t>
        </is>
      </c>
      <c r="M6" s="120" t="n"/>
      <c r="N6" s="173" t="n"/>
    </row>
    <row r="7" ht="24" customHeight="1" s="444" thickBot="1">
      <c r="C7" s="263" t="n"/>
      <c r="D7" s="263" t="n"/>
      <c r="F7" s="198" t="inlineStr">
        <is>
          <t>GRUPPO OMOGENEO:</t>
        </is>
      </c>
      <c r="G7" s="18" t="n"/>
      <c r="L7" s="124" t="inlineStr">
        <is>
          <t>Cuffie ANR</t>
        </is>
      </c>
      <c r="M7" s="172" t="n"/>
      <c r="N7" s="174" t="n"/>
      <c r="AW7" s="175" t="n"/>
      <c r="AX7" s="175" t="n"/>
      <c r="BD7" s="175" t="n"/>
      <c r="BE7" s="175" t="n"/>
      <c r="BK7" s="175" t="n"/>
      <c r="BL7" s="175" t="n"/>
      <c r="BR7" s="175" t="n"/>
      <c r="BS7" s="175" t="n"/>
      <c r="BY7" s="175" t="n"/>
      <c r="BZ7" s="175" t="n"/>
      <c r="CF7" s="175" t="n"/>
      <c r="CG7" s="175" t="n"/>
    </row>
    <row r="8" ht="21.75" customHeight="1" s="444">
      <c r="C8" s="263" t="n"/>
      <c r="D8" s="263" t="n"/>
      <c r="E8" s="18" t="n"/>
      <c r="F8" s="199" t="n"/>
      <c r="G8" s="415" t="n"/>
      <c r="S8" s="81">
        <f>IF(S41&gt;0,"x","")</f>
        <v/>
      </c>
      <c r="T8" s="81">
        <f>IF(T41&gt;0,"x","")</f>
        <v/>
      </c>
      <c r="V8" s="81">
        <f>IF(V41&gt;0,"x","")</f>
        <v/>
      </c>
      <c r="W8" s="81">
        <f>IF(W41&gt;0,"x","")</f>
        <v/>
      </c>
      <c r="Y8" s="81">
        <f>IF(Y41&gt;0,"x","")</f>
        <v/>
      </c>
      <c r="Z8" s="81">
        <f>IF(Z41&gt;0,"x","")</f>
        <v/>
      </c>
      <c r="AB8" s="81">
        <f>IF(AB41&gt;0,"x","")</f>
        <v/>
      </c>
      <c r="AC8" s="81">
        <f>IF(AC41&gt;0,"x","")</f>
        <v/>
      </c>
      <c r="AE8" s="81">
        <f>IF(AE41&gt;0,"x","")</f>
        <v/>
      </c>
      <c r="AF8" s="81">
        <f>IF(AF41&gt;0,"x","")</f>
        <v/>
      </c>
      <c r="AK8" s="493" t="inlineStr">
        <is>
          <t>VERIFICA DPI n°1</t>
        </is>
      </c>
      <c r="AL8" s="441" t="n"/>
      <c r="AM8" s="441" t="n"/>
      <c r="AN8" s="442" t="n"/>
      <c r="AP8" s="443" t="inlineStr">
        <is>
          <t>GIORNATA N°1</t>
        </is>
      </c>
      <c r="AW8" s="443" t="inlineStr">
        <is>
          <t>GIORNATA N°2</t>
        </is>
      </c>
      <c r="BD8" s="443" t="inlineStr">
        <is>
          <t>GIORNATA N°3</t>
        </is>
      </c>
      <c r="BK8" s="443" t="inlineStr">
        <is>
          <t>GIORNATA N°4</t>
        </is>
      </c>
      <c r="BR8" s="443" t="inlineStr">
        <is>
          <t>GIORNATA N°5</t>
        </is>
      </c>
      <c r="BY8" s="443" t="inlineStr">
        <is>
          <t>GIORNATA N°6</t>
        </is>
      </c>
      <c r="CF8" s="443" t="inlineStr">
        <is>
          <t>GIORNATA N°7</t>
        </is>
      </c>
    </row>
    <row r="9" ht="34.5" customHeight="1" s="444" thickBot="1">
      <c r="C9" s="466" t="inlineStr">
        <is>
          <t>Verifica D.P.I.</t>
        </is>
      </c>
      <c r="D9" s="461" t="n"/>
      <c r="O9" s="282" t="inlineStr">
        <is>
          <t>Giorn.
1</t>
        </is>
      </c>
      <c r="R9" s="282" t="inlineStr">
        <is>
          <t>Giorn.
2</t>
        </is>
      </c>
      <c r="U9" s="282" t="inlineStr">
        <is>
          <t>Giorn.
3</t>
        </is>
      </c>
      <c r="X9" s="282" t="inlineStr">
        <is>
          <t>Giorn.
4</t>
        </is>
      </c>
      <c r="AA9" s="282" t="inlineStr">
        <is>
          <t>Giorn.
5</t>
        </is>
      </c>
      <c r="AD9" s="282" t="inlineStr">
        <is>
          <t>Giorn.
6</t>
        </is>
      </c>
      <c r="AG9" s="282" t="inlineStr">
        <is>
          <t>Giorn.
7</t>
        </is>
      </c>
      <c r="AK9" s="206" t="inlineStr">
        <is>
          <t>DPI n°1</t>
        </is>
      </c>
      <c r="AL9" s="197" t="inlineStr">
        <is>
          <t>DPI n°1</t>
        </is>
      </c>
      <c r="AM9" s="19" t="n"/>
      <c r="AN9" s="207" t="n"/>
      <c r="AP9" s="467" t="inlineStr">
        <is>
          <t>U2Lex</t>
        </is>
      </c>
      <c r="AQ9" s="461" t="n"/>
      <c r="AR9" s="494">
        <f>SUM(AP11:AQ40)</f>
        <v/>
      </c>
      <c r="AS9" s="177" t="n"/>
      <c r="AT9" s="177" t="n"/>
      <c r="AU9" s="167" t="n"/>
      <c r="AW9" s="467" t="inlineStr">
        <is>
          <t>U2Lex</t>
        </is>
      </c>
      <c r="AX9" s="461" t="n"/>
      <c r="AY9" s="176" t="n"/>
      <c r="AZ9" s="177" t="n"/>
      <c r="BA9" s="177" t="n"/>
      <c r="BD9" s="467" t="inlineStr">
        <is>
          <t>U2Lex</t>
        </is>
      </c>
      <c r="BE9" s="461" t="n"/>
      <c r="BF9" s="176" t="n"/>
      <c r="BG9" s="177" t="n"/>
      <c r="BH9" s="177" t="n"/>
      <c r="BK9" s="495" t="inlineStr">
        <is>
          <t>U2Lex</t>
        </is>
      </c>
      <c r="BL9" s="461" t="n"/>
      <c r="BM9" s="176" t="n"/>
      <c r="BN9" s="177" t="n"/>
      <c r="BO9" s="177" t="n"/>
      <c r="BR9" s="467" t="inlineStr">
        <is>
          <t>U2Lex</t>
        </is>
      </c>
      <c r="BS9" s="461" t="n"/>
      <c r="BT9" s="176" t="n"/>
      <c r="BU9" s="177" t="n"/>
      <c r="BV9" s="177" t="n"/>
      <c r="BY9" s="467" t="inlineStr">
        <is>
          <t>U2Lex</t>
        </is>
      </c>
      <c r="BZ9" s="461" t="n"/>
      <c r="CA9" s="176" t="n"/>
      <c r="CB9" s="177" t="n"/>
      <c r="CC9" s="177" t="n"/>
      <c r="CF9" s="467" t="inlineStr">
        <is>
          <t>U2Lex</t>
        </is>
      </c>
      <c r="CG9" s="461" t="n"/>
      <c r="CH9" s="176" t="n"/>
      <c r="CI9" s="177" t="n"/>
      <c r="CJ9" s="177" t="n"/>
      <c r="CN9" s="466" t="inlineStr">
        <is>
          <t xml:space="preserve">Parziali LEX, 8h </t>
        </is>
      </c>
      <c r="CO9" s="460" t="n"/>
      <c r="CP9" s="460" t="n"/>
      <c r="CQ9" s="460" t="n"/>
      <c r="CR9" s="460" t="n"/>
      <c r="CS9" s="460" t="n"/>
      <c r="CT9" s="461" t="n"/>
      <c r="CU9" s="449" t="inlineStr">
        <is>
          <t>Calcoli per idoneità DPI</t>
        </is>
      </c>
      <c r="CV9" s="460" t="n"/>
      <c r="CW9" s="460" t="n"/>
      <c r="CX9" s="460" t="n"/>
      <c r="CY9" s="460" t="n"/>
      <c r="CZ9" s="460" t="n"/>
      <c r="DA9" s="461" t="n"/>
      <c r="DB9" s="178" t="inlineStr">
        <is>
          <t>Parziale e totali 
Tm LAeq&gt;0</t>
        </is>
      </c>
    </row>
    <row r="10" ht="60" customHeight="1" s="444" thickBot="1">
      <c r="C10" s="277" t="inlineStr">
        <is>
          <t>Laeq</t>
        </is>
      </c>
      <c r="D10" s="278" t="inlineStr">
        <is>
          <t>Lpicco</t>
        </is>
      </c>
      <c r="E10" s="279" t="inlineStr">
        <is>
          <t>ID</t>
        </is>
      </c>
      <c r="F10" s="450" t="inlineStr">
        <is>
          <t>Categoria-marca-modello/posizione di misura</t>
        </is>
      </c>
      <c r="G10" s="472" t="n"/>
      <c r="H10" s="472" t="n"/>
      <c r="I10" s="275" t="inlineStr">
        <is>
          <t>U1a,m</t>
        </is>
      </c>
      <c r="J10" s="276" t="inlineStr">
        <is>
          <t>Lpicco,C</t>
        </is>
      </c>
      <c r="K10" s="276" t="inlineStr">
        <is>
          <t>LAeq,T</t>
        </is>
      </c>
      <c r="L10" s="276" t="inlineStr">
        <is>
          <t>LCeq,T</t>
        </is>
      </c>
      <c r="M10" s="271" t="inlineStr">
        <is>
          <t>D.P.I. 
(PNR)</t>
        </is>
      </c>
      <c r="N10" s="272" t="inlineStr">
        <is>
          <t>LEQ(A)Ti
-
(PNR)</t>
        </is>
      </c>
      <c r="O10" s="283" t="inlineStr">
        <is>
          <t>Tm 
(max)</t>
        </is>
      </c>
      <c r="P10" s="266" t="inlineStr">
        <is>
          <t xml:space="preserve">Tmax   -   </t>
        </is>
      </c>
      <c r="Q10" s="403" t="inlineStr">
        <is>
          <t>Tmin</t>
        </is>
      </c>
      <c r="R10" s="284" t="inlineStr">
        <is>
          <t>Tm 
(max)</t>
        </is>
      </c>
      <c r="S10" s="468" t="inlineStr">
        <is>
          <t>In caso di variablità di Tm
Tmax   -   Tmin</t>
        </is>
      </c>
      <c r="T10" s="461" t="n"/>
      <c r="U10" s="284" t="inlineStr">
        <is>
          <t>Tm 
(max)</t>
        </is>
      </c>
      <c r="V10" s="468" t="inlineStr">
        <is>
          <t>In caso di variablità di Tm
Tmax   -   Tmin</t>
        </is>
      </c>
      <c r="W10" s="461" t="n"/>
      <c r="X10" s="284" t="inlineStr">
        <is>
          <t>Tm 
(max)</t>
        </is>
      </c>
      <c r="Y10" s="468" t="inlineStr">
        <is>
          <t>In caso di variablità di Tm
Tmax   -   Tmin</t>
        </is>
      </c>
      <c r="Z10" s="461" t="n"/>
      <c r="AA10" s="284" t="inlineStr">
        <is>
          <t>Tm 
(max)</t>
        </is>
      </c>
      <c r="AB10" s="468" t="inlineStr">
        <is>
          <t>In caso di variablità di Tm
Tmax   -   Tmin</t>
        </is>
      </c>
      <c r="AC10" s="461" t="n"/>
      <c r="AD10" s="284" t="inlineStr">
        <is>
          <t>Tm 
(max)</t>
        </is>
      </c>
      <c r="AE10" s="468" t="inlineStr">
        <is>
          <t>In caso di variablità di Tm
Tmax   -   Tmin</t>
        </is>
      </c>
      <c r="AF10" s="461" t="n"/>
      <c r="AG10" s="284" t="inlineStr">
        <is>
          <t>Tm 
(max)</t>
        </is>
      </c>
      <c r="AH10" s="468" t="inlineStr">
        <is>
          <t>In caso di variablità di Tm
Tmax   -   Tmin</t>
        </is>
      </c>
      <c r="AI10" s="461" t="n"/>
      <c r="AJ10" s="288" t="n"/>
      <c r="AK10" s="208" t="inlineStr">
        <is>
          <t>PNR</t>
        </is>
      </c>
      <c r="AL10" s="209" t="inlineStr">
        <is>
          <t>Picco</t>
        </is>
      </c>
      <c r="AM10" s="209" t="inlineStr">
        <is>
          <t>Laeq -PNR (anche per LAeq&lt;87)</t>
        </is>
      </c>
      <c r="AN10" s="210" t="inlineStr">
        <is>
          <t>Energia</t>
        </is>
      </c>
      <c r="AO10" s="202" t="n"/>
      <c r="AP10" s="340" t="inlineStr">
        <is>
          <t>I TERM</t>
        </is>
      </c>
      <c r="AQ10" s="340" t="inlineStr">
        <is>
          <t>II TERM.</t>
        </is>
      </c>
      <c r="AR10" s="340" t="inlineStr">
        <is>
          <t>U1b</t>
        </is>
      </c>
      <c r="AS10" s="340" t="inlineStr">
        <is>
          <t>C1a</t>
        </is>
      </c>
      <c r="AT10" s="340" t="inlineStr">
        <is>
          <t>C1b</t>
        </is>
      </c>
      <c r="AU10" s="109" t="inlineStr">
        <is>
          <t>Conversione minuti/ore</t>
        </is>
      </c>
      <c r="AW10" s="340" t="inlineStr">
        <is>
          <t>I TERM</t>
        </is>
      </c>
      <c r="AX10" s="340" t="inlineStr">
        <is>
          <t>II TERM.</t>
        </is>
      </c>
      <c r="AY10" s="340" t="inlineStr">
        <is>
          <t>U1b</t>
        </is>
      </c>
      <c r="AZ10" s="340" t="inlineStr">
        <is>
          <t>C1a</t>
        </is>
      </c>
      <c r="BA10" s="340" t="inlineStr">
        <is>
          <t>C1b</t>
        </is>
      </c>
      <c r="BB10" s="109" t="inlineStr">
        <is>
          <t>Conversione minuti/ore</t>
        </is>
      </c>
      <c r="BD10" s="340" t="inlineStr">
        <is>
          <t>I TERM</t>
        </is>
      </c>
      <c r="BE10" s="340" t="inlineStr">
        <is>
          <t>II TERM.</t>
        </is>
      </c>
      <c r="BF10" s="340" t="inlineStr">
        <is>
          <t>U1b</t>
        </is>
      </c>
      <c r="BG10" s="340" t="inlineStr">
        <is>
          <t>C1a</t>
        </is>
      </c>
      <c r="BH10" s="340" t="inlineStr">
        <is>
          <t>C1b</t>
        </is>
      </c>
      <c r="BI10" s="109" t="inlineStr">
        <is>
          <t>Conversione minuti/ore</t>
        </is>
      </c>
      <c r="BK10" s="340" t="inlineStr">
        <is>
          <t>I TERM</t>
        </is>
      </c>
      <c r="BL10" s="340" t="inlineStr">
        <is>
          <t>II TERM.</t>
        </is>
      </c>
      <c r="BM10" s="340" t="inlineStr">
        <is>
          <t>U1b</t>
        </is>
      </c>
      <c r="BN10" s="340" t="inlineStr">
        <is>
          <t>C1a</t>
        </is>
      </c>
      <c r="BO10" s="340" t="inlineStr">
        <is>
          <t>C1b</t>
        </is>
      </c>
      <c r="BP10" s="109" t="inlineStr">
        <is>
          <t>Conversione minuti/ore</t>
        </is>
      </c>
      <c r="BR10" s="340" t="inlineStr">
        <is>
          <t>I TERM</t>
        </is>
      </c>
      <c r="BS10" s="340" t="inlineStr">
        <is>
          <t>II TERM.</t>
        </is>
      </c>
      <c r="BT10" s="340" t="inlineStr">
        <is>
          <t>U1b</t>
        </is>
      </c>
      <c r="BU10" s="340" t="inlineStr">
        <is>
          <t>C1a</t>
        </is>
      </c>
      <c r="BV10" s="340" t="inlineStr">
        <is>
          <t>C1b</t>
        </is>
      </c>
      <c r="BW10" s="109" t="inlineStr">
        <is>
          <t>Conversione minuti/ore</t>
        </is>
      </c>
      <c r="BY10" s="340" t="inlineStr">
        <is>
          <t>I TERM</t>
        </is>
      </c>
      <c r="BZ10" s="340" t="inlineStr">
        <is>
          <t>II TERM.</t>
        </is>
      </c>
      <c r="CA10" s="340" t="inlineStr">
        <is>
          <t>U1b</t>
        </is>
      </c>
      <c r="CB10" s="340" t="inlineStr">
        <is>
          <t>C1a</t>
        </is>
      </c>
      <c r="CC10" s="340" t="inlineStr">
        <is>
          <t>C1b</t>
        </is>
      </c>
      <c r="CD10" s="109" t="inlineStr">
        <is>
          <t>Conversione minuti/ore</t>
        </is>
      </c>
      <c r="CF10" s="340" t="inlineStr">
        <is>
          <t>I TERM</t>
        </is>
      </c>
      <c r="CG10" s="340" t="inlineStr">
        <is>
          <t>II TERM.</t>
        </is>
      </c>
      <c r="CH10" s="340" t="inlineStr">
        <is>
          <t>U1b</t>
        </is>
      </c>
      <c r="CI10" s="340" t="inlineStr">
        <is>
          <t>C1a</t>
        </is>
      </c>
      <c r="CJ10" s="340" t="inlineStr">
        <is>
          <t>C1b</t>
        </is>
      </c>
      <c r="CK10" s="109" t="inlineStr">
        <is>
          <t>Conversione minuti/ore</t>
        </is>
      </c>
      <c r="CN10" s="223" t="inlineStr">
        <is>
          <t xml:space="preserve">Giornata 1 Laeq </t>
        </is>
      </c>
      <c r="CO10" s="223" t="inlineStr">
        <is>
          <t xml:space="preserve">Giornata 2 Laeq </t>
        </is>
      </c>
      <c r="CP10" s="223" t="inlineStr">
        <is>
          <t xml:space="preserve">Giornata 3 Laeq </t>
        </is>
      </c>
      <c r="CQ10" s="223" t="inlineStr">
        <is>
          <t xml:space="preserve">Giornata 4 Laeq </t>
        </is>
      </c>
      <c r="CR10" s="223" t="inlineStr">
        <is>
          <t xml:space="preserve">Giornata 5 Laeq </t>
        </is>
      </c>
      <c r="CS10" s="223" t="inlineStr">
        <is>
          <t xml:space="preserve">Giornata 6 Laeq </t>
        </is>
      </c>
      <c r="CT10" s="223" t="inlineStr">
        <is>
          <t xml:space="preserve">Giornata 7 Laeq </t>
        </is>
      </c>
      <c r="CU10" s="239" t="inlineStr">
        <is>
          <t xml:space="preserve">Giornata 1 Laeq - PNR </t>
        </is>
      </c>
      <c r="CV10" s="239" t="inlineStr">
        <is>
          <t xml:space="preserve">Giornata 2 Laeq  - PNR </t>
        </is>
      </c>
      <c r="CW10" s="239" t="inlineStr">
        <is>
          <t xml:space="preserve">Giornata 3 Laeq  - PNR </t>
        </is>
      </c>
      <c r="CX10" s="239" t="inlineStr">
        <is>
          <t xml:space="preserve">Giornata 4 Laeq  - PNR </t>
        </is>
      </c>
      <c r="CY10" s="239" t="inlineStr">
        <is>
          <t xml:space="preserve">Giornata 5 Laeq  - PNR </t>
        </is>
      </c>
      <c r="CZ10" s="239" t="inlineStr">
        <is>
          <t xml:space="preserve">Giornata 6 Laeq  - PNR </t>
        </is>
      </c>
      <c r="DA10" s="239" t="inlineStr">
        <is>
          <t xml:space="preserve">Giornata 7 Laeq  - PNR </t>
        </is>
      </c>
      <c r="DB10" s="388">
        <f>SUM(DB11:DB40)</f>
        <v/>
      </c>
      <c r="DC10" s="388" t="inlineStr">
        <is>
          <t>En(C)&gt;80</t>
        </is>
      </c>
      <c r="DD10" s="388" t="inlineStr">
        <is>
          <t>En(A)&gt;80</t>
        </is>
      </c>
      <c r="DE10" s="388" t="inlineStr">
        <is>
          <t>LAeq(F)</t>
        </is>
      </c>
      <c r="DF10" s="388" t="inlineStr">
        <is>
          <t>LCeq(F)</t>
        </is>
      </c>
      <c r="DG10" s="388" t="inlineStr">
        <is>
          <t>LEX',8h</t>
        </is>
      </c>
    </row>
    <row r="11" ht="27" customHeight="1" s="444">
      <c r="C11" s="264">
        <f>IF(AK11="0","T",IF((K11-AK11)&lt;65,"I",IF((K11-AK11)&lt;70,"K",IF((K11-AK11)&lt;75,"J",IF((K11-AK11)&lt;80,"K","L")))))</f>
        <v/>
      </c>
      <c r="D11" s="273">
        <f>IF(J11&lt;135,"T",IF((J11-$J$69)&lt;135,"J","L"))</f>
        <v/>
      </c>
      <c r="E11" s="267" t="n">
        <v>1</v>
      </c>
      <c r="F11" s="22">
        <f>VLOOKUP(E11,Misure_Campionate,2,FALSE)</f>
        <v/>
      </c>
      <c r="G11" s="22">
        <f>VLOOKUP(E11,Misure_Campionate,3,FALSE)</f>
        <v/>
      </c>
      <c r="H11" s="22">
        <f>VLOOKUP(E11,Misure_Campionate,4,FALSE)</f>
        <v/>
      </c>
      <c r="I11" s="268">
        <f>VLOOKUP(E11,Misure_Campionate,12,FALSE)</f>
        <v/>
      </c>
      <c r="J11" s="268">
        <f>VLOOKUP(E11,Misure_Campionate,13,FALSE)</f>
        <v/>
      </c>
      <c r="K11" s="269">
        <f>VLOOKUP(E11,Misure_Campionate,14,FALSE)</f>
        <v/>
      </c>
      <c r="L11" s="274">
        <f>VLOOKUP(E11,Misure_Campionate,15,FALSE)</f>
        <v/>
      </c>
      <c r="M11" s="270">
        <f>IF(AND($O$47&gt;87,K11&gt;80),AK11,0)</f>
        <v/>
      </c>
      <c r="N11" s="262">
        <f>IF(M11=0,"",K11-M11)</f>
        <v/>
      </c>
      <c r="O11" s="224" t="n">
        <v>240</v>
      </c>
      <c r="P11" s="294" t="n"/>
      <c r="Q11" s="294" t="n"/>
      <c r="R11" s="224" t="n">
        <v>240</v>
      </c>
      <c r="S11" s="294" t="n"/>
      <c r="T11" s="294" t="n"/>
      <c r="U11" s="224" t="n">
        <v>240</v>
      </c>
      <c r="V11" s="294" t="n"/>
      <c r="W11" s="294" t="n"/>
      <c r="X11" s="224" t="n">
        <v>240</v>
      </c>
      <c r="Y11" s="294" t="n"/>
      <c r="Z11" s="294" t="n"/>
      <c r="AA11" s="224" t="n"/>
      <c r="AB11" s="294" t="n"/>
      <c r="AC11" s="294" t="n"/>
      <c r="AD11" s="224" t="n"/>
      <c r="AE11" s="294" t="n"/>
      <c r="AF11" s="294" t="n"/>
      <c r="AG11" s="224" t="n"/>
      <c r="AH11" s="294" t="n"/>
      <c r="AI11" s="294" t="n"/>
      <c r="AJ11" s="289" t="n"/>
      <c r="AK11" s="151">
        <f>IF(K11&lt;80,"0",IF((L11-K11)&lt;=2,($L$66-(($K$66-$L$66)/4)*(L11-K11-2)),($L$66-(($L$66-$M$66)/8)*(L11-K11-2))))</f>
        <v/>
      </c>
      <c r="AL11" s="151">
        <f>IF(J11&lt;135,"",J11-$J$69)</f>
        <v/>
      </c>
      <c r="AM11" s="111">
        <f>K11-AK11</f>
        <v/>
      </c>
      <c r="AN11" s="151">
        <f>O11/$G$5*10^(AM11/10)</f>
        <v/>
      </c>
      <c r="AO11" s="84" t="n"/>
      <c r="AP11" s="469">
        <f>IF((AS11^2*(I11^2+$G$3^2+$G$4^2)&gt;0),(AS11^2*(I11^2+$G$3^2+$G$4^2)),0)</f>
        <v/>
      </c>
      <c r="AQ11" s="180">
        <f>IF(AP11=0,0,(AT11*AR11)^2)</f>
        <v/>
      </c>
      <c r="AR11" s="181">
        <f>0.5*((P11-Q11)/60)</f>
        <v/>
      </c>
      <c r="AS11" s="470">
        <f>O11/$G$5*10^((K11-$O$42)/10)</f>
        <v/>
      </c>
      <c r="AT11" s="397">
        <f>IF(AU11=0,0,4.34*(AS11/AU11))</f>
        <v/>
      </c>
      <c r="AU11" s="183">
        <f>O11/60</f>
        <v/>
      </c>
      <c r="AW11" s="496">
        <f>IF((AZ11^2*(I11^2+$G$3^2+$G$4^2)&gt;0),(AZ11^2*(I11^2+$G$3^2+$G$4^2)),0)</f>
        <v/>
      </c>
      <c r="AX11" s="297">
        <f>IF(AW11=0,0,(BA11*AY11)^2)</f>
        <v/>
      </c>
      <c r="AY11" s="298">
        <f>0.5*((S11-T11)/60)</f>
        <v/>
      </c>
      <c r="AZ11" s="497">
        <f>R11/$G$5*10^((K11-$R$42)/10)</f>
        <v/>
      </c>
      <c r="BA11" s="300">
        <f>IF(BB11=0,0,4.34*(AZ11/BB11))</f>
        <v/>
      </c>
      <c r="BB11" s="300">
        <f>R11/60</f>
        <v/>
      </c>
      <c r="BD11" s="496">
        <f>IF((BG11^2*(I11^2+$G$3^2+$G$4^2)&gt;0),(BG11^2*(I11^2+$G$3^2+$G$4^2)),0)</f>
        <v/>
      </c>
      <c r="BE11" s="297">
        <f>IF(BD11=0,0,(BH11*BF11)^2)</f>
        <v/>
      </c>
      <c r="BF11" s="298">
        <f>0.5*((V11-W11)/60)</f>
        <v/>
      </c>
      <c r="BG11" s="497">
        <f>U11/$G$5*10^((K11-$U$42)/10)</f>
        <v/>
      </c>
      <c r="BH11" s="300">
        <f>IF(BI11=0,0,4.34*(BG11/BI11))</f>
        <v/>
      </c>
      <c r="BI11" s="300">
        <f>U11/60</f>
        <v/>
      </c>
      <c r="BK11" s="496">
        <f>IF((BN11^2*(I11^2+$G$3^2+$G$4^2)&gt;0),(BN11^2*(I11^2+$G$3^2+$G$4^2)),0)</f>
        <v/>
      </c>
      <c r="BL11" s="297">
        <f>IF(BK11=0,0,(BO11*BM11)^2)</f>
        <v/>
      </c>
      <c r="BM11" s="298">
        <f>0.5*((Y11-Z11)/60)</f>
        <v/>
      </c>
      <c r="BN11" s="497">
        <f>(X11/$G$5)*(10^((K11-$X$42)*0.1))</f>
        <v/>
      </c>
      <c r="BO11" s="300">
        <f>IF(BP11=0,0,(4.34*(BN11/BP11)))</f>
        <v/>
      </c>
      <c r="BP11" s="300">
        <f>X11/60</f>
        <v/>
      </c>
      <c r="BR11" s="496">
        <f>IF((BU11^2*(I11^2+$G$3^2+$G$4^2)&gt;0),(BU11^2*(I11^2+$G$3^2+$G$4^2)),0)</f>
        <v/>
      </c>
      <c r="BS11" s="297">
        <f>IF(BR11=0,0,(BV11*BT11)^2)</f>
        <v/>
      </c>
      <c r="BT11" s="298">
        <f>0.5*((AB11-AC11)/60)</f>
        <v/>
      </c>
      <c r="BU11" s="497">
        <f>AA11/$G$5*10^((K11-$AA$42)/10)</f>
        <v/>
      </c>
      <c r="BV11" s="300">
        <f>IF(BW11=0,0,4.34*(BU11/BW11))</f>
        <v/>
      </c>
      <c r="BW11" s="300">
        <f>AA11/60</f>
        <v/>
      </c>
      <c r="BY11" s="496">
        <f>IF((CB11^2*(I11^2+$G$3^2+$G$4^2)&gt;0),(CB11^2*(I11^2+$G$3^2+$G$4^2)),0)</f>
        <v/>
      </c>
      <c r="BZ11" s="297">
        <f>IF(BY11=0,0,(CC11*CA11)^2)</f>
        <v/>
      </c>
      <c r="CA11" s="298">
        <f>0.5*((AE11-AF11)/60)</f>
        <v/>
      </c>
      <c r="CB11" s="497">
        <f>AD11/$G$5*10^((K11-$AD$42)/10)</f>
        <v/>
      </c>
      <c r="CC11" s="300">
        <f>IF(CD11=0,0,4.34*(CB11/CD11))</f>
        <v/>
      </c>
      <c r="CD11" s="300">
        <f>AD11/60</f>
        <v/>
      </c>
      <c r="CF11" s="496">
        <f>IF((CI11^2*(I11^2+$G$3^2+$G$4^2)&gt;0),(CI11^2*(I11^2+$G$3^2+$G$4^2)),0)</f>
        <v/>
      </c>
      <c r="CG11" s="297">
        <f>IF(CF11=0,0,(CJ11*CH11)^2)</f>
        <v/>
      </c>
      <c r="CH11" s="298">
        <f>0.5*((AH11-AI11)/60)</f>
        <v/>
      </c>
      <c r="CI11" s="497">
        <f>AG11/$G$5*10^((K11-$AG$42)/10)</f>
        <v/>
      </c>
      <c r="CJ11" s="300">
        <f>IF(CK11=0,0,4.34*(CI11/CK11))</f>
        <v/>
      </c>
      <c r="CK11" s="300">
        <f>AG11/60</f>
        <v/>
      </c>
      <c r="CN11" s="183">
        <f>O11/$G$5*10^(K11/10)</f>
        <v/>
      </c>
      <c r="CO11" s="183">
        <f>R11/$G$5*10^(K11/10)</f>
        <v/>
      </c>
      <c r="CP11" s="183">
        <f>U11/$G$5*10^(K11/10)</f>
        <v/>
      </c>
      <c r="CQ11" s="183">
        <f>X11/$G$5*10^(K11/10)</f>
        <v/>
      </c>
      <c r="CR11" s="183">
        <f>AA11/$G$5*10^(K11/10)</f>
        <v/>
      </c>
      <c r="CS11" s="183">
        <f>AD11/$G$5*10^(K11/10)</f>
        <v/>
      </c>
      <c r="CT11" s="183">
        <f>AG11/$G$5*10^(K11/10)</f>
        <v/>
      </c>
      <c r="CU11" s="183">
        <f>O11/$G$5*10^(AM11/10)</f>
        <v/>
      </c>
      <c r="CV11" s="183">
        <f>R11/$G$5*10^(AM11/10)</f>
        <v/>
      </c>
      <c r="CW11" s="183">
        <f>U11/$G$5*10^(AM11/10)</f>
        <v/>
      </c>
      <c r="CX11" s="183">
        <f>X11/$G$5*10^(AM11/10)</f>
        <v/>
      </c>
      <c r="CY11" s="183">
        <f>AA11/$G$5*10^(AM11/10)</f>
        <v/>
      </c>
      <c r="CZ11" s="183">
        <f>AD11/$G$5*10^(AM11/10)</f>
        <v/>
      </c>
      <c r="DA11" s="183">
        <f>AG11/$G$5*10^(AM11/10)</f>
        <v/>
      </c>
      <c r="DB11" s="388">
        <f>IF(K11&gt;80,O11,"")</f>
        <v/>
      </c>
      <c r="DC11" s="388">
        <f>IF(K11&gt;80,O11/$DB$10*10^(L11/10),"")</f>
        <v/>
      </c>
      <c r="DD11" s="388">
        <f>IF(K11&gt;80,O11/$DB$10*10^(K11/10),"")</f>
        <v/>
      </c>
      <c r="DE11" s="373">
        <f>IF((MAX(K11:K40)&gt;80),10*LOG(SUM($DD$11:$DD$40)),"")</f>
        <v/>
      </c>
      <c r="DF11" s="373">
        <f>IF((MAX(K11:K40)&gt;80),10*LOG(SUM($DC$11:$DC$40)),"")</f>
        <v/>
      </c>
      <c r="DG11" s="110">
        <f>10*LOG(SUM(CM11:CM40))</f>
        <v/>
      </c>
    </row>
    <row r="12" ht="27" customHeight="1" s="444">
      <c r="C12" s="264">
        <f>IF(AK12="0","T",IF((K12-AK12)&lt;65,"I",IF((K12-AK12)&lt;70,"K",IF((K12-AK12)&lt;75,"J",IF((K12-AK12)&lt;80,"K","L")))))</f>
        <v/>
      </c>
      <c r="D12" s="273">
        <f>IF(J12&lt;135,"T",IF((J12-$J$69)&lt;135,"J","L"))</f>
        <v/>
      </c>
      <c r="E12" s="267" t="n">
        <v>3</v>
      </c>
      <c r="F12" s="22">
        <f>VLOOKUP(E12,Misure_Campionate,2,FALSE)</f>
        <v/>
      </c>
      <c r="G12" s="22">
        <f>VLOOKUP(E12,Misure_Campionate,3,FALSE)</f>
        <v/>
      </c>
      <c r="H12" s="22">
        <f>VLOOKUP(E12,Misure_Campionate,4,FALSE)</f>
        <v/>
      </c>
      <c r="I12" s="63">
        <f>VLOOKUP(E12,Misure_Campionate,12,FALSE)</f>
        <v/>
      </c>
      <c r="J12" s="63">
        <f>VLOOKUP(E12,Misure_Campionate,13,FALSE)</f>
        <v/>
      </c>
      <c r="K12" s="64">
        <f>VLOOKUP(E12,Misure_Campionate,14,FALSE)</f>
        <v/>
      </c>
      <c r="L12" s="16">
        <f>VLOOKUP(E12,Misure_Campionate,15,FALSE)</f>
        <v/>
      </c>
      <c r="M12" s="23">
        <f>IF(AND($O$47&gt;87,K12&gt;80),AK12,0)</f>
        <v/>
      </c>
      <c r="N12" s="262">
        <f>IF(M12=0,"",K12-M12)</f>
        <v/>
      </c>
      <c r="O12" s="225" t="n">
        <v>240</v>
      </c>
      <c r="P12" s="295" t="n"/>
      <c r="Q12" s="295" t="n"/>
      <c r="R12" s="225" t="n">
        <v>240</v>
      </c>
      <c r="S12" s="295" t="n"/>
      <c r="T12" s="295" t="n"/>
      <c r="U12" s="225" t="n">
        <v>240</v>
      </c>
      <c r="V12" s="295" t="n"/>
      <c r="W12" s="295" t="n"/>
      <c r="X12" s="225" t="n">
        <v>240</v>
      </c>
      <c r="Y12" s="295" t="n"/>
      <c r="Z12" s="295" t="n"/>
      <c r="AA12" s="225" t="n"/>
      <c r="AB12" s="295" t="n"/>
      <c r="AC12" s="295" t="n"/>
      <c r="AD12" s="225" t="n"/>
      <c r="AE12" s="295" t="n"/>
      <c r="AF12" s="295" t="n"/>
      <c r="AG12" s="225" t="n"/>
      <c r="AH12" s="295" t="n"/>
      <c r="AI12" s="295" t="n"/>
      <c r="AJ12" s="289" t="n"/>
      <c r="AK12" s="151">
        <f>IF(K12&lt;80,"0",IF((L12-K12)&lt;=2,($L$66-(($K$66-$L$66)/4)*(L12-K12-2)),($L$66-(($L$66-$M$66)/8)*(L12-K12-2))))</f>
        <v/>
      </c>
      <c r="AL12" s="111">
        <f>IF(J12&lt;135,"",J12-$J$69)</f>
        <v/>
      </c>
      <c r="AM12" s="111">
        <f>K12-AK12</f>
        <v/>
      </c>
      <c r="AN12" s="151">
        <f>O12/$G$5*10^(AM12/10)</f>
        <v/>
      </c>
      <c r="AO12" s="84" t="n"/>
      <c r="AP12" s="469">
        <f>IF((AS12^2*(I12^2+$G$3^2+$G$4^2)&gt;0),(AS12^2*(I12^2+$G$3^2+$G$4^2)),0)</f>
        <v/>
      </c>
      <c r="AQ12" s="180">
        <f>IF(AP12=0,0,(AT12*AR12)^2)</f>
        <v/>
      </c>
      <c r="AR12" s="181">
        <f>0.5*((P12-Q12)/60)</f>
        <v/>
      </c>
      <c r="AS12" s="470">
        <f>O12/$G$5*10^((K12-$O$42)/10)</f>
        <v/>
      </c>
      <c r="AT12" s="397">
        <f>IF(AU12=0,0,4.34*(AS12/AU12))</f>
        <v/>
      </c>
      <c r="AU12" s="183">
        <f>O12/60</f>
        <v/>
      </c>
      <c r="AW12" s="496">
        <f>IF((AZ12^2*(I12^2+$G$3^2+$G$4^2)&gt;0),(AZ12^2*(I12^2+$G$3^2+$G$4^2)),0)</f>
        <v/>
      </c>
      <c r="AX12" s="297">
        <f>IF(AW12=0,0,(BA12*AY12)^2)</f>
        <v/>
      </c>
      <c r="AY12" s="298">
        <f>0.5*((S12-T12)/60)</f>
        <v/>
      </c>
      <c r="AZ12" s="497">
        <f>R12/$G$5*10^((K12-$R$42)/10)</f>
        <v/>
      </c>
      <c r="BA12" s="300">
        <f>IF(BB12=0,0,4.34*(AZ12/BB12))</f>
        <v/>
      </c>
      <c r="BB12" s="300">
        <f>R12/60</f>
        <v/>
      </c>
      <c r="BD12" s="496">
        <f>IF((BG12^2*(I12^2+$G$3^2+$G$4^2)&gt;0),(BG12^2*(I12^2+$G$3^2+$G$4^2)),0)</f>
        <v/>
      </c>
      <c r="BE12" s="297">
        <f>IF(BD12=0,0,(BH12*BF12)^2)</f>
        <v/>
      </c>
      <c r="BF12" s="298">
        <f>0.5*((V12-W12)/60)</f>
        <v/>
      </c>
      <c r="BG12" s="497">
        <f>U12/$G$5*10^((K12-$U$42)/10)</f>
        <v/>
      </c>
      <c r="BH12" s="300">
        <f>IF(BI12=0,0,4.34*(BG12/BI12))</f>
        <v/>
      </c>
      <c r="BI12" s="300">
        <f>U12/60</f>
        <v/>
      </c>
      <c r="BK12" s="496">
        <f>IF((BN12^2*(I12^2+$G$3^2+$G$4^2)&gt;0),(BN12^2*(I12^2+$G$3^2+$G$4^2)),0)</f>
        <v/>
      </c>
      <c r="BL12" s="297">
        <f>IF(BK12=0,0,(BO12*BM12)^2)</f>
        <v/>
      </c>
      <c r="BM12" s="298">
        <f>0.5*((Y12-Z12)/60)</f>
        <v/>
      </c>
      <c r="BN12" s="497">
        <f>(X12/$G$5)*(10^((K12-$X$42)*0.1))</f>
        <v/>
      </c>
      <c r="BO12" s="300">
        <f>IF(BP12=0,0,(4.34*(BN12/BP12)))</f>
        <v/>
      </c>
      <c r="BP12" s="300">
        <f>X12/60</f>
        <v/>
      </c>
      <c r="BR12" s="496">
        <f>IF((BU12^2*(I12^2+$G$3^2+$G$4^2)&gt;0),(BU12^2*(I12^2+$G$3^2+$G$4^2)),0)</f>
        <v/>
      </c>
      <c r="BS12" s="297">
        <f>IF(BR12=0,0,(BV12*BT12)^2)</f>
        <v/>
      </c>
      <c r="BT12" s="298">
        <f>0.5*((AB12-AC12)/60)</f>
        <v/>
      </c>
      <c r="BU12" s="497">
        <f>AA12/$G$5*10^((K12-$AA$42)/10)</f>
        <v/>
      </c>
      <c r="BV12" s="300">
        <f>IF(BW12=0,0,4.34*(BU12/BW12))</f>
        <v/>
      </c>
      <c r="BW12" s="300">
        <f>AA12/60</f>
        <v/>
      </c>
      <c r="BY12" s="496">
        <f>IF((CB12^2*(I12^2+$G$3^2+$G$4^2)&gt;0),(CB12^2*(I12^2+$G$3^2+$G$4^2)),0)</f>
        <v/>
      </c>
      <c r="BZ12" s="297">
        <f>IF(BY12=0,0,(CC12*CA12)^2)</f>
        <v/>
      </c>
      <c r="CA12" s="298">
        <f>0.5*((AE12-AF12)/60)</f>
        <v/>
      </c>
      <c r="CB12" s="497">
        <f>AD12/$G$5*10^((K12-$AD$42)/10)</f>
        <v/>
      </c>
      <c r="CC12" s="300">
        <f>IF(CD12=0,0,4.34*(CB12/CD12))</f>
        <v/>
      </c>
      <c r="CD12" s="300">
        <f>AD12/60</f>
        <v/>
      </c>
      <c r="CF12" s="496">
        <f>IF((CI12^2*(I12^2+$G$3^2+$G$4^2)&gt;0),(CI12^2*(I12^2+$G$3^2+$G$4^2)),0)</f>
        <v/>
      </c>
      <c r="CG12" s="297">
        <f>IF(CF12=0,0,(CJ12*CH12)^2)</f>
        <v/>
      </c>
      <c r="CH12" s="298">
        <f>0.5*((AH12-AI12)/60)</f>
        <v/>
      </c>
      <c r="CI12" s="497">
        <f>AG12/$G$5*10^((K12-$AG$42)/10)</f>
        <v/>
      </c>
      <c r="CJ12" s="300">
        <f>IF(CK12=0,0,4.34*(CI12/CK12))</f>
        <v/>
      </c>
      <c r="CK12" s="300">
        <f>AG12/60</f>
        <v/>
      </c>
      <c r="CN12" s="183">
        <f>O12/$G$5*10^(K12/10)</f>
        <v/>
      </c>
      <c r="CO12" s="183">
        <f>R12/$G$5*10^(K12/10)</f>
        <v/>
      </c>
      <c r="CP12" s="183">
        <f>U12/$G$5*10^(K12/10)</f>
        <v/>
      </c>
      <c r="CQ12" s="183">
        <f>X12/$G$5*10^(K12/10)</f>
        <v/>
      </c>
      <c r="CR12" s="183">
        <f>AA12/$G$5*10^(K12/10)</f>
        <v/>
      </c>
      <c r="CS12" s="183">
        <f>AD12/$G$5*10^(K12/10)</f>
        <v/>
      </c>
      <c r="CT12" s="183">
        <f>AG12/$G$5*10^(K12/10)</f>
        <v/>
      </c>
      <c r="CU12" s="183">
        <f>O12/$G$5*10^(AM12/10)</f>
        <v/>
      </c>
      <c r="CV12" s="183">
        <f>R12/$G$5*10^(AM12/10)</f>
        <v/>
      </c>
      <c r="CW12" s="183">
        <f>U12/$G$5*10^(AM12/10)</f>
        <v/>
      </c>
      <c r="CX12" s="183">
        <f>X12/$G$5*10^(AM12/10)</f>
        <v/>
      </c>
      <c r="CY12" s="183">
        <f>AA12/$G$5*10^(AM12/10)</f>
        <v/>
      </c>
      <c r="CZ12" s="183">
        <f>AD12/$G$5*10^(AM12/10)</f>
        <v/>
      </c>
      <c r="DA12" s="183">
        <f>AG12/$G$5*10^(AM12/10)</f>
        <v/>
      </c>
      <c r="DB12" s="388">
        <f>IF(K12&gt;80,O12,"")</f>
        <v/>
      </c>
      <c r="DC12" s="388">
        <f>IF(K12&gt;80,O12/$DB$10*10^(L12/10),"")</f>
        <v/>
      </c>
      <c r="DD12" s="388">
        <f>IF(K12&gt;80,O12/$DB$10*10^(K12/10),"")</f>
        <v/>
      </c>
      <c r="DF12" s="184" t="n"/>
    </row>
    <row r="13" ht="27" customHeight="1" s="444">
      <c r="C13" s="264">
        <f>IF(AK13="0","T",IF((K13-AK13)&lt;65,"I",IF((K13-AK13)&lt;70,"K",IF((K13-AK13)&lt;75,"J",IF((K13-AK13)&lt;80,"K","L")))))</f>
        <v/>
      </c>
      <c r="D13" s="273">
        <f>IF(J13&lt;135,"T",IF((J13-$J$69)&lt;135,"J","L"))</f>
        <v/>
      </c>
      <c r="E13" s="267" t="n">
        <v>65</v>
      </c>
      <c r="F13" s="22">
        <f>VLOOKUP(E13,Misure_Campionate,2,FALSE)</f>
        <v/>
      </c>
      <c r="G13" s="22">
        <f>VLOOKUP(E13,Misure_Campionate,3,FALSE)</f>
        <v/>
      </c>
      <c r="H13" s="22">
        <f>VLOOKUP(E13,Misure_Campionate,4,FALSE)</f>
        <v/>
      </c>
      <c r="I13" s="63">
        <f>VLOOKUP(E13,Misure_Campionate,12,FALSE)</f>
        <v/>
      </c>
      <c r="J13" s="63">
        <f>VLOOKUP(E13,Misure_Campionate,13,FALSE)</f>
        <v/>
      </c>
      <c r="K13" s="64">
        <f>VLOOKUP(E13,Misure_Campionate,14,FALSE)</f>
        <v/>
      </c>
      <c r="L13" s="16">
        <f>VLOOKUP(E13,Misure_Campionate,15,FALSE)</f>
        <v/>
      </c>
      <c r="M13" s="23">
        <f>IF(AND($O$47&gt;87,K13&gt;80),AK13,0)</f>
        <v/>
      </c>
      <c r="N13" s="262">
        <f>IF(M13=0,"",K13-M13)</f>
        <v/>
      </c>
      <c r="O13" s="225" t="n"/>
      <c r="P13" s="295" t="n"/>
      <c r="Q13" s="295" t="n"/>
      <c r="R13" s="225" t="n"/>
      <c r="S13" s="295" t="n"/>
      <c r="T13" s="295" t="n"/>
      <c r="U13" s="225" t="n"/>
      <c r="V13" s="295" t="n"/>
      <c r="W13" s="295" t="n"/>
      <c r="X13" s="225" t="n"/>
      <c r="Y13" s="295" t="n"/>
      <c r="Z13" s="295" t="n"/>
      <c r="AA13" s="225" t="n">
        <v>100</v>
      </c>
      <c r="AB13" s="295" t="n"/>
      <c r="AC13" s="295" t="n"/>
      <c r="AD13" s="225" t="n"/>
      <c r="AE13" s="295" t="n"/>
      <c r="AF13" s="295" t="n"/>
      <c r="AG13" s="225" t="n"/>
      <c r="AH13" s="295" t="n"/>
      <c r="AI13" s="295" t="n"/>
      <c r="AJ13" s="289" t="n"/>
      <c r="AK13" s="151">
        <f>IF(K13&lt;80,"0",IF((L13-K13)&lt;=2,($L$66-(($K$66-$L$66)/4)*(L13-K13-2)),($L$66-(($L$66-$M$66)/8)*(L13-K13-2))))</f>
        <v/>
      </c>
      <c r="AL13" s="111">
        <f>IF(J13&lt;135,"",J13-$J$69)</f>
        <v/>
      </c>
      <c r="AM13" s="111">
        <f>K13-AK13</f>
        <v/>
      </c>
      <c r="AN13" s="151">
        <f>O13/$G$5*10^(AM13/10)</f>
        <v/>
      </c>
      <c r="AO13" s="84" t="n"/>
      <c r="AP13" s="469">
        <f>IF((AS13^2*(I13^2+$G$3^2+$G$4^2)&gt;0),(AS13^2*(I13^2+$G$3^2+$G$4^2)),0)</f>
        <v/>
      </c>
      <c r="AQ13" s="180">
        <f>IF(AP13=0,0,(AT13*AR13)^2)</f>
        <v/>
      </c>
      <c r="AR13" s="181">
        <f>0.5*((P13-Q13)/60)</f>
        <v/>
      </c>
      <c r="AS13" s="470">
        <f>O13/$G$5*10^((K13-$O$42)/10)</f>
        <v/>
      </c>
      <c r="AT13" s="397">
        <f>IF(AU13=0,0,4.34*(AS13/AU13))</f>
        <v/>
      </c>
      <c r="AU13" s="183">
        <f>O13/60</f>
        <v/>
      </c>
      <c r="AW13" s="496">
        <f>IF((AZ13^2*(I13^2+$G$3^2+$G$4^2)&gt;0),(AZ13^2*(I13^2+$G$3^2+$G$4^2)),0)</f>
        <v/>
      </c>
      <c r="AX13" s="297">
        <f>IF(AW13=0,0,(BA13*AY13)^2)</f>
        <v/>
      </c>
      <c r="AY13" s="298">
        <f>0.5*((S13-T13)/60)</f>
        <v/>
      </c>
      <c r="AZ13" s="497">
        <f>R13/$G$5*10^((K13-$R$42)/10)</f>
        <v/>
      </c>
      <c r="BA13" s="300">
        <f>IF(BB13=0,0,4.34*(AZ13/BB13))</f>
        <v/>
      </c>
      <c r="BB13" s="300">
        <f>R13/60</f>
        <v/>
      </c>
      <c r="BD13" s="496">
        <f>IF((BG13^2*(I13^2+$G$3^2+$G$4^2)&gt;0),(BG13^2*(I13^2+$G$3^2+$G$4^2)),0)</f>
        <v/>
      </c>
      <c r="BE13" s="297">
        <f>IF(BD13=0,0,(BH13*BF13)^2)</f>
        <v/>
      </c>
      <c r="BF13" s="298">
        <f>0.5*((V13-W13)/60)</f>
        <v/>
      </c>
      <c r="BG13" s="497">
        <f>U13/$G$5*10^((K13-$U$42)/10)</f>
        <v/>
      </c>
      <c r="BH13" s="300">
        <f>IF(BI13=0,0,4.34*(BG13/BI13))</f>
        <v/>
      </c>
      <c r="BI13" s="300">
        <f>U13/60</f>
        <v/>
      </c>
      <c r="BK13" s="496">
        <f>IF((BN13^2*(I13^2+$G$3^2+$G$4^2)&gt;0),(BN13^2*(I13^2+$G$3^2+$G$4^2)),0)</f>
        <v/>
      </c>
      <c r="BL13" s="297">
        <f>IF(BK13=0,0,(BO13*BM13)^2)</f>
        <v/>
      </c>
      <c r="BM13" s="298">
        <f>0.5*((Y13-Z13)/60)</f>
        <v/>
      </c>
      <c r="BN13" s="497">
        <f>(X13/$G$5)*(10^((K13-$X$42)*0.1))</f>
        <v/>
      </c>
      <c r="BO13" s="300">
        <f>IF(BP13=0,0,(4.34*(BN13/BP13)))</f>
        <v/>
      </c>
      <c r="BP13" s="300">
        <f>X13/60</f>
        <v/>
      </c>
      <c r="BR13" s="496">
        <f>IF((BU13^2*(I13^2+$G$3^2+$G$4^2)&gt;0),(BU13^2*(I13^2+$G$3^2+$G$4^2)),0)</f>
        <v/>
      </c>
      <c r="BS13" s="297">
        <f>IF(BR13=0,0,(BV13*BT13)^2)</f>
        <v/>
      </c>
      <c r="BT13" s="298">
        <f>0.5*((AB13-AC13)/60)</f>
        <v/>
      </c>
      <c r="BU13" s="497">
        <f>AA13/$G$5*10^((K13-$AA$42)/10)</f>
        <v/>
      </c>
      <c r="BV13" s="300">
        <f>IF(BW13=0,0,4.34*(BU13/BW13))</f>
        <v/>
      </c>
      <c r="BW13" s="300">
        <f>AA13/60</f>
        <v/>
      </c>
      <c r="BY13" s="496">
        <f>IF((CB13^2*(I13^2+$G$3^2+$G$4^2)&gt;0),(CB13^2*(I13^2+$G$3^2+$G$4^2)),0)</f>
        <v/>
      </c>
      <c r="BZ13" s="297">
        <f>IF(BY13=0,0,(CC13*CA13)^2)</f>
        <v/>
      </c>
      <c r="CA13" s="298">
        <f>0.5*((AE13-AF13)/60)</f>
        <v/>
      </c>
      <c r="CB13" s="497">
        <f>AD13/$G$5*10^((K13-$AD$42)/10)</f>
        <v/>
      </c>
      <c r="CC13" s="300">
        <f>IF(CD13=0,0,4.34*(CB13/CD13))</f>
        <v/>
      </c>
      <c r="CD13" s="300">
        <f>AD13/60</f>
        <v/>
      </c>
      <c r="CF13" s="496">
        <f>IF((CI13^2*(I13^2+$G$3^2+$G$4^2)&gt;0),(CI13^2*(I13^2+$G$3^2+$G$4^2)),0)</f>
        <v/>
      </c>
      <c r="CG13" s="297">
        <f>IF(CF13=0,0,(CJ13*CH13)^2)</f>
        <v/>
      </c>
      <c r="CH13" s="298">
        <f>0.5*((AH13-AI13)/60)</f>
        <v/>
      </c>
      <c r="CI13" s="497">
        <f>AG13/$G$5*10^((K13-$AG$42)/10)</f>
        <v/>
      </c>
      <c r="CJ13" s="300">
        <f>IF(CK13=0,0,4.34*(CI13/CK13))</f>
        <v/>
      </c>
      <c r="CK13" s="300">
        <f>AG13/60</f>
        <v/>
      </c>
      <c r="CN13" s="183">
        <f>O13/$G$5*10^(K13/10)</f>
        <v/>
      </c>
      <c r="CO13" s="183">
        <f>R13/$G$5*10^(K13/10)</f>
        <v/>
      </c>
      <c r="CP13" s="183">
        <f>U13/$G$5*10^(K13/10)</f>
        <v/>
      </c>
      <c r="CQ13" s="183">
        <f>X13/$G$5*10^(K13/10)</f>
        <v/>
      </c>
      <c r="CR13" s="183">
        <f>AA13/$G$5*10^(K13/10)</f>
        <v/>
      </c>
      <c r="CS13" s="183">
        <f>AD13/$G$5*10^(K13/10)</f>
        <v/>
      </c>
      <c r="CT13" s="183">
        <f>AG13/$G$5*10^(K13/10)</f>
        <v/>
      </c>
      <c r="CU13" s="183">
        <f>O13/$G$5*10^(AM13/10)</f>
        <v/>
      </c>
      <c r="CV13" s="183">
        <f>R13/$G$5*10^(AM13/10)</f>
        <v/>
      </c>
      <c r="CW13" s="183">
        <f>U13/$G$5*10^(AM13/10)</f>
        <v/>
      </c>
      <c r="CX13" s="183">
        <f>X13/$G$5*10^(AM13/10)</f>
        <v/>
      </c>
      <c r="CY13" s="183">
        <f>AA13/$G$5*10^(AM13/10)</f>
        <v/>
      </c>
      <c r="CZ13" s="183">
        <f>AD13/$G$5*10^(AM13/10)</f>
        <v/>
      </c>
      <c r="DA13" s="183">
        <f>AG13/$G$5*10^(AM13/10)</f>
        <v/>
      </c>
      <c r="DB13" s="388">
        <f>IF(K13&gt;80,O13,"")</f>
        <v/>
      </c>
      <c r="DC13" s="388">
        <f>IF(K13&gt;80,O13/$DB$10*10^(L13/10),"")</f>
        <v/>
      </c>
      <c r="DD13" s="388">
        <f>IF(K13&gt;80,O13/$DB$10*10^(K13/10),"")</f>
        <v/>
      </c>
      <c r="DF13" s="184" t="n"/>
    </row>
    <row r="14" ht="27" customHeight="1" s="444">
      <c r="C14" s="264">
        <f>IF(AK14="0","T",IF((K14-AK14)&lt;65,"I",IF((K14-AK14)&lt;70,"K",IF((K14-AK14)&lt;75,"J",IF((K14-AK14)&lt;80,"K","L")))))</f>
        <v/>
      </c>
      <c r="D14" s="273">
        <f>IF(J14&lt;135,"T",IF((J14-$J$69)&lt;135,"J","L"))</f>
        <v/>
      </c>
      <c r="E14" s="267" t="n">
        <v>82</v>
      </c>
      <c r="F14" s="22">
        <f>VLOOKUP(E14,Misure_Campionate,2,FALSE)</f>
        <v/>
      </c>
      <c r="G14" s="22">
        <f>VLOOKUP(E14,Misure_Campionate,3,FALSE)</f>
        <v/>
      </c>
      <c r="H14" s="22">
        <f>VLOOKUP(E14,Misure_Campionate,4,FALSE)</f>
        <v/>
      </c>
      <c r="I14" s="63">
        <f>VLOOKUP(E14,Misure_Campionate,12,FALSE)</f>
        <v/>
      </c>
      <c r="J14" s="63">
        <f>VLOOKUP(E14,Misure_Campionate,13,FALSE)</f>
        <v/>
      </c>
      <c r="K14" s="64">
        <f>VLOOKUP(E14,Misure_Campionate,14,FALSE)</f>
        <v/>
      </c>
      <c r="L14" s="16">
        <f>VLOOKUP(E14,Misure_Campionate,15,FALSE)</f>
        <v/>
      </c>
      <c r="M14" s="23">
        <f>IF(AND($O$47&gt;87,K14&gt;80),AK14,0)</f>
        <v/>
      </c>
      <c r="N14" s="262">
        <f>IF(M14=0,"",K14-M14)</f>
        <v/>
      </c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>
        <v>100</v>
      </c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89" t="n"/>
      <c r="AK14" s="151">
        <f>IF(K14&lt;80,"0",IF((L14-K14)&lt;=2,($L$66-(($K$66-$L$66)/4)*(L14-K14-2)),($L$66-(($L$66-$M$66)/8)*(L14-K14-2))))</f>
        <v/>
      </c>
      <c r="AL14" s="111">
        <f>IF(J14&lt;135,"",J14-$J$69)</f>
        <v/>
      </c>
      <c r="AM14" s="111">
        <f>K14-AK14</f>
        <v/>
      </c>
      <c r="AN14" s="151">
        <f>O14/$G$5*10^(AM14/10)</f>
        <v/>
      </c>
      <c r="AO14" s="84" t="n"/>
      <c r="AP14" s="469">
        <f>IF((AS14^2*(I14^2+$G$3^2+$G$4^2)&gt;0),(AS14^2*(I14^2+$G$3^2+$G$4^2)),0)</f>
        <v/>
      </c>
      <c r="AQ14" s="180">
        <f>IF(AP14=0,0,(AT14*AR14)^2)</f>
        <v/>
      </c>
      <c r="AR14" s="181">
        <f>0.5*((P14-Q14)/60)</f>
        <v/>
      </c>
      <c r="AS14" s="470">
        <f>O14/$G$5*10^((K14-$O$42)/10)</f>
        <v/>
      </c>
      <c r="AT14" s="397">
        <f>IF(AU14=0,0,4.34*(AS14/AU14))</f>
        <v/>
      </c>
      <c r="AU14" s="183">
        <f>O14/60</f>
        <v/>
      </c>
      <c r="AW14" s="496">
        <f>IF((AZ14^2*(I14^2+$G$3^2+$G$4^2)&gt;0),(AZ14^2*(I14^2+$G$3^2+$G$4^2)),0)</f>
        <v/>
      </c>
      <c r="AX14" s="297">
        <f>IF(AW14=0,0,(BA14*AY14)^2)</f>
        <v/>
      </c>
      <c r="AY14" s="298">
        <f>0.5*((S14-T14)/60)</f>
        <v/>
      </c>
      <c r="AZ14" s="497">
        <f>R14/$G$5*10^((K14-$R$42)/10)</f>
        <v/>
      </c>
      <c r="BA14" s="300">
        <f>IF(BB14=0,0,4.34*(AZ14/BB14))</f>
        <v/>
      </c>
      <c r="BB14" s="300">
        <f>R14/60</f>
        <v/>
      </c>
      <c r="BD14" s="496">
        <f>IF((BG14^2*(I14^2+$G$3^2+$G$4^2)&gt;0),(BG14^2*(I14^2+$G$3^2+$G$4^2)),0)</f>
        <v/>
      </c>
      <c r="BE14" s="297">
        <f>IF(BD14=0,0,(BH14*BF14)^2)</f>
        <v/>
      </c>
      <c r="BF14" s="298">
        <f>0.5*((V14-W14)/60)</f>
        <v/>
      </c>
      <c r="BG14" s="497">
        <f>U14/$G$5*10^((K14-$U$42)/10)</f>
        <v/>
      </c>
      <c r="BH14" s="300">
        <f>IF(BI14=0,0,4.34*(BG14/BI14))</f>
        <v/>
      </c>
      <c r="BI14" s="300">
        <f>U14/60</f>
        <v/>
      </c>
      <c r="BK14" s="496">
        <f>IF((BN14^2*(I14^2+$G$3^2+$G$4^2)&gt;0),(BN14^2*(I14^2+$G$3^2+$G$4^2)),0)</f>
        <v/>
      </c>
      <c r="BL14" s="297">
        <f>IF(BK14=0,0,(BO14*BM14)^2)</f>
        <v/>
      </c>
      <c r="BM14" s="298">
        <f>0.5*((Y14-Z14)/60)</f>
        <v/>
      </c>
      <c r="BN14" s="497">
        <f>(X14/$G$5)*(10^((K14-$X$42)*0.1))</f>
        <v/>
      </c>
      <c r="BO14" s="300">
        <f>IF(BP14=0,0,(4.34*(BN14/BP14)))</f>
        <v/>
      </c>
      <c r="BP14" s="300">
        <f>X14/60</f>
        <v/>
      </c>
      <c r="BR14" s="496">
        <f>IF((BU14^2*(I14^2+$G$3^2+$G$4^2)&gt;0),(BU14^2*(I14^2+$G$3^2+$G$4^2)),0)</f>
        <v/>
      </c>
      <c r="BS14" s="297">
        <f>IF(BR14=0,0,(BV14*BT14)^2)</f>
        <v/>
      </c>
      <c r="BT14" s="298">
        <f>0.5*((AB14-AC14)/60)</f>
        <v/>
      </c>
      <c r="BU14" s="497">
        <f>AA14/$G$5*10^((K14-$AA$42)/10)</f>
        <v/>
      </c>
      <c r="BV14" s="300">
        <f>IF(BW14=0,0,4.34*(BU14/BW14))</f>
        <v/>
      </c>
      <c r="BW14" s="300">
        <f>AA14/60</f>
        <v/>
      </c>
      <c r="BY14" s="496">
        <f>IF((CB14^2*(I14^2+$G$3^2+$G$4^2)&gt;0),(CB14^2*(I14^2+$G$3^2+$G$4^2)),0)</f>
        <v/>
      </c>
      <c r="BZ14" s="297">
        <f>IF(BY14=0,0,(CC14*CA14)^2)</f>
        <v/>
      </c>
      <c r="CA14" s="298">
        <f>0.5*((AE14-AF14)/60)</f>
        <v/>
      </c>
      <c r="CB14" s="497">
        <f>AD14/$G$5*10^((K14-$AD$42)/10)</f>
        <v/>
      </c>
      <c r="CC14" s="300">
        <f>IF(CD14=0,0,4.34*(CB14/CD14))</f>
        <v/>
      </c>
      <c r="CD14" s="300">
        <f>AD14/60</f>
        <v/>
      </c>
      <c r="CF14" s="496">
        <f>IF((CI14^2*(I14^2+$G$3^2+$G$4^2)&gt;0),(CI14^2*(I14^2+$G$3^2+$G$4^2)),0)</f>
        <v/>
      </c>
      <c r="CG14" s="297">
        <f>IF(CF14=0,0,(CJ14*CH14)^2)</f>
        <v/>
      </c>
      <c r="CH14" s="298">
        <f>0.5*((AH14-AI14)/60)</f>
        <v/>
      </c>
      <c r="CI14" s="497">
        <f>AG14/$G$5*10^((K14-$AG$42)/10)</f>
        <v/>
      </c>
      <c r="CJ14" s="300">
        <f>IF(CK14=0,0,4.34*(CI14/CK14))</f>
        <v/>
      </c>
      <c r="CK14" s="300">
        <f>AG14/60</f>
        <v/>
      </c>
      <c r="CN14" s="183">
        <f>O14/$G$5*10^(K14/10)</f>
        <v/>
      </c>
      <c r="CO14" s="183">
        <f>R14/$G$5*10^(K14/10)</f>
        <v/>
      </c>
      <c r="CP14" s="183">
        <f>U14/$G$5*10^(K14/10)</f>
        <v/>
      </c>
      <c r="CQ14" s="183">
        <f>X14/$G$5*10^(K14/10)</f>
        <v/>
      </c>
      <c r="CR14" s="183">
        <f>AA14/$G$5*10^(K14/10)</f>
        <v/>
      </c>
      <c r="CS14" s="183">
        <f>AD14/$G$5*10^(K14/10)</f>
        <v/>
      </c>
      <c r="CT14" s="183">
        <f>AG14/$G$5*10^(K14/10)</f>
        <v/>
      </c>
      <c r="CU14" s="183">
        <f>O14/$G$5*10^(AM14/10)</f>
        <v/>
      </c>
      <c r="CV14" s="183">
        <f>R14/$G$5*10^(AM14/10)</f>
        <v/>
      </c>
      <c r="CW14" s="183">
        <f>U14/$G$5*10^(AM14/10)</f>
        <v/>
      </c>
      <c r="CX14" s="183">
        <f>X14/$G$5*10^(AM14/10)</f>
        <v/>
      </c>
      <c r="CY14" s="183">
        <f>AA14/$G$5*10^(AM14/10)</f>
        <v/>
      </c>
      <c r="CZ14" s="183">
        <f>AD14/$G$5*10^(AM14/10)</f>
        <v/>
      </c>
      <c r="DA14" s="183">
        <f>AG14/$G$5*10^(AM14/10)</f>
        <v/>
      </c>
      <c r="DB14" s="388">
        <f>IF(K14&gt;80,O14,"")</f>
        <v/>
      </c>
      <c r="DC14" s="388">
        <f>IF(K14&gt;80,O14/$DB$10*10^(L14/10),"")</f>
        <v/>
      </c>
      <c r="DD14" s="388">
        <f>IF(K14&gt;80,O14/$DB$10*10^(K14/10),"")</f>
        <v/>
      </c>
      <c r="DF14" s="184" t="n"/>
    </row>
    <row r="15" ht="27" customHeight="1" s="444">
      <c r="C15" s="264">
        <f>IF(AK15="0","T",IF((K15-AK15)&lt;65,"I",IF((K15-AK15)&lt;70,"K",IF((K15-AK15)&lt;75,"J",IF((K15-AK15)&lt;80,"K","L")))))</f>
        <v/>
      </c>
      <c r="D15" s="273">
        <f>IF(J15&lt;135,"T",IF((J15-$J$69)&lt;135,"J","L"))</f>
        <v/>
      </c>
      <c r="E15" s="267" t="n">
        <v>80</v>
      </c>
      <c r="F15" s="22">
        <f>VLOOKUP(E15,Misure_Campionate,2,FALSE)</f>
        <v/>
      </c>
      <c r="G15" s="22">
        <f>VLOOKUP(E15,Misure_Campionate,3,FALSE)</f>
        <v/>
      </c>
      <c r="H15" s="22">
        <f>VLOOKUP(E15,Misure_Campionate,4,FALSE)</f>
        <v/>
      </c>
      <c r="I15" s="63">
        <f>VLOOKUP(E15,Misure_Campionate,12,FALSE)</f>
        <v/>
      </c>
      <c r="J15" s="63">
        <f>VLOOKUP(E15,Misure_Campionate,13,FALSE)</f>
        <v/>
      </c>
      <c r="K15" s="64">
        <f>VLOOKUP(E15,Misure_Campionate,14,FALSE)</f>
        <v/>
      </c>
      <c r="L15" s="16">
        <f>VLOOKUP(E15,Misure_Campionate,15,FALSE)</f>
        <v/>
      </c>
      <c r="M15" s="23">
        <f>IF(AND($O$47&gt;87,K15&gt;80),AK15,0)</f>
        <v/>
      </c>
      <c r="N15" s="262">
        <f>IF(M15=0,"",K15-M15)</f>
        <v/>
      </c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>
        <v>100</v>
      </c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89" t="n"/>
      <c r="AK15" s="151">
        <f>IF(K15&lt;80,"0",IF((L15-K15)&lt;=2,($L$66-(($K$66-$L$66)/4)*(L15-K15-2)),($L$66-(($L$66-$M$66)/8)*(L15-K15-2))))</f>
        <v/>
      </c>
      <c r="AL15" s="111">
        <f>IF(J15&lt;135,"",J15-$J$69)</f>
        <v/>
      </c>
      <c r="AM15" s="111">
        <f>K15-AK15</f>
        <v/>
      </c>
      <c r="AN15" s="151">
        <f>O15/$G$5*10^(AM15/10)</f>
        <v/>
      </c>
      <c r="AO15" s="84" t="n"/>
      <c r="AP15" s="469">
        <f>IF((AS15^2*(I15^2+$G$3^2+$G$4^2)&gt;0),(AS15^2*(I15^2+$G$3^2+$G$4^2)),0)</f>
        <v/>
      </c>
      <c r="AQ15" s="180">
        <f>IF(AP15=0,0,(AT15*AR15)^2)</f>
        <v/>
      </c>
      <c r="AR15" s="181">
        <f>0.5*((P15-Q15)/60)</f>
        <v/>
      </c>
      <c r="AS15" s="470">
        <f>O15/$G$5*10^((K15-$O$42)/10)</f>
        <v/>
      </c>
      <c r="AT15" s="397">
        <f>IF(AU15=0,0,4.34*(AS15/AU15))</f>
        <v/>
      </c>
      <c r="AU15" s="183">
        <f>O15/60</f>
        <v/>
      </c>
      <c r="AW15" s="496">
        <f>IF((AZ15^2*(I15^2+$G$3^2+$G$4^2)&gt;0),(AZ15^2*(I15^2+$G$3^2+$G$4^2)),0)</f>
        <v/>
      </c>
      <c r="AX15" s="297">
        <f>IF(AW15=0,0,(BA15*AY15)^2)</f>
        <v/>
      </c>
      <c r="AY15" s="298">
        <f>0.5*((S15-T15)/60)</f>
        <v/>
      </c>
      <c r="AZ15" s="497">
        <f>R15/$G$5*10^((K15-$R$42)/10)</f>
        <v/>
      </c>
      <c r="BA15" s="300">
        <f>IF(BB15=0,0,4.34*(AZ15/BB15))</f>
        <v/>
      </c>
      <c r="BB15" s="300">
        <f>R15/60</f>
        <v/>
      </c>
      <c r="BD15" s="496">
        <f>IF((BG15^2*(I15^2+$G$3^2+$G$4^2)&gt;0),(BG15^2*(I15^2+$G$3^2+$G$4^2)),0)</f>
        <v/>
      </c>
      <c r="BE15" s="297">
        <f>IF(BD15=0,0,(BH15*BF15)^2)</f>
        <v/>
      </c>
      <c r="BF15" s="298">
        <f>0.5*((V15-W15)/60)</f>
        <v/>
      </c>
      <c r="BG15" s="497">
        <f>U15/$G$5*10^((K15-$U$42)/10)</f>
        <v/>
      </c>
      <c r="BH15" s="300">
        <f>IF(BI15=0,0,4.34*(BG15/BI15))</f>
        <v/>
      </c>
      <c r="BI15" s="300">
        <f>U15/60</f>
        <v/>
      </c>
      <c r="BK15" s="496">
        <f>IF((BN15^2*(I15^2+$G$3^2+$G$4^2)&gt;0),(BN15^2*(I15^2+$G$3^2+$G$4^2)),0)</f>
        <v/>
      </c>
      <c r="BL15" s="297">
        <f>IF(BK15=0,0,(BO15*BM15)^2)</f>
        <v/>
      </c>
      <c r="BM15" s="298">
        <f>0.5*((Y15-Z15)/60)</f>
        <v/>
      </c>
      <c r="BN15" s="497">
        <f>(X15/$G$5)*(10^((K15-$X$42)*0.1))</f>
        <v/>
      </c>
      <c r="BO15" s="300">
        <f>IF(BP15=0,0,(4.34*(BN15/BP15)))</f>
        <v/>
      </c>
      <c r="BP15" s="300">
        <f>X15/60</f>
        <v/>
      </c>
      <c r="BR15" s="496">
        <f>IF((BU15^2*(I15^2+$G$3^2+$G$4^2)&gt;0),(BU15^2*(I15^2+$G$3^2+$G$4^2)),0)</f>
        <v/>
      </c>
      <c r="BS15" s="297">
        <f>IF(BR15=0,0,(BV15*BT15)^2)</f>
        <v/>
      </c>
      <c r="BT15" s="298">
        <f>0.5*((AB15-AC15)/60)</f>
        <v/>
      </c>
      <c r="BU15" s="497">
        <f>AA15/$G$5*10^((K15-$AA$42)/10)</f>
        <v/>
      </c>
      <c r="BV15" s="300">
        <f>IF(BW15=0,0,4.34*(BU15/BW15))</f>
        <v/>
      </c>
      <c r="BW15" s="300">
        <f>AA15/60</f>
        <v/>
      </c>
      <c r="BY15" s="496">
        <f>IF((CB15^2*(I15^2+$G$3^2+$G$4^2)&gt;0),(CB15^2*(I15^2+$G$3^2+$G$4^2)),0)</f>
        <v/>
      </c>
      <c r="BZ15" s="297">
        <f>IF(BY15=0,0,(CC15*CA15)^2)</f>
        <v/>
      </c>
      <c r="CA15" s="298">
        <f>0.5*((AE15-AF15)/60)</f>
        <v/>
      </c>
      <c r="CB15" s="497">
        <f>AD15/$G$5*10^((K15-$AD$42)/10)</f>
        <v/>
      </c>
      <c r="CC15" s="300">
        <f>IF(CD15=0,0,4.34*(CB15/CD15))</f>
        <v/>
      </c>
      <c r="CD15" s="300">
        <f>AD15/60</f>
        <v/>
      </c>
      <c r="CF15" s="496">
        <f>IF((CI15^2*(I15^2+$G$3^2+$G$4^2)&gt;0),(CI15^2*(I15^2+$G$3^2+$G$4^2)),0)</f>
        <v/>
      </c>
      <c r="CG15" s="297">
        <f>IF(CF15=0,0,(CJ15*CH15)^2)</f>
        <v/>
      </c>
      <c r="CH15" s="298">
        <f>0.5*((AH15-AI15)/60)</f>
        <v/>
      </c>
      <c r="CI15" s="497">
        <f>AG15/$G$5*10^((K15-$AG$42)/10)</f>
        <v/>
      </c>
      <c r="CJ15" s="300">
        <f>IF(CK15=0,0,4.34*(CI15/CK15))</f>
        <v/>
      </c>
      <c r="CK15" s="300">
        <f>AG15/60</f>
        <v/>
      </c>
      <c r="CN15" s="183">
        <f>O15/$G$5*10^(K15/10)</f>
        <v/>
      </c>
      <c r="CO15" s="183">
        <f>R15/$G$5*10^(K15/10)</f>
        <v/>
      </c>
      <c r="CP15" s="183">
        <f>U15/$G$5*10^(K15/10)</f>
        <v/>
      </c>
      <c r="CQ15" s="183">
        <f>X15/$G$5*10^(K15/10)</f>
        <v/>
      </c>
      <c r="CR15" s="183">
        <f>AA15/$G$5*10^(K15/10)</f>
        <v/>
      </c>
      <c r="CS15" s="183">
        <f>AD15/$G$5*10^(K15/10)</f>
        <v/>
      </c>
      <c r="CT15" s="183">
        <f>AG15/$G$5*10^(K15/10)</f>
        <v/>
      </c>
      <c r="CU15" s="183">
        <f>O15/$G$5*10^(AM15/10)</f>
        <v/>
      </c>
      <c r="CV15" s="183">
        <f>R15/$G$5*10^(AM15/10)</f>
        <v/>
      </c>
      <c r="CW15" s="183">
        <f>U15/$G$5*10^(AM15/10)</f>
        <v/>
      </c>
      <c r="CX15" s="183">
        <f>X15/$G$5*10^(AM15/10)</f>
        <v/>
      </c>
      <c r="CY15" s="183">
        <f>AA15/$G$5*10^(AM15/10)</f>
        <v/>
      </c>
      <c r="CZ15" s="183">
        <f>AD15/$G$5*10^(AM15/10)</f>
        <v/>
      </c>
      <c r="DA15" s="183">
        <f>AG15/$G$5*10^(AM15/10)</f>
        <v/>
      </c>
      <c r="DB15" s="388">
        <f>IF(K15&gt;80,O15,"")</f>
        <v/>
      </c>
      <c r="DC15" s="388">
        <f>IF(K15&gt;80,O15/$DB$10*10^(L15/10),"")</f>
        <v/>
      </c>
      <c r="DD15" s="388">
        <f>IF(K15&gt;80,O15/$DB$10*10^(K15/10),"")</f>
        <v/>
      </c>
      <c r="DF15" s="184" t="n"/>
    </row>
    <row r="16" ht="27" customHeight="1" s="444">
      <c r="C16" s="264">
        <f>IF(AK16="0","T",IF((K16-AK16)&lt;65,"I",IF((K16-AK16)&lt;70,"K",IF((K16-AK16)&lt;75,"J",IF((K16-AK16)&lt;80,"K","L")))))</f>
        <v/>
      </c>
      <c r="D16" s="273">
        <f>IF(J16&lt;135,"T",IF((J16-$J$69)&lt;135,"J","L"))</f>
        <v/>
      </c>
      <c r="E16" s="267" t="n">
        <v>14</v>
      </c>
      <c r="F16" s="22">
        <f>VLOOKUP(E16,Misure_Campionate,2,FALSE)</f>
        <v/>
      </c>
      <c r="G16" s="22">
        <f>VLOOKUP(E16,Misure_Campionate,3,FALSE)</f>
        <v/>
      </c>
      <c r="H16" s="22">
        <f>VLOOKUP(E16,Misure_Campionate,4,FALSE)</f>
        <v/>
      </c>
      <c r="I16" s="63">
        <f>VLOOKUP(E16,Misure_Campionate,12,FALSE)</f>
        <v/>
      </c>
      <c r="J16" s="63">
        <f>VLOOKUP(E16,Misure_Campionate,13,FALSE)</f>
        <v/>
      </c>
      <c r="K16" s="64">
        <f>VLOOKUP(E16,Misure_Campionate,14,FALSE)</f>
        <v/>
      </c>
      <c r="L16" s="16">
        <f>VLOOKUP(E16,Misure_Campionate,15,FALSE)</f>
        <v/>
      </c>
      <c r="M16" s="23">
        <f>IF(AND($O$47&gt;87,K16&gt;80),AK16,0)</f>
        <v/>
      </c>
      <c r="N16" s="262">
        <f>IF(M16=0,"",K16-M16)</f>
        <v/>
      </c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>
        <v>30</v>
      </c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89" t="n"/>
      <c r="AK16" s="151">
        <f>IF(K16&lt;80,"0",IF((L16-K16)&lt;=2,($L$66-(($K$66-$L$66)/4)*(L16-K16-2)),($L$66-(($L$66-$M$66)/8)*(L16-K16-2))))</f>
        <v/>
      </c>
      <c r="AL16" s="111">
        <f>IF(J16&lt;135,"",J16-$J$69)</f>
        <v/>
      </c>
      <c r="AM16" s="111">
        <f>K16-AK16</f>
        <v/>
      </c>
      <c r="AN16" s="151">
        <f>O16/$G$5*10^(AM16/10)</f>
        <v/>
      </c>
      <c r="AO16" s="84" t="n"/>
      <c r="AP16" s="469">
        <f>IF((AS16^2*(I16^2+$G$3^2+$G$4^2)&gt;0),(AS16^2*(I16^2+$G$3^2+$G$4^2)),0)</f>
        <v/>
      </c>
      <c r="AQ16" s="180">
        <f>IF(AP16=0,0,(AT16*AR16)^2)</f>
        <v/>
      </c>
      <c r="AR16" s="181">
        <f>0.5*((P16-Q16)/60)</f>
        <v/>
      </c>
      <c r="AS16" s="470">
        <f>O16/$G$5*10^((K16-$O$42)/10)</f>
        <v/>
      </c>
      <c r="AT16" s="397">
        <f>IF(AU16=0,0,4.34*(AS16/AU16))</f>
        <v/>
      </c>
      <c r="AU16" s="183">
        <f>O16/60</f>
        <v/>
      </c>
      <c r="AW16" s="496">
        <f>IF((AZ16^2*(I16^2+$G$3^2+$G$4^2)&gt;0),(AZ16^2*(I16^2+$G$3^2+$G$4^2)),0)</f>
        <v/>
      </c>
      <c r="AX16" s="297">
        <f>IF(AW16=0,0,(BA16*AY16)^2)</f>
        <v/>
      </c>
      <c r="AY16" s="298">
        <f>0.5*((S16-T16)/60)</f>
        <v/>
      </c>
      <c r="AZ16" s="497">
        <f>R16/$G$5*10^((K16-$R$42)/10)</f>
        <v/>
      </c>
      <c r="BA16" s="300">
        <f>IF(BB16=0,0,4.34*(AZ16/BB16))</f>
        <v/>
      </c>
      <c r="BB16" s="300">
        <f>R16/60</f>
        <v/>
      </c>
      <c r="BD16" s="496">
        <f>IF((BG16^2*(I16^2+$G$3^2+$G$4^2)&gt;0),(BG16^2*(I16^2+$G$3^2+$G$4^2)),0)</f>
        <v/>
      </c>
      <c r="BE16" s="297">
        <f>IF(BD16=0,0,(BH16*BF16)^2)</f>
        <v/>
      </c>
      <c r="BF16" s="298">
        <f>0.5*((V16-W16)/60)</f>
        <v/>
      </c>
      <c r="BG16" s="497">
        <f>U16/$G$5*10^((K16-$U$42)/10)</f>
        <v/>
      </c>
      <c r="BH16" s="300">
        <f>IF(BI16=0,0,4.34*(BG16/BI16))</f>
        <v/>
      </c>
      <c r="BI16" s="300">
        <f>U16/60</f>
        <v/>
      </c>
      <c r="BK16" s="496">
        <f>IF((BN16^2*(I16^2+$G$3^2+$G$4^2)&gt;0),(BN16^2*(I16^2+$G$3^2+$G$4^2)),0)</f>
        <v/>
      </c>
      <c r="BL16" s="297">
        <f>IF(BK16=0,0,(BO16*BM16)^2)</f>
        <v/>
      </c>
      <c r="BM16" s="298">
        <f>0.5*((Y16-Z16)/60)</f>
        <v/>
      </c>
      <c r="BN16" s="497">
        <f>(X16/$G$5)*(10^((K16-$X$42)*0.1))</f>
        <v/>
      </c>
      <c r="BO16" s="300">
        <f>IF(BP16=0,0,(4.34*(BN16/BP16)))</f>
        <v/>
      </c>
      <c r="BP16" s="300">
        <f>X16/60</f>
        <v/>
      </c>
      <c r="BR16" s="496">
        <f>IF((BU16^2*(I16^2+$G$3^2+$G$4^2)&gt;0),(BU16^2*(I16^2+$G$3^2+$G$4^2)),0)</f>
        <v/>
      </c>
      <c r="BS16" s="297">
        <f>IF(BR16=0,0,(BV16*BT16)^2)</f>
        <v/>
      </c>
      <c r="BT16" s="298">
        <f>0.5*((AB16-AC16)/60)</f>
        <v/>
      </c>
      <c r="BU16" s="497">
        <f>AA16/$G$5*10^((K16-$AA$42)/10)</f>
        <v/>
      </c>
      <c r="BV16" s="300">
        <f>IF(BW16=0,0,4.34*(BU16/BW16))</f>
        <v/>
      </c>
      <c r="BW16" s="300">
        <f>AA16/60</f>
        <v/>
      </c>
      <c r="BY16" s="496">
        <f>IF((CB16^2*(I16^2+$G$3^2+$G$4^2)&gt;0),(CB16^2*(I16^2+$G$3^2+$G$4^2)),0)</f>
        <v/>
      </c>
      <c r="BZ16" s="297">
        <f>IF(BY16=0,0,(CC16*CA16)^2)</f>
        <v/>
      </c>
      <c r="CA16" s="298">
        <f>0.5*((AE16-AF16)/60)</f>
        <v/>
      </c>
      <c r="CB16" s="497">
        <f>AD16/$G$5*10^((K16-$AD$42)/10)</f>
        <v/>
      </c>
      <c r="CC16" s="300">
        <f>IF(CD16=0,0,4.34*(CB16/CD16))</f>
        <v/>
      </c>
      <c r="CD16" s="300">
        <f>AD16/60</f>
        <v/>
      </c>
      <c r="CF16" s="496">
        <f>IF((CI16^2*(I16^2+$G$3^2+$G$4^2)&gt;0),(CI16^2*(I16^2+$G$3^2+$G$4^2)),0)</f>
        <v/>
      </c>
      <c r="CG16" s="297">
        <f>IF(CF16=0,0,(CJ16*CH16)^2)</f>
        <v/>
      </c>
      <c r="CH16" s="298">
        <f>0.5*((AH16-AI16)/60)</f>
        <v/>
      </c>
      <c r="CI16" s="497">
        <f>AG16/$G$5*10^((K16-$AG$42)/10)</f>
        <v/>
      </c>
      <c r="CJ16" s="300">
        <f>IF(CK16=0,0,4.34*(CI16/CK16))</f>
        <v/>
      </c>
      <c r="CK16" s="300">
        <f>AG16/60</f>
        <v/>
      </c>
      <c r="CN16" s="183">
        <f>O16/$G$5*10^(K16/10)</f>
        <v/>
      </c>
      <c r="CO16" s="183">
        <f>R16/$G$5*10^(K16/10)</f>
        <v/>
      </c>
      <c r="CP16" s="183">
        <f>U16/$G$5*10^(K16/10)</f>
        <v/>
      </c>
      <c r="CQ16" s="183">
        <f>X16/$G$5*10^(K16/10)</f>
        <v/>
      </c>
      <c r="CR16" s="183">
        <f>AA16/$G$5*10^(K16/10)</f>
        <v/>
      </c>
      <c r="CS16" s="183">
        <f>AD16/$G$5*10^(K16/10)</f>
        <v/>
      </c>
      <c r="CT16" s="183">
        <f>AG16/$G$5*10^(K16/10)</f>
        <v/>
      </c>
      <c r="CU16" s="183">
        <f>O16/$G$5*10^(AM16/10)</f>
        <v/>
      </c>
      <c r="CV16" s="183">
        <f>R16/$G$5*10^(AM16/10)</f>
        <v/>
      </c>
      <c r="CW16" s="183">
        <f>U16/$G$5*10^(AM16/10)</f>
        <v/>
      </c>
      <c r="CX16" s="183">
        <f>X16/$G$5*10^(AM16/10)</f>
        <v/>
      </c>
      <c r="CY16" s="183">
        <f>AA16/$G$5*10^(AM16/10)</f>
        <v/>
      </c>
      <c r="CZ16" s="183">
        <f>AD16/$G$5*10^(AM16/10)</f>
        <v/>
      </c>
      <c r="DA16" s="183">
        <f>AG16/$G$5*10^(AM16/10)</f>
        <v/>
      </c>
      <c r="DB16" s="388">
        <f>IF(K16&gt;80,O16,"")</f>
        <v/>
      </c>
      <c r="DC16" s="388">
        <f>IF(K16&gt;80,O16/$DB$10*10^(L16/10),"")</f>
        <v/>
      </c>
      <c r="DD16" s="388">
        <f>IF(K16&gt;80,O16/$DB$10*10^(K16/10),"")</f>
        <v/>
      </c>
      <c r="DF16" s="184" t="n"/>
    </row>
    <row r="17" ht="27" customHeight="1" s="444">
      <c r="C17" s="264">
        <f>IF(AK17="0","T",IF((K17-AK17)&lt;65,"I",IF((K17-AK17)&lt;70,"K",IF((K17-AK17)&lt;75,"J",IF((K17-AK17)&lt;80,"K","L")))))</f>
        <v/>
      </c>
      <c r="D17" s="273">
        <f>IF(J17&lt;135,"T",IF((J17-$J$69)&lt;135,"J","L"))</f>
        <v/>
      </c>
      <c r="E17" s="267" t="n">
        <v>52</v>
      </c>
      <c r="F17" s="22">
        <f>VLOOKUP(E17,Misure_Campionate,2,FALSE)</f>
        <v/>
      </c>
      <c r="G17" s="22">
        <f>VLOOKUP(E17,Misure_Campionate,3,FALSE)</f>
        <v/>
      </c>
      <c r="H17" s="22">
        <f>VLOOKUP(E17,Misure_Campionate,4,FALSE)</f>
        <v/>
      </c>
      <c r="I17" s="63">
        <f>VLOOKUP(E17,Misure_Campionate,12,FALSE)</f>
        <v/>
      </c>
      <c r="J17" s="63">
        <f>VLOOKUP(E17,Misure_Campionate,13,FALSE)</f>
        <v/>
      </c>
      <c r="K17" s="64">
        <f>VLOOKUP(E17,Misure_Campionate,14,FALSE)</f>
        <v/>
      </c>
      <c r="L17" s="16">
        <f>VLOOKUP(E17,Misure_Campionate,15,FALSE)</f>
        <v/>
      </c>
      <c r="M17" s="23">
        <f>IF(AND($O$47&gt;87,K17&gt;80),AK17,0)</f>
        <v/>
      </c>
      <c r="N17" s="262">
        <f>IF(M17=0,"",K17-M17)</f>
        <v/>
      </c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>
        <v>30</v>
      </c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89" t="n"/>
      <c r="AK17" s="151">
        <f>IF(K17&lt;80,"0",IF((L17-K17)&lt;=2,($L$66-(($K$66-$L$66)/4)*(L17-K17-2)),($L$66-(($L$66-$M$66)/8)*(L17-K17-2))))</f>
        <v/>
      </c>
      <c r="AL17" s="111">
        <f>IF(J17&lt;135,"",J17-$J$69)</f>
        <v/>
      </c>
      <c r="AM17" s="111">
        <f>K17-AK17</f>
        <v/>
      </c>
      <c r="AN17" s="151">
        <f>O17/$G$5*10^(AM17/10)</f>
        <v/>
      </c>
      <c r="AO17" s="84" t="n"/>
      <c r="AP17" s="469">
        <f>IF((AS17^2*(I17^2+$G$3^2+$G$4^2)&gt;0),(AS17^2*(I17^2+$G$3^2+$G$4^2)),0)</f>
        <v/>
      </c>
      <c r="AQ17" s="180">
        <f>IF(AP17=0,0,(AT17*AR17)^2)</f>
        <v/>
      </c>
      <c r="AR17" s="181">
        <f>0.5*((P17-Q17)/60)</f>
        <v/>
      </c>
      <c r="AS17" s="470">
        <f>O17/$G$5*10^((K17-$O$42)/10)</f>
        <v/>
      </c>
      <c r="AT17" s="397">
        <f>IF(AU17=0,0,4.34*(AS17/AU17))</f>
        <v/>
      </c>
      <c r="AU17" s="183">
        <f>O17/60</f>
        <v/>
      </c>
      <c r="AW17" s="496">
        <f>IF((AZ17^2*(I17^2+$G$3^2+$G$4^2)&gt;0),(AZ17^2*(I17^2+$G$3^2+$G$4^2)),0)</f>
        <v/>
      </c>
      <c r="AX17" s="297">
        <f>IF(AW17=0,0,(BA17*AY17)^2)</f>
        <v/>
      </c>
      <c r="AY17" s="298">
        <f>0.5*((S17-T17)/60)</f>
        <v/>
      </c>
      <c r="AZ17" s="497">
        <f>R17/$G$5*10^((K17-$R$42)/10)</f>
        <v/>
      </c>
      <c r="BA17" s="300">
        <f>IF(BB17=0,0,4.34*(AZ17/BB17))</f>
        <v/>
      </c>
      <c r="BB17" s="300">
        <f>R17/60</f>
        <v/>
      </c>
      <c r="BD17" s="496">
        <f>IF((BG17^2*(I17^2+$G$3^2+$G$4^2)&gt;0),(BG17^2*(I17^2+$G$3^2+$G$4^2)),0)</f>
        <v/>
      </c>
      <c r="BE17" s="297">
        <f>IF(BD17=0,0,(BH17*BF17)^2)</f>
        <v/>
      </c>
      <c r="BF17" s="298">
        <f>0.5*((V17-W17)/60)</f>
        <v/>
      </c>
      <c r="BG17" s="497">
        <f>U17/$G$5*10^((K17-$U$42)/10)</f>
        <v/>
      </c>
      <c r="BH17" s="300">
        <f>IF(BI17=0,0,4.34*(BG17/BI17))</f>
        <v/>
      </c>
      <c r="BI17" s="300">
        <f>U17/60</f>
        <v/>
      </c>
      <c r="BK17" s="496">
        <f>IF((BN17^2*(I17^2+$G$3^2+$G$4^2)&gt;0),(BN17^2*(I17^2+$G$3^2+$G$4^2)),0)</f>
        <v/>
      </c>
      <c r="BL17" s="297">
        <f>IF(BK17=0,0,(BO17*BM17)^2)</f>
        <v/>
      </c>
      <c r="BM17" s="298">
        <f>0.5*((Y17-Z17)/60)</f>
        <v/>
      </c>
      <c r="BN17" s="497">
        <f>(X17/$G$5)*(10^((K17-$X$42)*0.1))</f>
        <v/>
      </c>
      <c r="BO17" s="300">
        <f>IF(BP17=0,0,(4.34*(BN17/BP17)))</f>
        <v/>
      </c>
      <c r="BP17" s="300">
        <f>X17/60</f>
        <v/>
      </c>
      <c r="BR17" s="496">
        <f>IF((BU17^2*(I17^2+$G$3^2+$G$4^2)&gt;0),(BU17^2*(I17^2+$G$3^2+$G$4^2)),0)</f>
        <v/>
      </c>
      <c r="BS17" s="297">
        <f>IF(BR17=0,0,(BV17*BT17)^2)</f>
        <v/>
      </c>
      <c r="BT17" s="298">
        <f>0.5*((AB17-AC17)/60)</f>
        <v/>
      </c>
      <c r="BU17" s="497">
        <f>AA17/$G$5*10^((K17-$AA$42)/10)</f>
        <v/>
      </c>
      <c r="BV17" s="300">
        <f>IF(BW17=0,0,4.34*(BU17/BW17))</f>
        <v/>
      </c>
      <c r="BW17" s="300">
        <f>AA17/60</f>
        <v/>
      </c>
      <c r="BY17" s="496">
        <f>IF((CB17^2*(I17^2+$G$3^2+$G$4^2)&gt;0),(CB17^2*(I17^2+$G$3^2+$G$4^2)),0)</f>
        <v/>
      </c>
      <c r="BZ17" s="297">
        <f>IF(BY17=0,0,(CC17*CA17)^2)</f>
        <v/>
      </c>
      <c r="CA17" s="298">
        <f>0.5*((AE17-AF17)/60)</f>
        <v/>
      </c>
      <c r="CB17" s="497">
        <f>AD17/$G$5*10^((K17-$AD$42)/10)</f>
        <v/>
      </c>
      <c r="CC17" s="300">
        <f>IF(CD17=0,0,4.34*(CB17/CD17))</f>
        <v/>
      </c>
      <c r="CD17" s="300">
        <f>AD17/60</f>
        <v/>
      </c>
      <c r="CF17" s="496">
        <f>IF((CI17^2*(I17^2+$G$3^2+$G$4^2)&gt;0),(CI17^2*(I17^2+$G$3^2+$G$4^2)),0)</f>
        <v/>
      </c>
      <c r="CG17" s="297">
        <f>IF(CF17=0,0,(CJ17*CH17)^2)</f>
        <v/>
      </c>
      <c r="CH17" s="298">
        <f>0.5*((AH17-AI17)/60)</f>
        <v/>
      </c>
      <c r="CI17" s="497">
        <f>AG17/$G$5*10^((K17-$AG$42)/10)</f>
        <v/>
      </c>
      <c r="CJ17" s="300">
        <f>IF(CK17=0,0,4.34*(CI17/CK17))</f>
        <v/>
      </c>
      <c r="CK17" s="300">
        <f>AG17/60</f>
        <v/>
      </c>
      <c r="CN17" s="183">
        <f>O17/$G$5*10^(K17/10)</f>
        <v/>
      </c>
      <c r="CO17" s="183">
        <f>R17/$G$5*10^(K17/10)</f>
        <v/>
      </c>
      <c r="CP17" s="183">
        <f>U17/$G$5*10^(K17/10)</f>
        <v/>
      </c>
      <c r="CQ17" s="183">
        <f>X17/$G$5*10^(K17/10)</f>
        <v/>
      </c>
      <c r="CR17" s="183">
        <f>AA17/$G$5*10^(K17/10)</f>
        <v/>
      </c>
      <c r="CS17" s="183">
        <f>AD17/$G$5*10^(K17/10)</f>
        <v/>
      </c>
      <c r="CT17" s="183">
        <f>AG17/$G$5*10^(K17/10)</f>
        <v/>
      </c>
      <c r="CU17" s="183">
        <f>O17/$G$5*10^(AM17/10)</f>
        <v/>
      </c>
      <c r="CV17" s="183">
        <f>R17/$G$5*10^(AM17/10)</f>
        <v/>
      </c>
      <c r="CW17" s="183">
        <f>U17/$G$5*10^(AM17/10)</f>
        <v/>
      </c>
      <c r="CX17" s="183">
        <f>X17/$G$5*10^(AM17/10)</f>
        <v/>
      </c>
      <c r="CY17" s="183">
        <f>AA17/$G$5*10^(AM17/10)</f>
        <v/>
      </c>
      <c r="CZ17" s="183">
        <f>AD17/$G$5*10^(AM17/10)</f>
        <v/>
      </c>
      <c r="DA17" s="183">
        <f>AG17/$G$5*10^(AM17/10)</f>
        <v/>
      </c>
      <c r="DB17" s="388">
        <f>IF(K17&gt;80,O17,"")</f>
        <v/>
      </c>
      <c r="DC17" s="388">
        <f>IF(K17&gt;80,O17/$DB$10*10^(L17/10),"")</f>
        <v/>
      </c>
      <c r="DD17" s="388">
        <f>IF(K17&gt;80,O17/$DB$10*10^(K17/10),"")</f>
        <v/>
      </c>
      <c r="DF17" s="184" t="n"/>
    </row>
    <row r="18" ht="27" customHeight="1" s="444">
      <c r="C18" s="264">
        <f>IF(AK18="0","T",IF((K18-AK18)&lt;65,"I",IF((K18-AK18)&lt;70,"K",IF((K18-AK18)&lt;75,"J",IF((K18-AK18)&lt;80,"K","L")))))</f>
        <v/>
      </c>
      <c r="D18" s="273">
        <f>IF(J18&lt;135,"T",IF((J18-$J$69)&lt;135,"J","L"))</f>
        <v/>
      </c>
      <c r="E18" s="267" t="n">
        <v>23</v>
      </c>
      <c r="F18" s="22">
        <f>VLOOKUP(E18,Misure_Campionate,2,FALSE)</f>
        <v/>
      </c>
      <c r="G18" s="22">
        <f>VLOOKUP(E18,Misure_Campionate,3,FALSE)</f>
        <v/>
      </c>
      <c r="H18" s="22">
        <f>VLOOKUP(E18,Misure_Campionate,4,FALSE)</f>
        <v/>
      </c>
      <c r="I18" s="63">
        <f>VLOOKUP(E18,Misure_Campionate,12,FALSE)</f>
        <v/>
      </c>
      <c r="J18" s="63">
        <f>VLOOKUP(E18,Misure_Campionate,13,FALSE)</f>
        <v/>
      </c>
      <c r="K18" s="64">
        <f>VLOOKUP(E18,Misure_Campionate,14,FALSE)</f>
        <v/>
      </c>
      <c r="L18" s="16">
        <f>VLOOKUP(E18,Misure_Campionate,15,FALSE)</f>
        <v/>
      </c>
      <c r="M18" s="23">
        <f>IF(AND($O$47&gt;87,K18&gt;80),AK18,0)</f>
        <v/>
      </c>
      <c r="N18" s="262">
        <f>IF(M18=0,"",K18-M18)</f>
        <v/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>
        <v>30</v>
      </c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89" t="n"/>
      <c r="AK18" s="151">
        <f>IF(K18&lt;80,"0",IF((L18-K18)&lt;=2,($L$66-(($K$66-$L$66)/4)*(L18-K18-2)),($L$66-(($L$66-$M$66)/8)*(L18-K18-2))))</f>
        <v/>
      </c>
      <c r="AL18" s="111">
        <f>IF(J18&lt;135,"",J18-$J$69)</f>
        <v/>
      </c>
      <c r="AM18" s="111">
        <f>K18-AK18</f>
        <v/>
      </c>
      <c r="AN18" s="151">
        <f>O18/$G$5*10^(AM18/10)</f>
        <v/>
      </c>
      <c r="AO18" s="84" t="n"/>
      <c r="AP18" s="469">
        <f>IF((AS18^2*(I18^2+$G$3^2+$G$4^2)&gt;0),(AS18^2*(I18^2+$G$3^2+$G$4^2)),0)</f>
        <v/>
      </c>
      <c r="AQ18" s="180">
        <f>IF(AP18=0,0,(AT18*AR18)^2)</f>
        <v/>
      </c>
      <c r="AR18" s="181">
        <f>0.5*((P18-Q18)/60)</f>
        <v/>
      </c>
      <c r="AS18" s="470">
        <f>O18/$G$5*10^((K18-$O$42)/10)</f>
        <v/>
      </c>
      <c r="AT18" s="397">
        <f>IF(AU18=0,0,4.34*(AS18/AU18))</f>
        <v/>
      </c>
      <c r="AU18" s="183">
        <f>O18/60</f>
        <v/>
      </c>
      <c r="AW18" s="496">
        <f>IF((AZ18^2*(I18^2+$G$3^2+$G$4^2)&gt;0),(AZ18^2*(I18^2+$G$3^2+$G$4^2)),0)</f>
        <v/>
      </c>
      <c r="AX18" s="297">
        <f>IF(AW18=0,0,(BA18*AY18)^2)</f>
        <v/>
      </c>
      <c r="AY18" s="298">
        <f>0.5*((S18-T18)/60)</f>
        <v/>
      </c>
      <c r="AZ18" s="497">
        <f>R18/$G$5*10^((K18-$R$42)/10)</f>
        <v/>
      </c>
      <c r="BA18" s="300">
        <f>IF(BB18=0,0,4.34*(AZ18/BB18))</f>
        <v/>
      </c>
      <c r="BB18" s="300">
        <f>R18/60</f>
        <v/>
      </c>
      <c r="BD18" s="496">
        <f>IF((BG18^2*(I18^2+$G$3^2+$G$4^2)&gt;0),(BG18^2*(I18^2+$G$3^2+$G$4^2)),0)</f>
        <v/>
      </c>
      <c r="BE18" s="297">
        <f>IF(BD18=0,0,(BH18*BF18)^2)</f>
        <v/>
      </c>
      <c r="BF18" s="298">
        <f>0.5*((V18-W18)/60)</f>
        <v/>
      </c>
      <c r="BG18" s="497">
        <f>U18/$G$5*10^((K18-$U$42)/10)</f>
        <v/>
      </c>
      <c r="BH18" s="300">
        <f>IF(BI18=0,0,4.34*(BG18/BI18))</f>
        <v/>
      </c>
      <c r="BI18" s="300">
        <f>U18/60</f>
        <v/>
      </c>
      <c r="BK18" s="496">
        <f>IF((BN18^2*(I18^2+$G$3^2+$G$4^2)&gt;0),(BN18^2*(I18^2+$G$3^2+$G$4^2)),0)</f>
        <v/>
      </c>
      <c r="BL18" s="297">
        <f>IF(BK18=0,0,(BO18*BM18)^2)</f>
        <v/>
      </c>
      <c r="BM18" s="298">
        <f>0.5*((Y18-Z18)/60)</f>
        <v/>
      </c>
      <c r="BN18" s="497">
        <f>(X18/$G$5)*(10^((K18-$X$42)*0.1))</f>
        <v/>
      </c>
      <c r="BO18" s="300">
        <f>IF(BP18=0,0,(4.34*(BN18/BP18)))</f>
        <v/>
      </c>
      <c r="BP18" s="300">
        <f>X18/60</f>
        <v/>
      </c>
      <c r="BR18" s="496">
        <f>IF((BU18^2*(I18^2+$G$3^2+$G$4^2)&gt;0),(BU18^2*(I18^2+$G$3^2+$G$4^2)),0)</f>
        <v/>
      </c>
      <c r="BS18" s="297">
        <f>IF(BR18=0,0,(BV18*BT18)^2)</f>
        <v/>
      </c>
      <c r="BT18" s="298">
        <f>0.5*((AB18-AC18)/60)</f>
        <v/>
      </c>
      <c r="BU18" s="497">
        <f>AA18/$G$5*10^((K18-$AA$42)/10)</f>
        <v/>
      </c>
      <c r="BV18" s="300">
        <f>IF(BW18=0,0,4.34*(BU18/BW18))</f>
        <v/>
      </c>
      <c r="BW18" s="300">
        <f>AA18/60</f>
        <v/>
      </c>
      <c r="BY18" s="496">
        <f>IF((CB18^2*(I18^2+$G$3^2+$G$4^2)&gt;0),(CB18^2*(I18^2+$G$3^2+$G$4^2)),0)</f>
        <v/>
      </c>
      <c r="BZ18" s="297">
        <f>IF(BY18=0,0,(CC18*CA18)^2)</f>
        <v/>
      </c>
      <c r="CA18" s="298">
        <f>0.5*((AE18-AF18)/60)</f>
        <v/>
      </c>
      <c r="CB18" s="497">
        <f>AD18/$G$5*10^((K18-$AD$42)/10)</f>
        <v/>
      </c>
      <c r="CC18" s="300">
        <f>IF(CD18=0,0,4.34*(CB18/CD18))</f>
        <v/>
      </c>
      <c r="CD18" s="300">
        <f>AD18/60</f>
        <v/>
      </c>
      <c r="CF18" s="496">
        <f>IF((CI18^2*(I18^2+$G$3^2+$G$4^2)&gt;0),(CI18^2*(I18^2+$G$3^2+$G$4^2)),0)</f>
        <v/>
      </c>
      <c r="CG18" s="297">
        <f>IF(CF18=0,0,(CJ18*CH18)^2)</f>
        <v/>
      </c>
      <c r="CH18" s="298">
        <f>0.5*((AH18-AI18)/60)</f>
        <v/>
      </c>
      <c r="CI18" s="497">
        <f>AG18/$G$5*10^((K18-$AG$42)/10)</f>
        <v/>
      </c>
      <c r="CJ18" s="300">
        <f>IF(CK18=0,0,4.34*(CI18/CK18))</f>
        <v/>
      </c>
      <c r="CK18" s="300">
        <f>AG18/60</f>
        <v/>
      </c>
      <c r="CN18" s="183">
        <f>O18/$G$5*10^(K18/10)</f>
        <v/>
      </c>
      <c r="CO18" s="183">
        <f>R18/$G$5*10^(K18/10)</f>
        <v/>
      </c>
      <c r="CP18" s="183">
        <f>U18/$G$5*10^(K18/10)</f>
        <v/>
      </c>
      <c r="CQ18" s="183">
        <f>X18/$G$5*10^(K18/10)</f>
        <v/>
      </c>
      <c r="CR18" s="183">
        <f>AA18/$G$5*10^(K18/10)</f>
        <v/>
      </c>
      <c r="CS18" s="183">
        <f>AD18/$G$5*10^(K18/10)</f>
        <v/>
      </c>
      <c r="CT18" s="183">
        <f>AG18/$G$5*10^(K18/10)</f>
        <v/>
      </c>
      <c r="CU18" s="183">
        <f>O18/$G$5*10^(AM18/10)</f>
        <v/>
      </c>
      <c r="CV18" s="183">
        <f>R18/$G$5*10^(AM18/10)</f>
        <v/>
      </c>
      <c r="CW18" s="183">
        <f>U18/$G$5*10^(AM18/10)</f>
        <v/>
      </c>
      <c r="CX18" s="183">
        <f>X18/$G$5*10^(AM18/10)</f>
        <v/>
      </c>
      <c r="CY18" s="183">
        <f>AA18/$G$5*10^(AM18/10)</f>
        <v/>
      </c>
      <c r="CZ18" s="183">
        <f>AD18/$G$5*10^(AM18/10)</f>
        <v/>
      </c>
      <c r="DA18" s="183">
        <f>AG18/$G$5*10^(AM18/10)</f>
        <v/>
      </c>
      <c r="DB18" s="388">
        <f>IF(K18&gt;80,O18,"")</f>
        <v/>
      </c>
      <c r="DC18" s="388">
        <f>IF(K18&gt;80,O18/$DB$10*10^(L18/10),"")</f>
        <v/>
      </c>
      <c r="DD18" s="388">
        <f>IF(K18&gt;80,O18/$DB$10*10^(K18/10),"")</f>
        <v/>
      </c>
      <c r="DF18" s="184" t="n"/>
    </row>
    <row r="19" ht="27" customHeight="1" s="444">
      <c r="C19" s="264">
        <f>IF(AK19="0","T",IF((K19-AK19)&lt;65,"I",IF((K19-AK19)&lt;70,"K",IF((K19-AK19)&lt;75,"J",IF((K19-AK19)&lt;80,"K","L")))))</f>
        <v/>
      </c>
      <c r="D19" s="273">
        <f>IF(J19&lt;135,"T",IF((J19-$J$69)&lt;135,"J","L"))</f>
        <v/>
      </c>
      <c r="E19" s="267" t="n">
        <v>66</v>
      </c>
      <c r="F19" s="22">
        <f>VLOOKUP(E19,Misure_Campionate,2,FALSE)</f>
        <v/>
      </c>
      <c r="G19" s="22">
        <f>VLOOKUP(E19,Misure_Campionate,3,FALSE)</f>
        <v/>
      </c>
      <c r="H19" s="22">
        <f>VLOOKUP(E19,Misure_Campionate,4,FALSE)</f>
        <v/>
      </c>
      <c r="I19" s="63">
        <f>VLOOKUP(E19,Misure_Campionate,12,FALSE)</f>
        <v/>
      </c>
      <c r="J19" s="63">
        <f>VLOOKUP(E19,Misure_Campionate,13,FALSE)</f>
        <v/>
      </c>
      <c r="K19" s="64">
        <f>VLOOKUP(E19,Misure_Campionate,14,FALSE)</f>
        <v/>
      </c>
      <c r="L19" s="16">
        <f>VLOOKUP(E19,Misure_Campionate,15,FALSE)</f>
        <v/>
      </c>
      <c r="M19" s="23">
        <f>IF(AND($O$47&gt;87,K19&gt;80),AK19,0)</f>
        <v/>
      </c>
      <c r="N19" s="262">
        <f>IF(M19=0,"",K19-M19)</f>
        <v/>
      </c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>
        <v>30</v>
      </c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89" t="n"/>
      <c r="AK19" s="151">
        <f>IF(K19&lt;80,"0",IF((L19-K19)&lt;=2,($L$66-(($K$66-$L$66)/4)*(L19-K19-2)),($L$66-(($L$66-$M$66)/8)*(L19-K19-2))))</f>
        <v/>
      </c>
      <c r="AL19" s="111">
        <f>IF(J19&lt;135,"",J19-$J$69)</f>
        <v/>
      </c>
      <c r="AM19" s="111">
        <f>K19-AK19</f>
        <v/>
      </c>
      <c r="AN19" s="151">
        <f>O19/$G$5*10^(AM19/10)</f>
        <v/>
      </c>
      <c r="AO19" s="84" t="n"/>
      <c r="AP19" s="469">
        <f>IF((AS19^2*(I19^2+$G$3^2+$G$4^2)&gt;0),(AS19^2*(I19^2+$G$3^2+$G$4^2)),0)</f>
        <v/>
      </c>
      <c r="AQ19" s="180">
        <f>IF(AP19=0,0,(AT19*AR19)^2)</f>
        <v/>
      </c>
      <c r="AR19" s="181">
        <f>0.5*((P19-Q19)/60)</f>
        <v/>
      </c>
      <c r="AS19" s="470">
        <f>O19/$G$5*10^((K19-$O$42)/10)</f>
        <v/>
      </c>
      <c r="AT19" s="397">
        <f>IF(AU19=0,0,4.34*(AS19/AU19))</f>
        <v/>
      </c>
      <c r="AU19" s="183">
        <f>O19/60</f>
        <v/>
      </c>
      <c r="AW19" s="496">
        <f>IF((AZ19^2*(I19^2+$G$3^2+$G$4^2)&gt;0),(AZ19^2*(I19^2+$G$3^2+$G$4^2)),0)</f>
        <v/>
      </c>
      <c r="AX19" s="297">
        <f>IF(AW19=0,0,(BA19*AY19)^2)</f>
        <v/>
      </c>
      <c r="AY19" s="298">
        <f>0.5*((S19-T19)/60)</f>
        <v/>
      </c>
      <c r="AZ19" s="497">
        <f>R19/$G$5*10^((K19-$R$42)/10)</f>
        <v/>
      </c>
      <c r="BA19" s="300">
        <f>IF(BB19=0,0,4.34*(AZ19/BB19))</f>
        <v/>
      </c>
      <c r="BB19" s="300">
        <f>R19/60</f>
        <v/>
      </c>
      <c r="BD19" s="496">
        <f>IF((BG19^2*(I19^2+$G$3^2+$G$4^2)&gt;0),(BG19^2*(I19^2+$G$3^2+$G$4^2)),0)</f>
        <v/>
      </c>
      <c r="BE19" s="297">
        <f>IF(BD19=0,0,(BH19*BF19)^2)</f>
        <v/>
      </c>
      <c r="BF19" s="298">
        <f>0.5*((V19-W19)/60)</f>
        <v/>
      </c>
      <c r="BG19" s="497">
        <f>U19/$G$5*10^((K19-$U$42)/10)</f>
        <v/>
      </c>
      <c r="BH19" s="300">
        <f>IF(BI19=0,0,4.34*(BG19/BI19))</f>
        <v/>
      </c>
      <c r="BI19" s="300">
        <f>U19/60</f>
        <v/>
      </c>
      <c r="BK19" s="496">
        <f>IF((BN19^2*(I19^2+$G$3^2+$G$4^2)&gt;0),(BN19^2*(I19^2+$G$3^2+$G$4^2)),0)</f>
        <v/>
      </c>
      <c r="BL19" s="297">
        <f>IF(BK19=0,0,(BO19*BM19)^2)</f>
        <v/>
      </c>
      <c r="BM19" s="298">
        <f>0.5*((Y19-Z19)/60)</f>
        <v/>
      </c>
      <c r="BN19" s="497">
        <f>(X19/$G$5)*(10^((K19-$X$42)*0.1))</f>
        <v/>
      </c>
      <c r="BO19" s="300">
        <f>IF(BP19=0,0,(4.34*(BN19/BP19)))</f>
        <v/>
      </c>
      <c r="BP19" s="300">
        <f>X19/60</f>
        <v/>
      </c>
      <c r="BR19" s="496">
        <f>IF((BU19^2*(I19^2+$G$3^2+$G$4^2)&gt;0),(BU19^2*(I19^2+$G$3^2+$G$4^2)),0)</f>
        <v/>
      </c>
      <c r="BS19" s="297">
        <f>IF(BR19=0,0,(BV19*BT19)^2)</f>
        <v/>
      </c>
      <c r="BT19" s="298">
        <f>0.5*((AB19-AC19)/60)</f>
        <v/>
      </c>
      <c r="BU19" s="497">
        <f>AA19/$G$5*10^((K19-$AA$42)/10)</f>
        <v/>
      </c>
      <c r="BV19" s="300">
        <f>IF(BW19=0,0,4.34*(BU19/BW19))</f>
        <v/>
      </c>
      <c r="BW19" s="300">
        <f>AA19/60</f>
        <v/>
      </c>
      <c r="BY19" s="496">
        <f>IF((CB19^2*(I19^2+$G$3^2+$G$4^2)&gt;0),(CB19^2*(I19^2+$G$3^2+$G$4^2)),0)</f>
        <v/>
      </c>
      <c r="BZ19" s="297">
        <f>IF(BY19=0,0,(CC19*CA19)^2)</f>
        <v/>
      </c>
      <c r="CA19" s="298">
        <f>0.5*((AE19-AF19)/60)</f>
        <v/>
      </c>
      <c r="CB19" s="497">
        <f>AD19/$G$5*10^((K19-$AD$42)/10)</f>
        <v/>
      </c>
      <c r="CC19" s="300">
        <f>IF(CD19=0,0,4.34*(CB19/CD19))</f>
        <v/>
      </c>
      <c r="CD19" s="300">
        <f>AD19/60</f>
        <v/>
      </c>
      <c r="CF19" s="496">
        <f>IF((CI19^2*(I19^2+$G$3^2+$G$4^2)&gt;0),(CI19^2*(I19^2+$G$3^2+$G$4^2)),0)</f>
        <v/>
      </c>
      <c r="CG19" s="297">
        <f>IF(CF19=0,0,(CJ19*CH19)^2)</f>
        <v/>
      </c>
      <c r="CH19" s="298">
        <f>0.5*((AH19-AI19)/60)</f>
        <v/>
      </c>
      <c r="CI19" s="497">
        <f>AG19/$G$5*10^((K19-$AG$42)/10)</f>
        <v/>
      </c>
      <c r="CJ19" s="300">
        <f>IF(CK19=0,0,4.34*(CI19/CK19))</f>
        <v/>
      </c>
      <c r="CK19" s="300">
        <f>AG19/60</f>
        <v/>
      </c>
      <c r="CN19" s="183">
        <f>O19/$G$5*10^(K19/10)</f>
        <v/>
      </c>
      <c r="CO19" s="183">
        <f>R19/$G$5*10^(K19/10)</f>
        <v/>
      </c>
      <c r="CP19" s="183">
        <f>U19/$G$5*10^(K19/10)</f>
        <v/>
      </c>
      <c r="CQ19" s="183">
        <f>X19/$G$5*10^(K19/10)</f>
        <v/>
      </c>
      <c r="CR19" s="183">
        <f>AA19/$G$5*10^(K19/10)</f>
        <v/>
      </c>
      <c r="CS19" s="183">
        <f>AD19/$G$5*10^(K19/10)</f>
        <v/>
      </c>
      <c r="CT19" s="183">
        <f>AG19/$G$5*10^(K19/10)</f>
        <v/>
      </c>
      <c r="CU19" s="183">
        <f>O19/$G$5*10^(AM19/10)</f>
        <v/>
      </c>
      <c r="CV19" s="183">
        <f>R19/$G$5*10^(AM19/10)</f>
        <v/>
      </c>
      <c r="CW19" s="183">
        <f>U19/$G$5*10^(AM19/10)</f>
        <v/>
      </c>
      <c r="CX19" s="183">
        <f>X19/$G$5*10^(AM19/10)</f>
        <v/>
      </c>
      <c r="CY19" s="183">
        <f>AA19/$G$5*10^(AM19/10)</f>
        <v/>
      </c>
      <c r="CZ19" s="183">
        <f>AD19/$G$5*10^(AM19/10)</f>
        <v/>
      </c>
      <c r="DA19" s="183">
        <f>AG19/$G$5*10^(AM19/10)</f>
        <v/>
      </c>
      <c r="DB19" s="388">
        <f>IF(K19&gt;80,O19,"")</f>
        <v/>
      </c>
      <c r="DC19" s="388">
        <f>IF(K19&gt;80,O19/$DB$10*10^(L19/10),"")</f>
        <v/>
      </c>
      <c r="DD19" s="388">
        <f>IF(K19&gt;80,O19/$DB$10*10^(K19/10),"")</f>
        <v/>
      </c>
      <c r="DF19" s="184" t="n"/>
    </row>
    <row r="20" ht="27" customHeight="1" s="444">
      <c r="C20" s="264">
        <f>IF(AK20="0","T",IF((K20-AK20)&lt;65,"I",IF((K20-AK20)&lt;70,"K",IF((K20-AK20)&lt;75,"J",IF((K20-AK20)&lt;80,"K","L")))))</f>
        <v/>
      </c>
      <c r="D20" s="273">
        <f>IF(J20&lt;135,"T",IF((J20-$J$69)&lt;135,"J","L"))</f>
        <v/>
      </c>
      <c r="E20" s="267" t="n">
        <v>73</v>
      </c>
      <c r="F20" s="22">
        <f>VLOOKUP(E20,Misure_Campionate,2,FALSE)</f>
        <v/>
      </c>
      <c r="G20" s="22">
        <f>VLOOKUP(E20,Misure_Campionate,3,FALSE)</f>
        <v/>
      </c>
      <c r="H20" s="22">
        <f>VLOOKUP(E20,Misure_Campionate,4,FALSE)</f>
        <v/>
      </c>
      <c r="I20" s="63">
        <f>VLOOKUP(E20,Misure_Campionate,12,FALSE)</f>
        <v/>
      </c>
      <c r="J20" s="63">
        <f>VLOOKUP(E20,Misure_Campionate,13,FALSE)</f>
        <v/>
      </c>
      <c r="K20" s="64">
        <f>VLOOKUP(E20,Misure_Campionate,14,FALSE)</f>
        <v/>
      </c>
      <c r="L20" s="16">
        <f>VLOOKUP(E20,Misure_Campionate,15,FALSE)</f>
        <v/>
      </c>
      <c r="M20" s="23">
        <f>IF(AND($O$47&gt;87,K20&gt;80),AK20,0)</f>
        <v/>
      </c>
      <c r="N20" s="262">
        <f>IF(M20=0,"",K20-M20)</f>
        <v/>
      </c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>
        <v>30</v>
      </c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89" t="n"/>
      <c r="AK20" s="151">
        <f>IF(K20&lt;80,"0",IF((L20-K20)&lt;=2,($L$66-(($K$66-$L$66)/4)*(L20-K20-2)),($L$66-(($L$66-$M$66)/8)*(L20-K20-2))))</f>
        <v/>
      </c>
      <c r="AL20" s="111">
        <f>IF(J20&lt;135,"",J20-$J$69)</f>
        <v/>
      </c>
      <c r="AM20" s="111">
        <f>K20-AK20</f>
        <v/>
      </c>
      <c r="AN20" s="151">
        <f>O20/$G$5*10^(AM20/10)</f>
        <v/>
      </c>
      <c r="AO20" s="84" t="n"/>
      <c r="AP20" s="469">
        <f>IF((AS20^2*(I20^2+$G$3^2+$G$4^2)&gt;0),(AS20^2*(I20^2+$G$3^2+$G$4^2)),0)</f>
        <v/>
      </c>
      <c r="AQ20" s="180">
        <f>IF(AP20=0,0,(AT20*AR20)^2)</f>
        <v/>
      </c>
      <c r="AR20" s="181">
        <f>0.5*((P20-Q20)/60)</f>
        <v/>
      </c>
      <c r="AS20" s="470">
        <f>O20/$G$5*10^((K20-$O$42)/10)</f>
        <v/>
      </c>
      <c r="AT20" s="397">
        <f>IF(AU20=0,0,4.34*(AS20/AU20))</f>
        <v/>
      </c>
      <c r="AU20" s="183">
        <f>O20/60</f>
        <v/>
      </c>
      <c r="AW20" s="496">
        <f>IF((AZ20^2*(I20^2+$G$3^2+$G$4^2)&gt;0),(AZ20^2*(I20^2+$G$3^2+$G$4^2)),0)</f>
        <v/>
      </c>
      <c r="AX20" s="297">
        <f>IF(AW20=0,0,(BA20*AY20)^2)</f>
        <v/>
      </c>
      <c r="AY20" s="298">
        <f>0.5*((S20-T20)/60)</f>
        <v/>
      </c>
      <c r="AZ20" s="497">
        <f>R20/$G$5*10^((K20-$R$42)/10)</f>
        <v/>
      </c>
      <c r="BA20" s="300">
        <f>IF(BB20=0,0,4.34*(AZ20/BB20))</f>
        <v/>
      </c>
      <c r="BB20" s="300">
        <f>R20/60</f>
        <v/>
      </c>
      <c r="BD20" s="496">
        <f>IF((BG20^2*(I20^2+$G$3^2+$G$4^2)&gt;0),(BG20^2*(I20^2+$G$3^2+$G$4^2)),0)</f>
        <v/>
      </c>
      <c r="BE20" s="297">
        <f>IF(BD20=0,0,(BH20*BF20)^2)</f>
        <v/>
      </c>
      <c r="BF20" s="298">
        <f>0.5*((V20-W20)/60)</f>
        <v/>
      </c>
      <c r="BG20" s="497">
        <f>U20/$G$5*10^((K20-$U$42)/10)</f>
        <v/>
      </c>
      <c r="BH20" s="300">
        <f>IF(BI20=0,0,4.34*(BG20/BI20))</f>
        <v/>
      </c>
      <c r="BI20" s="300">
        <f>U20/60</f>
        <v/>
      </c>
      <c r="BK20" s="496">
        <f>IF((BN20^2*(I20^2+$G$3^2+$G$4^2)&gt;0),(BN20^2*(I20^2+$G$3^2+$G$4^2)),0)</f>
        <v/>
      </c>
      <c r="BL20" s="297">
        <f>IF(BK20=0,0,(BO20*BM20)^2)</f>
        <v/>
      </c>
      <c r="BM20" s="298">
        <f>0.5*((Y20-Z20)/60)</f>
        <v/>
      </c>
      <c r="BN20" s="497">
        <f>(X20/$G$5)*(10^((K20-$X$42)*0.1))</f>
        <v/>
      </c>
      <c r="BO20" s="300">
        <f>IF(BP20=0,0,(4.34*(BN20/BP20)))</f>
        <v/>
      </c>
      <c r="BP20" s="300">
        <f>X20/60</f>
        <v/>
      </c>
      <c r="BR20" s="496">
        <f>IF((BU20^2*(I20^2+$G$3^2+$G$4^2)&gt;0),(BU20^2*(I20^2+$G$3^2+$G$4^2)),0)</f>
        <v/>
      </c>
      <c r="BS20" s="297">
        <f>IF(BR20=0,0,(BV20*BT20)^2)</f>
        <v/>
      </c>
      <c r="BT20" s="298">
        <f>0.5*((AB20-AC20)/60)</f>
        <v/>
      </c>
      <c r="BU20" s="497">
        <f>AA20/$G$5*10^((K20-$AA$42)/10)</f>
        <v/>
      </c>
      <c r="BV20" s="300">
        <f>IF(BW20=0,0,4.34*(BU20/BW20))</f>
        <v/>
      </c>
      <c r="BW20" s="300">
        <f>AA20/60</f>
        <v/>
      </c>
      <c r="BY20" s="496">
        <f>IF((CB20^2*(I20^2+$G$3^2+$G$4^2)&gt;0),(CB20^2*(I20^2+$G$3^2+$G$4^2)),0)</f>
        <v/>
      </c>
      <c r="BZ20" s="297">
        <f>IF(BY20=0,0,(CC20*CA20)^2)</f>
        <v/>
      </c>
      <c r="CA20" s="298">
        <f>0.5*((AE20-AF20)/60)</f>
        <v/>
      </c>
      <c r="CB20" s="497">
        <f>AD20/$G$5*10^((K20-$AD$42)/10)</f>
        <v/>
      </c>
      <c r="CC20" s="300">
        <f>IF(CD20=0,0,4.34*(CB20/CD20))</f>
        <v/>
      </c>
      <c r="CD20" s="300">
        <f>AD20/60</f>
        <v/>
      </c>
      <c r="CF20" s="496">
        <f>IF((CI20^2*(I20^2+$G$3^2+$G$4^2)&gt;0),(CI20^2*(I20^2+$G$3^2+$G$4^2)),0)</f>
        <v/>
      </c>
      <c r="CG20" s="297">
        <f>IF(CF20=0,0,(CJ20*CH20)^2)</f>
        <v/>
      </c>
      <c r="CH20" s="298">
        <f>0.5*((AH20-AI20)/60)</f>
        <v/>
      </c>
      <c r="CI20" s="497">
        <f>AG20/$G$5*10^((K20-$AG$42)/10)</f>
        <v/>
      </c>
      <c r="CJ20" s="300">
        <f>IF(CK20=0,0,4.34*(CI20/CK20))</f>
        <v/>
      </c>
      <c r="CK20" s="300">
        <f>AG20/60</f>
        <v/>
      </c>
      <c r="CN20" s="183">
        <f>O20/$G$5*10^(K20/10)</f>
        <v/>
      </c>
      <c r="CO20" s="183">
        <f>R20/$G$5*10^(K20/10)</f>
        <v/>
      </c>
      <c r="CP20" s="183">
        <f>U20/$G$5*10^(K20/10)</f>
        <v/>
      </c>
      <c r="CQ20" s="183">
        <f>X20/$G$5*10^(K20/10)</f>
        <v/>
      </c>
      <c r="CR20" s="183">
        <f>AA20/$G$5*10^(K20/10)</f>
        <v/>
      </c>
      <c r="CS20" s="183">
        <f>AD20/$G$5*10^(K20/10)</f>
        <v/>
      </c>
      <c r="CT20" s="183">
        <f>AG20/$G$5*10^(K20/10)</f>
        <v/>
      </c>
      <c r="CU20" s="183">
        <f>O20/$G$5*10^(AM20/10)</f>
        <v/>
      </c>
      <c r="CV20" s="183">
        <f>R20/$G$5*10^(AM20/10)</f>
        <v/>
      </c>
      <c r="CW20" s="183">
        <f>U20/$G$5*10^(AM20/10)</f>
        <v/>
      </c>
      <c r="CX20" s="183">
        <f>X20/$G$5*10^(AM20/10)</f>
        <v/>
      </c>
      <c r="CY20" s="183">
        <f>AA20/$G$5*10^(AM20/10)</f>
        <v/>
      </c>
      <c r="CZ20" s="183">
        <f>AD20/$G$5*10^(AM20/10)</f>
        <v/>
      </c>
      <c r="DA20" s="183">
        <f>AG20/$G$5*10^(AM20/10)</f>
        <v/>
      </c>
      <c r="DB20" s="388">
        <f>IF(K20&gt;80,O20,"")</f>
        <v/>
      </c>
      <c r="DC20" s="388">
        <f>IF(K20&gt;80,O20/$DB$10*10^(L20/10),"")</f>
        <v/>
      </c>
      <c r="DD20" s="388">
        <f>IF(K20&gt;80,O20/$DB$10*10^(K20/10),"")</f>
        <v/>
      </c>
      <c r="DF20" s="184" t="n"/>
    </row>
    <row r="21" ht="27" customHeight="1" s="444">
      <c r="C21" s="264">
        <f>IF(AK21="0","T",IF((K21-AK21)&lt;65,"I",IF((K21-AK21)&lt;70,"K",IF((K21-AK21)&lt;75,"J",IF((K21-AK21)&lt;80,"K","L")))))</f>
        <v/>
      </c>
      <c r="D21" s="273">
        <f>IF(J21&lt;135,"T",IF((J21-$J$69)&lt;135,"J","L"))</f>
        <v/>
      </c>
      <c r="E21" s="267" t="n">
        <v>87</v>
      </c>
      <c r="F21" s="22">
        <f>VLOOKUP(E21,Misure_Campionate,2,FALSE)</f>
        <v/>
      </c>
      <c r="G21" s="22">
        <f>VLOOKUP(E21,Misure_Campionate,3,FALSE)</f>
        <v/>
      </c>
      <c r="H21" s="22">
        <f>VLOOKUP(E21,Misure_Campionate,4,FALSE)</f>
        <v/>
      </c>
      <c r="I21" s="63">
        <f>VLOOKUP(E21,Misure_Campionate,12,FALSE)</f>
        <v/>
      </c>
      <c r="J21" s="63">
        <f>VLOOKUP(E21,Misure_Campionate,13,FALSE)</f>
        <v/>
      </c>
      <c r="K21" s="64">
        <f>VLOOKUP(E21,Misure_Campionate,14,FALSE)</f>
        <v/>
      </c>
      <c r="L21" s="16">
        <f>VLOOKUP(E21,Misure_Campionate,15,FALSE)</f>
        <v/>
      </c>
      <c r="M21" s="23">
        <f>IF(AND($O$47&gt;87,K21&gt;80),AK21,0)</f>
        <v/>
      </c>
      <c r="N21" s="262">
        <f>IF(M21=0,"",K21-M21)</f>
        <v/>
      </c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>
        <v>30</v>
      </c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89" t="n"/>
      <c r="AK21" s="151">
        <f>IF(K21&lt;80,"0",IF((L21-K21)&lt;=2,($L$66-(($K$66-$L$66)/4)*(L21-K21-2)),($L$66-(($L$66-$M$66)/8)*(L21-K21-2))))</f>
        <v/>
      </c>
      <c r="AL21" s="111">
        <f>IF(J21&lt;135,"",J21-$J$69)</f>
        <v/>
      </c>
      <c r="AM21" s="111">
        <f>K21-AK21</f>
        <v/>
      </c>
      <c r="AN21" s="151">
        <f>O21/$G$5*10^(AM21/10)</f>
        <v/>
      </c>
      <c r="AO21" s="84" t="n"/>
      <c r="AP21" s="469">
        <f>IF((AS21^2*(I21^2+$G$3^2+$G$4^2)&gt;0),(AS21^2*(I21^2+$G$3^2+$G$4^2)),0)</f>
        <v/>
      </c>
      <c r="AQ21" s="180">
        <f>IF(AP21=0,0,(AT21*AR21)^2)</f>
        <v/>
      </c>
      <c r="AR21" s="181">
        <f>0.5*((P21-Q21)/60)</f>
        <v/>
      </c>
      <c r="AS21" s="470">
        <f>O21/$G$5*10^((K21-$O$42)/10)</f>
        <v/>
      </c>
      <c r="AT21" s="397">
        <f>IF(AU21=0,0,4.34*(AS21/AU21))</f>
        <v/>
      </c>
      <c r="AU21" s="183">
        <f>O21/60</f>
        <v/>
      </c>
      <c r="AW21" s="496">
        <f>IF((AZ21^2*(I21^2+$G$3^2+$G$4^2)&gt;0),(AZ21^2*(I21^2+$G$3^2+$G$4^2)),0)</f>
        <v/>
      </c>
      <c r="AX21" s="297">
        <f>IF(AW21=0,0,(BA21*AY21)^2)</f>
        <v/>
      </c>
      <c r="AY21" s="298">
        <f>0.5*((S21-T21)/60)</f>
        <v/>
      </c>
      <c r="AZ21" s="497">
        <f>R21/$G$5*10^((K21-$R$42)/10)</f>
        <v/>
      </c>
      <c r="BA21" s="300">
        <f>IF(BB21=0,0,4.34*(AZ21/BB21))</f>
        <v/>
      </c>
      <c r="BB21" s="300">
        <f>R21/60</f>
        <v/>
      </c>
      <c r="BD21" s="496">
        <f>IF((BG21^2*(I21^2+$G$3^2+$G$4^2)&gt;0),(BG21^2*(I21^2+$G$3^2+$G$4^2)),0)</f>
        <v/>
      </c>
      <c r="BE21" s="297">
        <f>IF(BD21=0,0,(BH21*BF21)^2)</f>
        <v/>
      </c>
      <c r="BF21" s="298">
        <f>0.5*((V21-W21)/60)</f>
        <v/>
      </c>
      <c r="BG21" s="497">
        <f>U21/$G$5*10^((K21-$U$42)/10)</f>
        <v/>
      </c>
      <c r="BH21" s="300">
        <f>IF(BI21=0,0,4.34*(BG21/BI21))</f>
        <v/>
      </c>
      <c r="BI21" s="300">
        <f>U21/60</f>
        <v/>
      </c>
      <c r="BK21" s="496">
        <f>IF((BN21^2*(I21^2+$G$3^2+$G$4^2)&gt;0),(BN21^2*(I21^2+$G$3^2+$G$4^2)),0)</f>
        <v/>
      </c>
      <c r="BL21" s="297">
        <f>IF(BK21=0,0,(BO21*BM21)^2)</f>
        <v/>
      </c>
      <c r="BM21" s="298">
        <f>0.5*((Y21-Z21)/60)</f>
        <v/>
      </c>
      <c r="BN21" s="497">
        <f>(X21/$G$5)*(10^((K21-$X$42)*0.1))</f>
        <v/>
      </c>
      <c r="BO21" s="300">
        <f>IF(BP21=0,0,(4.34*(BN21/BP21)))</f>
        <v/>
      </c>
      <c r="BP21" s="300">
        <f>X21/60</f>
        <v/>
      </c>
      <c r="BR21" s="496">
        <f>IF((BU21^2*(I21^2+$G$3^2+$G$4^2)&gt;0),(BU21^2*(I21^2+$G$3^2+$G$4^2)),0)</f>
        <v/>
      </c>
      <c r="BS21" s="297">
        <f>IF(BR21=0,0,(BV21*BT21)^2)</f>
        <v/>
      </c>
      <c r="BT21" s="298">
        <f>0.5*((AB21-AC21)/60)</f>
        <v/>
      </c>
      <c r="BU21" s="497">
        <f>AA21/$G$5*10^((K21-$AA$42)/10)</f>
        <v/>
      </c>
      <c r="BV21" s="300">
        <f>IF(BW21=0,0,4.34*(BU21/BW21))</f>
        <v/>
      </c>
      <c r="BW21" s="300">
        <f>AA21/60</f>
        <v/>
      </c>
      <c r="BY21" s="496">
        <f>IF((CB21^2*(I21^2+$G$3^2+$G$4^2)&gt;0),(CB21^2*(I21^2+$G$3^2+$G$4^2)),0)</f>
        <v/>
      </c>
      <c r="BZ21" s="297">
        <f>IF(BY21=0,0,(CC21*CA21)^2)</f>
        <v/>
      </c>
      <c r="CA21" s="298">
        <f>0.5*((AE21-AF21)/60)</f>
        <v/>
      </c>
      <c r="CB21" s="497">
        <f>AD21/$G$5*10^((K21-$AD$42)/10)</f>
        <v/>
      </c>
      <c r="CC21" s="300">
        <f>IF(CD21=0,0,4.34*(CB21/CD21))</f>
        <v/>
      </c>
      <c r="CD21" s="300">
        <f>AD21/60</f>
        <v/>
      </c>
      <c r="CF21" s="496">
        <f>IF((CI21^2*(I21^2+$G$3^2+$G$4^2)&gt;0),(CI21^2*(I21^2+$G$3^2+$G$4^2)),0)</f>
        <v/>
      </c>
      <c r="CG21" s="297">
        <f>IF(CF21=0,0,(CJ21*CH21)^2)</f>
        <v/>
      </c>
      <c r="CH21" s="298">
        <f>0.5*((AH21-AI21)/60)</f>
        <v/>
      </c>
      <c r="CI21" s="497">
        <f>AG21/$G$5*10^((K21-$AG$42)/10)</f>
        <v/>
      </c>
      <c r="CJ21" s="300">
        <f>IF(CK21=0,0,4.34*(CI21/CK21))</f>
        <v/>
      </c>
      <c r="CK21" s="300">
        <f>AG21/60</f>
        <v/>
      </c>
      <c r="CN21" s="183">
        <f>O21/$G$5*10^(K21/10)</f>
        <v/>
      </c>
      <c r="CO21" s="183">
        <f>R21/$G$5*10^(K21/10)</f>
        <v/>
      </c>
      <c r="CP21" s="183">
        <f>U21/$G$5*10^(K21/10)</f>
        <v/>
      </c>
      <c r="CQ21" s="183">
        <f>X21/$G$5*10^(K21/10)</f>
        <v/>
      </c>
      <c r="CR21" s="183">
        <f>AA21/$G$5*10^(K21/10)</f>
        <v/>
      </c>
      <c r="CS21" s="183">
        <f>AD21/$G$5*10^(K21/10)</f>
        <v/>
      </c>
      <c r="CT21" s="183">
        <f>AG21/$G$5*10^(K21/10)</f>
        <v/>
      </c>
      <c r="CU21" s="183">
        <f>O21/$G$5*10^(AM21/10)</f>
        <v/>
      </c>
      <c r="CV21" s="183">
        <f>R21/$G$5*10^(AM21/10)</f>
        <v/>
      </c>
      <c r="CW21" s="183">
        <f>U21/$G$5*10^(AM21/10)</f>
        <v/>
      </c>
      <c r="CX21" s="183">
        <f>X21/$G$5*10^(AM21/10)</f>
        <v/>
      </c>
      <c r="CY21" s="183">
        <f>AA21/$G$5*10^(AM21/10)</f>
        <v/>
      </c>
      <c r="CZ21" s="183">
        <f>AD21/$G$5*10^(AM21/10)</f>
        <v/>
      </c>
      <c r="DA21" s="183">
        <f>AG21/$G$5*10^(AM21/10)</f>
        <v/>
      </c>
      <c r="DB21" s="388">
        <f>IF(K21&gt;80,O21,"")</f>
        <v/>
      </c>
      <c r="DC21" s="388">
        <f>IF(K21&gt;80,O21/$DB$10*10^(L21/10),"")</f>
        <v/>
      </c>
      <c r="DD21" s="388">
        <f>IF(K21&gt;80,O21/$DB$10*10^(K21/10),"")</f>
        <v/>
      </c>
      <c r="DF21" s="184" t="n"/>
    </row>
    <row r="22" ht="27" customHeight="1" s="444">
      <c r="C22" s="264">
        <f>IF(AK22="0","T",IF((K22-AK22)&lt;65,"I",IF((K22-AK22)&lt;70,"K",IF((K22-AK22)&lt;75,"J",IF((K22-AK22)&lt;80,"K","L")))))</f>
        <v/>
      </c>
      <c r="D22" s="273">
        <f>IF(J22&lt;135,"T",IF((J22-$J$69)&lt;135,"J","L"))</f>
        <v/>
      </c>
      <c r="E22" s="267" t="inlineStr">
        <is>
          <t>⌂</t>
        </is>
      </c>
      <c r="F22" s="22">
        <f>VLOOKUP(E22,Misure_Campionate,2,FALSE)</f>
        <v/>
      </c>
      <c r="G22" s="22">
        <f>VLOOKUP(E22,Misure_Campionate,3,FALSE)</f>
        <v/>
      </c>
      <c r="H22" s="22">
        <f>VLOOKUP(E22,Misure_Campionate,4,FALSE)</f>
        <v/>
      </c>
      <c r="I22" s="63">
        <f>VLOOKUP(E22,Misure_Campionate,12,FALSE)</f>
        <v/>
      </c>
      <c r="J22" s="63">
        <f>VLOOKUP(E22,Misure_Campionate,13,FALSE)</f>
        <v/>
      </c>
      <c r="K22" s="64">
        <f>VLOOKUP(E22,Misure_Campionate,14,FALSE)</f>
        <v/>
      </c>
      <c r="L22" s="16">
        <f>VLOOKUP(E22,Misure_Campionate,15,FALSE)</f>
        <v/>
      </c>
      <c r="M22" s="23">
        <f>IF(AND($O$47&gt;87,K22&gt;80),AK22,0)</f>
        <v/>
      </c>
      <c r="N22" s="262">
        <f>IF(M22=0,"",K22-M22)</f>
        <v/>
      </c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89" t="n"/>
      <c r="AK22" s="151">
        <f>IF(K22&lt;80,"0",IF((L22-K22)&lt;=2,($L$66-(($K$66-$L$66)/4)*(L22-K22-2)),($L$66-(($L$66-$M$66)/8)*(L22-K22-2))))</f>
        <v/>
      </c>
      <c r="AL22" s="111">
        <f>IF(J22&lt;135,"",J22-$J$69)</f>
        <v/>
      </c>
      <c r="AM22" s="111">
        <f>K22-AK22</f>
        <v/>
      </c>
      <c r="AN22" s="151">
        <f>O22/$G$5*10^(AM22/10)</f>
        <v/>
      </c>
      <c r="AO22" s="84" t="n"/>
      <c r="AP22" s="469">
        <f>IF((AS22^2*(I22^2+$G$3^2+$G$4^2)&gt;0),(AS22^2*(I22^2+$G$3^2+$G$4^2)),0)</f>
        <v/>
      </c>
      <c r="AQ22" s="180">
        <f>IF(AP22=0,0,(AT22*AR22)^2)</f>
        <v/>
      </c>
      <c r="AR22" s="181">
        <f>0.5*((P22-Q22)/60)</f>
        <v/>
      </c>
      <c r="AS22" s="470">
        <f>O22/$G$5*10^((K22-$O$42)/10)</f>
        <v/>
      </c>
      <c r="AT22" s="397">
        <f>IF(AU22=0,0,4.34*(AS22/AU22))</f>
        <v/>
      </c>
      <c r="AU22" s="183">
        <f>O22/60</f>
        <v/>
      </c>
      <c r="AW22" s="496">
        <f>IF((AZ22^2*(I22^2+$G$3^2+$G$4^2)&gt;0),(AZ22^2*(I22^2+$G$3^2+$G$4^2)),0)</f>
        <v/>
      </c>
      <c r="AX22" s="297">
        <f>IF(AW22=0,0,(BA22*AY22)^2)</f>
        <v/>
      </c>
      <c r="AY22" s="298">
        <f>0.5*((S22-T22)/60)</f>
        <v/>
      </c>
      <c r="AZ22" s="497">
        <f>R22/$G$5*10^((K22-$R$42)/10)</f>
        <v/>
      </c>
      <c r="BA22" s="300">
        <f>IF(BB22=0,0,4.34*(AZ22/BB22))</f>
        <v/>
      </c>
      <c r="BB22" s="300">
        <f>R22/60</f>
        <v/>
      </c>
      <c r="BD22" s="496">
        <f>IF((BG22^2*(I22^2+$G$3^2+$G$4^2)&gt;0),(BG22^2*(I22^2+$G$3^2+$G$4^2)),0)</f>
        <v/>
      </c>
      <c r="BE22" s="297">
        <f>IF(BD22=0,0,(BH22*BF22)^2)</f>
        <v/>
      </c>
      <c r="BF22" s="298">
        <f>0.5*((V22-W22)/60)</f>
        <v/>
      </c>
      <c r="BG22" s="497">
        <f>U22/$G$5*10^((K22-$U$42)/10)</f>
        <v/>
      </c>
      <c r="BH22" s="300">
        <f>IF(BI22=0,0,4.34*(BG22/BI22))</f>
        <v/>
      </c>
      <c r="BI22" s="300">
        <f>U22/60</f>
        <v/>
      </c>
      <c r="BK22" s="496">
        <f>IF((BN22^2*(I22^2+$G$3^2+$G$4^2)&gt;0),(BN22^2*(I22^2+$G$3^2+$G$4^2)),0)</f>
        <v/>
      </c>
      <c r="BL22" s="297">
        <f>IF(BK22=0,0,(BO22*BM22)^2)</f>
        <v/>
      </c>
      <c r="BM22" s="298">
        <f>0.5*((Y22-Z22)/60)</f>
        <v/>
      </c>
      <c r="BN22" s="497">
        <f>(X22/$G$5)*(10^((K22-$X$42)*0.1))</f>
        <v/>
      </c>
      <c r="BO22" s="300">
        <f>IF(BP22=0,0,(4.34*(BN22/BP22)))</f>
        <v/>
      </c>
      <c r="BP22" s="300">
        <f>X22/60</f>
        <v/>
      </c>
      <c r="BR22" s="496">
        <f>IF((BU22^2*(I22^2+$G$3^2+$G$4^2)&gt;0),(BU22^2*(I22^2+$G$3^2+$G$4^2)),0)</f>
        <v/>
      </c>
      <c r="BS22" s="297">
        <f>IF(BR22=0,0,(BV22*BT22)^2)</f>
        <v/>
      </c>
      <c r="BT22" s="298">
        <f>0.5*((AB22-AC22)/60)</f>
        <v/>
      </c>
      <c r="BU22" s="497">
        <f>AA22/$G$5*10^((K22-$AA$42)/10)</f>
        <v/>
      </c>
      <c r="BV22" s="300">
        <f>IF(BW22=0,0,4.34*(BU22/BW22))</f>
        <v/>
      </c>
      <c r="BW22" s="300">
        <f>AA22/60</f>
        <v/>
      </c>
      <c r="BY22" s="496">
        <f>IF((CB22^2*(I22^2+$G$3^2+$G$4^2)&gt;0),(CB22^2*(I22^2+$G$3^2+$G$4^2)),0)</f>
        <v/>
      </c>
      <c r="BZ22" s="297">
        <f>IF(BY22=0,0,(CC22*CA22)^2)</f>
        <v/>
      </c>
      <c r="CA22" s="298">
        <f>0.5*((AE22-AF22)/60)</f>
        <v/>
      </c>
      <c r="CB22" s="497">
        <f>AD22/$G$5*10^((K22-$AD$42)/10)</f>
        <v/>
      </c>
      <c r="CC22" s="300">
        <f>IF(CD22=0,0,4.34*(CB22/CD22))</f>
        <v/>
      </c>
      <c r="CD22" s="300">
        <f>AD22/60</f>
        <v/>
      </c>
      <c r="CF22" s="496">
        <f>IF((CI22^2*(I22^2+$G$3^2+$G$4^2)&gt;0),(CI22^2*(I22^2+$G$3^2+$G$4^2)),0)</f>
        <v/>
      </c>
      <c r="CG22" s="297">
        <f>IF(CF22=0,0,(CJ22*CH22)^2)</f>
        <v/>
      </c>
      <c r="CH22" s="298">
        <f>0.5*((AH22-AI22)/60)</f>
        <v/>
      </c>
      <c r="CI22" s="497">
        <f>AG22/$G$5*10^((K22-$AG$42)/10)</f>
        <v/>
      </c>
      <c r="CJ22" s="300">
        <f>IF(CK22=0,0,4.34*(CI22/CK22))</f>
        <v/>
      </c>
      <c r="CK22" s="300">
        <f>AG22/60</f>
        <v/>
      </c>
      <c r="CN22" s="183">
        <f>O22/$G$5*10^(K22/10)</f>
        <v/>
      </c>
      <c r="CO22" s="183">
        <f>R22/$G$5*10^(K22/10)</f>
        <v/>
      </c>
      <c r="CP22" s="183">
        <f>U22/$G$5*10^(K22/10)</f>
        <v/>
      </c>
      <c r="CQ22" s="183">
        <f>X22/$G$5*10^(K22/10)</f>
        <v/>
      </c>
      <c r="CR22" s="183">
        <f>AA22/$G$5*10^(K22/10)</f>
        <v/>
      </c>
      <c r="CS22" s="183">
        <f>AD22/$G$5*10^(K22/10)</f>
        <v/>
      </c>
      <c r="CT22" s="183">
        <f>AG22/$G$5*10^(K22/10)</f>
        <v/>
      </c>
      <c r="CU22" s="183">
        <f>O22/$G$5*10^(AM22/10)</f>
        <v/>
      </c>
      <c r="CV22" s="183">
        <f>R22/$G$5*10^(AM22/10)</f>
        <v/>
      </c>
      <c r="CW22" s="183">
        <f>U22/$G$5*10^(AM22/10)</f>
        <v/>
      </c>
      <c r="CX22" s="183">
        <f>X22/$G$5*10^(AM22/10)</f>
        <v/>
      </c>
      <c r="CY22" s="183">
        <f>AA22/$G$5*10^(AM22/10)</f>
        <v/>
      </c>
      <c r="CZ22" s="183">
        <f>AD22/$G$5*10^(AM22/10)</f>
        <v/>
      </c>
      <c r="DA22" s="183">
        <f>AG22/$G$5*10^(AM22/10)</f>
        <v/>
      </c>
      <c r="DB22" s="388">
        <f>IF(K22&gt;80,O22,"")</f>
        <v/>
      </c>
      <c r="DC22" s="388">
        <f>IF(K22&gt;80,O22/$DB$10*10^(L22/10),"")</f>
        <v/>
      </c>
      <c r="DD22" s="388">
        <f>IF(K22&gt;80,O22/$DB$10*10^(K22/10),"")</f>
        <v/>
      </c>
      <c r="DF22" s="184" t="n"/>
    </row>
    <row r="23" ht="27" customHeight="1" s="444">
      <c r="C23" s="264">
        <f>IF(AK23="0","T",IF((K23-AK23)&lt;65,"I",IF((K23-AK23)&lt;70,"K",IF((K23-AK23)&lt;75,"J",IF((K23-AK23)&lt;80,"K","L")))))</f>
        <v/>
      </c>
      <c r="D23" s="273">
        <f>IF(J23&lt;135,"T",IF((J23-$J$69)&lt;135,"J","L"))</f>
        <v/>
      </c>
      <c r="E23" s="267" t="inlineStr">
        <is>
          <t>⌂</t>
        </is>
      </c>
      <c r="F23" s="22">
        <f>VLOOKUP(E23,Misure_Campionate,2,FALSE)</f>
        <v/>
      </c>
      <c r="G23" s="22">
        <f>VLOOKUP(E23,Misure_Campionate,3,FALSE)</f>
        <v/>
      </c>
      <c r="H23" s="22">
        <f>VLOOKUP(E23,Misure_Campionate,4,FALSE)</f>
        <v/>
      </c>
      <c r="I23" s="63">
        <f>VLOOKUP(E23,Misure_Campionate,12,FALSE)</f>
        <v/>
      </c>
      <c r="J23" s="63">
        <f>VLOOKUP(E23,Misure_Campionate,13,FALSE)</f>
        <v/>
      </c>
      <c r="K23" s="64">
        <f>VLOOKUP(E23,Misure_Campionate,14,FALSE)</f>
        <v/>
      </c>
      <c r="L23" s="16">
        <f>VLOOKUP(E23,Misure_Campionate,15,FALSE)</f>
        <v/>
      </c>
      <c r="M23" s="23">
        <f>IF(AND($O$47&gt;87,K23&gt;80),AK23,0)</f>
        <v/>
      </c>
      <c r="N23" s="262">
        <f>IF(M23=0,"",K23-M23)</f>
        <v/>
      </c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89" t="n"/>
      <c r="AK23" s="151">
        <f>IF(K23&lt;80,"0",IF((L23-K23)&lt;=2,($L$66-(($K$66-$L$66)/4)*(L23-K23-2)),($L$66-(($L$66-$M$66)/8)*(L23-K23-2))))</f>
        <v/>
      </c>
      <c r="AL23" s="111">
        <f>IF(J23&lt;135,"",J23-$J$69)</f>
        <v/>
      </c>
      <c r="AM23" s="111">
        <f>K23-AK23</f>
        <v/>
      </c>
      <c r="AN23" s="151">
        <f>O23/$G$5*10^(AM23/10)</f>
        <v/>
      </c>
      <c r="AO23" s="84" t="n"/>
      <c r="AP23" s="469">
        <f>IF((AS23^2*(I23^2+$G$3^2+$G$4^2)&gt;0),(AS23^2*(I23^2+$G$3^2+$G$4^2)),0)</f>
        <v/>
      </c>
      <c r="AQ23" s="180">
        <f>IF(AP23=0,0,(AT23*AR23)^2)</f>
        <v/>
      </c>
      <c r="AR23" s="181">
        <f>0.5*((P23-Q23)/60)</f>
        <v/>
      </c>
      <c r="AS23" s="470">
        <f>O23/$G$5*10^((K23-$O$42)/10)</f>
        <v/>
      </c>
      <c r="AT23" s="397">
        <f>IF(AU23=0,0,4.34*(AS23/AU23))</f>
        <v/>
      </c>
      <c r="AU23" s="183">
        <f>O23/60</f>
        <v/>
      </c>
      <c r="AW23" s="496">
        <f>IF((AZ23^2*(I23^2+$G$3^2+$G$4^2)&gt;0),(AZ23^2*(I23^2+$G$3^2+$G$4^2)),0)</f>
        <v/>
      </c>
      <c r="AX23" s="297">
        <f>IF(AW23=0,0,(BA23*AY23)^2)</f>
        <v/>
      </c>
      <c r="AY23" s="298">
        <f>0.5*((S23-T23)/60)</f>
        <v/>
      </c>
      <c r="AZ23" s="497">
        <f>R23/$G$5*10^((K23-$R$42)/10)</f>
        <v/>
      </c>
      <c r="BA23" s="300">
        <f>IF(BB23=0,0,4.34*(AZ23/BB23))</f>
        <v/>
      </c>
      <c r="BB23" s="300">
        <f>R23/60</f>
        <v/>
      </c>
      <c r="BD23" s="496">
        <f>IF((BG23^2*(I23^2+$G$3^2+$G$4^2)&gt;0),(BG23^2*(I23^2+$G$3^2+$G$4^2)),0)</f>
        <v/>
      </c>
      <c r="BE23" s="297">
        <f>IF(BD23=0,0,(BH23*BF23)^2)</f>
        <v/>
      </c>
      <c r="BF23" s="298">
        <f>0.5*((V23-W23)/60)</f>
        <v/>
      </c>
      <c r="BG23" s="497">
        <f>U23/$G$5*10^((K23-$U$42)/10)</f>
        <v/>
      </c>
      <c r="BH23" s="300">
        <f>IF(BI23=0,0,4.34*(BG23/BI23))</f>
        <v/>
      </c>
      <c r="BI23" s="300">
        <f>U23/60</f>
        <v/>
      </c>
      <c r="BK23" s="496">
        <f>IF((BN23^2*(I23^2+$G$3^2+$G$4^2)&gt;0),(BN23^2*(I23^2+$G$3^2+$G$4^2)),0)</f>
        <v/>
      </c>
      <c r="BL23" s="297">
        <f>IF(BK23=0,0,(BO23*BM23)^2)</f>
        <v/>
      </c>
      <c r="BM23" s="298">
        <f>0.5*((Y23-Z23)/60)</f>
        <v/>
      </c>
      <c r="BN23" s="497">
        <f>(X23/$G$5)*(10^((K23-$X$42)*0.1))</f>
        <v/>
      </c>
      <c r="BO23" s="300">
        <f>IF(BP23=0,0,(4.34*(BN23/BP23)))</f>
        <v/>
      </c>
      <c r="BP23" s="300">
        <f>X23/60</f>
        <v/>
      </c>
      <c r="BR23" s="496">
        <f>IF((BU23^2*(I23^2+$G$3^2+$G$4^2)&gt;0),(BU23^2*(I23^2+$G$3^2+$G$4^2)),0)</f>
        <v/>
      </c>
      <c r="BS23" s="297">
        <f>IF(BR23=0,0,(BV23*BT23)^2)</f>
        <v/>
      </c>
      <c r="BT23" s="298">
        <f>0.5*((AB23-AC23)/60)</f>
        <v/>
      </c>
      <c r="BU23" s="497">
        <f>AA23/$G$5*10^((K23-$AA$42)/10)</f>
        <v/>
      </c>
      <c r="BV23" s="300">
        <f>IF(BW23=0,0,4.34*(BU23/BW23))</f>
        <v/>
      </c>
      <c r="BW23" s="300">
        <f>AA23/60</f>
        <v/>
      </c>
      <c r="BY23" s="496">
        <f>IF((CB23^2*(I23^2+$G$3^2+$G$4^2)&gt;0),(CB23^2*(I23^2+$G$3^2+$G$4^2)),0)</f>
        <v/>
      </c>
      <c r="BZ23" s="297">
        <f>IF(BY23=0,0,(CC23*CA23)^2)</f>
        <v/>
      </c>
      <c r="CA23" s="298">
        <f>0.5*((AE23-AF23)/60)</f>
        <v/>
      </c>
      <c r="CB23" s="497">
        <f>AD23/$G$5*10^((K23-$AD$42)/10)</f>
        <v/>
      </c>
      <c r="CC23" s="300">
        <f>IF(CD23=0,0,4.34*(CB23/CD23))</f>
        <v/>
      </c>
      <c r="CD23" s="300">
        <f>AD23/60</f>
        <v/>
      </c>
      <c r="CF23" s="496">
        <f>IF((CI23^2*(I23^2+$G$3^2+$G$4^2)&gt;0),(CI23^2*(I23^2+$G$3^2+$G$4^2)),0)</f>
        <v/>
      </c>
      <c r="CG23" s="297">
        <f>IF(CF23=0,0,(CJ23*CH23)^2)</f>
        <v/>
      </c>
      <c r="CH23" s="298">
        <f>0.5*((AH23-AI23)/60)</f>
        <v/>
      </c>
      <c r="CI23" s="497">
        <f>AG23/$G$5*10^((K23-$AG$42)/10)</f>
        <v/>
      </c>
      <c r="CJ23" s="300">
        <f>IF(CK23=0,0,4.34*(CI23/CK23))</f>
        <v/>
      </c>
      <c r="CK23" s="300">
        <f>AG23/60</f>
        <v/>
      </c>
      <c r="CN23" s="183">
        <f>O23/$G$5*10^(K23/10)</f>
        <v/>
      </c>
      <c r="CO23" s="183">
        <f>R23/$G$5*10^(K23/10)</f>
        <v/>
      </c>
      <c r="CP23" s="183">
        <f>U23/$G$5*10^(K23/10)</f>
        <v/>
      </c>
      <c r="CQ23" s="183">
        <f>X23/$G$5*10^(K23/10)</f>
        <v/>
      </c>
      <c r="CR23" s="183">
        <f>AA23/$G$5*10^(K23/10)</f>
        <v/>
      </c>
      <c r="CS23" s="183">
        <f>AD23/$G$5*10^(K23/10)</f>
        <v/>
      </c>
      <c r="CT23" s="183">
        <f>AG23/$G$5*10^(K23/10)</f>
        <v/>
      </c>
      <c r="CU23" s="183">
        <f>O23/$G$5*10^(AM23/10)</f>
        <v/>
      </c>
      <c r="CV23" s="183">
        <f>R23/$G$5*10^(AM23/10)</f>
        <v/>
      </c>
      <c r="CW23" s="183">
        <f>U23/$G$5*10^(AM23/10)</f>
        <v/>
      </c>
      <c r="CX23" s="183">
        <f>X23/$G$5*10^(AM23/10)</f>
        <v/>
      </c>
      <c r="CY23" s="183">
        <f>AA23/$G$5*10^(AM23/10)</f>
        <v/>
      </c>
      <c r="CZ23" s="183">
        <f>AD23/$G$5*10^(AM23/10)</f>
        <v/>
      </c>
      <c r="DA23" s="183">
        <f>AG23/$G$5*10^(AM23/10)</f>
        <v/>
      </c>
      <c r="DB23" s="388">
        <f>IF(K23&gt;80,O23,"")</f>
        <v/>
      </c>
      <c r="DC23" s="388">
        <f>IF(K23&gt;80,O23/$DB$10*10^(L23/10),"")</f>
        <v/>
      </c>
      <c r="DD23" s="388">
        <f>IF(K23&gt;80,O23/$DB$10*10^(K23/10),"")</f>
        <v/>
      </c>
      <c r="DF23" s="184" t="n"/>
    </row>
    <row r="24" ht="27" customHeight="1" s="444">
      <c r="C24" s="264">
        <f>IF(AK24="0","T",IF((K24-AK24)&lt;65,"I",IF((K24-AK24)&lt;70,"K",IF((K24-AK24)&lt;75,"J",IF((K24-AK24)&lt;80,"K","L")))))</f>
        <v/>
      </c>
      <c r="D24" s="273">
        <f>IF(J24&lt;135,"T",IF((J24-$J$69)&lt;135,"J","L"))</f>
        <v/>
      </c>
      <c r="E24" s="267" t="inlineStr">
        <is>
          <t>⌂</t>
        </is>
      </c>
      <c r="F24" s="22">
        <f>VLOOKUP(E24,Misure_Campionate,2,FALSE)</f>
        <v/>
      </c>
      <c r="G24" s="22">
        <f>VLOOKUP(E24,Misure_Campionate,3,FALSE)</f>
        <v/>
      </c>
      <c r="H24" s="22">
        <f>VLOOKUP(E24,Misure_Campionate,4,FALSE)</f>
        <v/>
      </c>
      <c r="I24" s="63">
        <f>VLOOKUP(E24,Misure_Campionate,12,FALSE)</f>
        <v/>
      </c>
      <c r="J24" s="63">
        <f>VLOOKUP(E24,Misure_Campionate,13,FALSE)</f>
        <v/>
      </c>
      <c r="K24" s="64">
        <f>VLOOKUP(E24,Misure_Campionate,14,FALSE)</f>
        <v/>
      </c>
      <c r="L24" s="16">
        <f>VLOOKUP(E24,Misure_Campionate,15,FALSE)</f>
        <v/>
      </c>
      <c r="M24" s="23">
        <f>IF(AND($O$47&gt;87,K24&gt;80),AK24,0)</f>
        <v/>
      </c>
      <c r="N24" s="262">
        <f>IF(M24=0,"",K24-M24)</f>
        <v/>
      </c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89" t="n"/>
      <c r="AK24" s="151">
        <f>IF(K24&lt;80,"0",IF((L24-K24)&lt;=2,($L$66-(($K$66-$L$66)/4)*(L24-K24-2)),($L$66-(($L$66-$M$66)/8)*(L24-K24-2))))</f>
        <v/>
      </c>
      <c r="AL24" s="111">
        <f>IF(J24&lt;135,"",J24-$J$69)</f>
        <v/>
      </c>
      <c r="AM24" s="111">
        <f>K24-AK24</f>
        <v/>
      </c>
      <c r="AN24" s="151">
        <f>O24/$G$5*10^(AM24/10)</f>
        <v/>
      </c>
      <c r="AO24" s="84" t="n"/>
      <c r="AP24" s="469">
        <f>IF((AS24^2*(I24^2+$G$3^2+$G$4^2)&gt;0),(AS24^2*(I24^2+$G$3^2+$G$4^2)),0)</f>
        <v/>
      </c>
      <c r="AQ24" s="180">
        <f>IF(AP24=0,0,(AT24*AR24)^2)</f>
        <v/>
      </c>
      <c r="AR24" s="181">
        <f>0.5*((P24-Q24)/60)</f>
        <v/>
      </c>
      <c r="AS24" s="470">
        <f>O24/$G$5*10^((K24-$O$42)/10)</f>
        <v/>
      </c>
      <c r="AT24" s="397">
        <f>IF(AU24=0,0,4.34*(AS24/AU24))</f>
        <v/>
      </c>
      <c r="AU24" s="183">
        <f>O24/60</f>
        <v/>
      </c>
      <c r="AW24" s="496">
        <f>IF((AZ24^2*(I24^2+$G$3^2+$G$4^2)&gt;0),(AZ24^2*(I24^2+$G$3^2+$G$4^2)),0)</f>
        <v/>
      </c>
      <c r="AX24" s="297">
        <f>IF(AW24=0,0,(BA24*AY24)^2)</f>
        <v/>
      </c>
      <c r="AY24" s="298">
        <f>0.5*((S24-T24)/60)</f>
        <v/>
      </c>
      <c r="AZ24" s="497">
        <f>R24/$G$5*10^((K24-$R$42)/10)</f>
        <v/>
      </c>
      <c r="BA24" s="300">
        <f>IF(BB24=0,0,4.34*(AZ24/BB24))</f>
        <v/>
      </c>
      <c r="BB24" s="300">
        <f>R24/60</f>
        <v/>
      </c>
      <c r="BD24" s="496">
        <f>IF((BG24^2*(I24^2+$G$3^2+$G$4^2)&gt;0),(BG24^2*(I24^2+$G$3^2+$G$4^2)),0)</f>
        <v/>
      </c>
      <c r="BE24" s="297">
        <f>IF(BD24=0,0,(BH24*BF24)^2)</f>
        <v/>
      </c>
      <c r="BF24" s="298">
        <f>0.5*((V24-W24)/60)</f>
        <v/>
      </c>
      <c r="BG24" s="497">
        <f>U24/$G$5*10^((K24-$U$42)/10)</f>
        <v/>
      </c>
      <c r="BH24" s="300">
        <f>IF(BI24=0,0,4.34*(BG24/BI24))</f>
        <v/>
      </c>
      <c r="BI24" s="300">
        <f>U24/60</f>
        <v/>
      </c>
      <c r="BK24" s="496">
        <f>IF((BN24^2*(I24^2+$G$3^2+$G$4^2)&gt;0),(BN24^2*(I24^2+$G$3^2+$G$4^2)),0)</f>
        <v/>
      </c>
      <c r="BL24" s="297">
        <f>IF(BK24=0,0,(BO24*BM24)^2)</f>
        <v/>
      </c>
      <c r="BM24" s="298">
        <f>0.5*((Y24-Z24)/60)</f>
        <v/>
      </c>
      <c r="BN24" s="497">
        <f>(X24/$G$5)*(10^((K24-$X$42)*0.1))</f>
        <v/>
      </c>
      <c r="BO24" s="300">
        <f>IF(BP24=0,0,(4.34*(BN24/BP24)))</f>
        <v/>
      </c>
      <c r="BP24" s="300">
        <f>X24/60</f>
        <v/>
      </c>
      <c r="BR24" s="496">
        <f>IF((BU24^2*(I24^2+$G$3^2+$G$4^2)&gt;0),(BU24^2*(I24^2+$G$3^2+$G$4^2)),0)</f>
        <v/>
      </c>
      <c r="BS24" s="297">
        <f>IF(BR24=0,0,(BV24*BT24)^2)</f>
        <v/>
      </c>
      <c r="BT24" s="298">
        <f>0.5*((AB24-AC24)/60)</f>
        <v/>
      </c>
      <c r="BU24" s="497">
        <f>AA24/$G$5*10^((K24-$AA$42)/10)</f>
        <v/>
      </c>
      <c r="BV24" s="300">
        <f>IF(BW24=0,0,4.34*(BU24/BW24))</f>
        <v/>
      </c>
      <c r="BW24" s="300">
        <f>AA24/60</f>
        <v/>
      </c>
      <c r="BY24" s="496">
        <f>IF((CB24^2*(I24^2+$G$3^2+$G$4^2)&gt;0),(CB24^2*(I24^2+$G$3^2+$G$4^2)),0)</f>
        <v/>
      </c>
      <c r="BZ24" s="297">
        <f>IF(BY24=0,0,(CC24*CA24)^2)</f>
        <v/>
      </c>
      <c r="CA24" s="298">
        <f>0.5*((AE24-AF24)/60)</f>
        <v/>
      </c>
      <c r="CB24" s="497">
        <f>AD24/$G$5*10^((K24-$AD$42)/10)</f>
        <v/>
      </c>
      <c r="CC24" s="300">
        <f>IF(CD24=0,0,4.34*(CB24/CD24))</f>
        <v/>
      </c>
      <c r="CD24" s="300">
        <f>AD24/60</f>
        <v/>
      </c>
      <c r="CF24" s="496">
        <f>IF((CI24^2*(I24^2+$G$3^2+$G$4^2)&gt;0),(CI24^2*(I24^2+$G$3^2+$G$4^2)),0)</f>
        <v/>
      </c>
      <c r="CG24" s="297">
        <f>IF(CF24=0,0,(CJ24*CH24)^2)</f>
        <v/>
      </c>
      <c r="CH24" s="298">
        <f>0.5*((AH24-AI24)/60)</f>
        <v/>
      </c>
      <c r="CI24" s="497">
        <f>AG24/$G$5*10^((K24-$AG$42)/10)</f>
        <v/>
      </c>
      <c r="CJ24" s="300">
        <f>IF(CK24=0,0,4.34*(CI24/CK24))</f>
        <v/>
      </c>
      <c r="CK24" s="300">
        <f>AG24/60</f>
        <v/>
      </c>
      <c r="CN24" s="183">
        <f>O24/$G$5*10^(K24/10)</f>
        <v/>
      </c>
      <c r="CO24" s="183">
        <f>R24/$G$5*10^(K24/10)</f>
        <v/>
      </c>
      <c r="CP24" s="183">
        <f>U24/$G$5*10^(K24/10)</f>
        <v/>
      </c>
      <c r="CQ24" s="183">
        <f>X24/$G$5*10^(K24/10)</f>
        <v/>
      </c>
      <c r="CR24" s="183">
        <f>AA24/$G$5*10^(K24/10)</f>
        <v/>
      </c>
      <c r="CS24" s="183">
        <f>AD24/$G$5*10^(K24/10)</f>
        <v/>
      </c>
      <c r="CT24" s="183">
        <f>AG24/$G$5*10^(K24/10)</f>
        <v/>
      </c>
      <c r="CU24" s="183">
        <f>O24/$G$5*10^(AM24/10)</f>
        <v/>
      </c>
      <c r="CV24" s="183">
        <f>R24/$G$5*10^(AM24/10)</f>
        <v/>
      </c>
      <c r="CW24" s="183">
        <f>U24/$G$5*10^(AM24/10)</f>
        <v/>
      </c>
      <c r="CX24" s="183">
        <f>X24/$G$5*10^(AM24/10)</f>
        <v/>
      </c>
      <c r="CY24" s="183">
        <f>AA24/$G$5*10^(AM24/10)</f>
        <v/>
      </c>
      <c r="CZ24" s="183">
        <f>AD24/$G$5*10^(AM24/10)</f>
        <v/>
      </c>
      <c r="DA24" s="183">
        <f>AG24/$G$5*10^(AM24/10)</f>
        <v/>
      </c>
      <c r="DB24" s="388">
        <f>IF(K24&gt;80,O24,"")</f>
        <v/>
      </c>
      <c r="DC24" s="388">
        <f>IF(K24&gt;80,O24/$DB$10*10^(L24/10),"")</f>
        <v/>
      </c>
      <c r="DD24" s="388">
        <f>IF(K24&gt;80,O24/$DB$10*10^(K24/10),"")</f>
        <v/>
      </c>
      <c r="DF24" s="184" t="n"/>
    </row>
    <row r="25" ht="27" customHeight="1" s="444">
      <c r="C25" s="264">
        <f>IF(AK25="0","T",IF((K25-AK25)&lt;65,"I",IF((K25-AK25)&lt;70,"K",IF((K25-AK25)&lt;75,"J",IF((K25-AK25)&lt;80,"K","L")))))</f>
        <v/>
      </c>
      <c r="D25" s="273">
        <f>IF(J25&lt;135,"T",IF((J25-$J$69)&lt;135,"J","L"))</f>
        <v/>
      </c>
      <c r="E25" s="267" t="inlineStr">
        <is>
          <t>⌂</t>
        </is>
      </c>
      <c r="F25" s="22">
        <f>VLOOKUP(E25,Misure_Campionate,2,FALSE)</f>
        <v/>
      </c>
      <c r="G25" s="22">
        <f>VLOOKUP(E25,Misure_Campionate,3,FALSE)</f>
        <v/>
      </c>
      <c r="H25" s="22">
        <f>VLOOKUP(E25,Misure_Campionate,4,FALSE)</f>
        <v/>
      </c>
      <c r="I25" s="63">
        <f>VLOOKUP(E25,Misure_Campionate,12,FALSE)</f>
        <v/>
      </c>
      <c r="J25" s="63">
        <f>VLOOKUP(E25,Misure_Campionate,13,FALSE)</f>
        <v/>
      </c>
      <c r="K25" s="64">
        <f>VLOOKUP(E25,Misure_Campionate,14,FALSE)</f>
        <v/>
      </c>
      <c r="L25" s="16">
        <f>VLOOKUP(E25,Misure_Campionate,15,FALSE)</f>
        <v/>
      </c>
      <c r="M25" s="23">
        <f>IF(AND($O$47&gt;87,K25&gt;80),AK25,0)</f>
        <v/>
      </c>
      <c r="N25" s="262">
        <f>IF(M25=0,"",K25-M25)</f>
        <v/>
      </c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89" t="n"/>
      <c r="AK25" s="151">
        <f>IF(K25&lt;80,"0",IF((L25-K25)&lt;=2,($L$66-(($K$66-$L$66)/4)*(L25-K25-2)),($L$66-(($L$66-$M$66)/8)*(L25-K25-2))))</f>
        <v/>
      </c>
      <c r="AL25" s="111">
        <f>IF(J25&lt;135,"",J25-$J$69)</f>
        <v/>
      </c>
      <c r="AM25" s="111">
        <f>K25-AK25</f>
        <v/>
      </c>
      <c r="AN25" s="151">
        <f>O25/$G$5*10^(AM25/10)</f>
        <v/>
      </c>
      <c r="AO25" s="84" t="n"/>
      <c r="AP25" s="469">
        <f>IF((AS25^2*(I25^2+$G$3^2+$G$4^2)&gt;0),(AS25^2*(I25^2+$G$3^2+$G$4^2)),0)</f>
        <v/>
      </c>
      <c r="AQ25" s="180">
        <f>IF(AP25=0,0,(AT25*AR25)^2)</f>
        <v/>
      </c>
      <c r="AR25" s="181">
        <f>0.5*((P25-Q25)/60)</f>
        <v/>
      </c>
      <c r="AS25" s="470">
        <f>O25/$G$5*10^((K25-$O$42)/10)</f>
        <v/>
      </c>
      <c r="AT25" s="397">
        <f>IF(AU25=0,0,4.34*(AS25/AU25))</f>
        <v/>
      </c>
      <c r="AU25" s="183">
        <f>O25/60</f>
        <v/>
      </c>
      <c r="AW25" s="496">
        <f>IF((AZ25^2*(I25^2+$G$3^2+$G$4^2)&gt;0),(AZ25^2*(I25^2+$G$3^2+$G$4^2)),0)</f>
        <v/>
      </c>
      <c r="AX25" s="297">
        <f>IF(AW25=0,0,(BA25*AY25)^2)</f>
        <v/>
      </c>
      <c r="AY25" s="298">
        <f>0.5*((S25-T25)/60)</f>
        <v/>
      </c>
      <c r="AZ25" s="497">
        <f>R25/$G$5*10^((K25-$R$42)/10)</f>
        <v/>
      </c>
      <c r="BA25" s="300">
        <f>IF(BB25=0,0,4.34*(AZ25/BB25))</f>
        <v/>
      </c>
      <c r="BB25" s="300">
        <f>R25/60</f>
        <v/>
      </c>
      <c r="BD25" s="496">
        <f>IF((BG25^2*(I25^2+$G$3^2+$G$4^2)&gt;0),(BG25^2*(I25^2+$G$3^2+$G$4^2)),0)</f>
        <v/>
      </c>
      <c r="BE25" s="297">
        <f>IF(BD25=0,0,(BH25*BF25)^2)</f>
        <v/>
      </c>
      <c r="BF25" s="298">
        <f>0.5*((V25-W25)/60)</f>
        <v/>
      </c>
      <c r="BG25" s="497">
        <f>U25/$G$5*10^((K25-$U$42)/10)</f>
        <v/>
      </c>
      <c r="BH25" s="300">
        <f>IF(BI25=0,0,4.34*(BG25/BI25))</f>
        <v/>
      </c>
      <c r="BI25" s="300">
        <f>U25/60</f>
        <v/>
      </c>
      <c r="BK25" s="496">
        <f>IF((BN25^2*(I25^2+$G$3^2+$G$4^2)&gt;0),(BN25^2*(I25^2+$G$3^2+$G$4^2)),0)</f>
        <v/>
      </c>
      <c r="BL25" s="297">
        <f>IF(BK25=0,0,(BO25*BM25)^2)</f>
        <v/>
      </c>
      <c r="BM25" s="298">
        <f>0.5*((Y25-Z25)/60)</f>
        <v/>
      </c>
      <c r="BN25" s="497">
        <f>(X25/$G$5)*(10^((K25-$X$42)*0.1))</f>
        <v/>
      </c>
      <c r="BO25" s="300">
        <f>IF(BP25=0,0,(4.34*(BN25/BP25)))</f>
        <v/>
      </c>
      <c r="BP25" s="300">
        <f>X25/60</f>
        <v/>
      </c>
      <c r="BR25" s="496">
        <f>IF((BU25^2*(I25^2+$G$3^2+$G$4^2)&gt;0),(BU25^2*(I25^2+$G$3^2+$G$4^2)),0)</f>
        <v/>
      </c>
      <c r="BS25" s="297">
        <f>IF(BR25=0,0,(BV25*BT25)^2)</f>
        <v/>
      </c>
      <c r="BT25" s="298">
        <f>0.5*((AB25-AC25)/60)</f>
        <v/>
      </c>
      <c r="BU25" s="497">
        <f>AA25/$G$5*10^((K25-$AA$42)/10)</f>
        <v/>
      </c>
      <c r="BV25" s="300">
        <f>IF(BW25=0,0,4.34*(BU25/BW25))</f>
        <v/>
      </c>
      <c r="BW25" s="300">
        <f>AA25/60</f>
        <v/>
      </c>
      <c r="BY25" s="496">
        <f>IF((CB25^2*(I25^2+$G$3^2+$G$4^2)&gt;0),(CB25^2*(I25^2+$G$3^2+$G$4^2)),0)</f>
        <v/>
      </c>
      <c r="BZ25" s="297">
        <f>IF(BY25=0,0,(CC25*CA25)^2)</f>
        <v/>
      </c>
      <c r="CA25" s="298">
        <f>0.5*((AE25-AF25)/60)</f>
        <v/>
      </c>
      <c r="CB25" s="497">
        <f>AD25/$G$5*10^((K25-$AD$42)/10)</f>
        <v/>
      </c>
      <c r="CC25" s="300">
        <f>IF(CD25=0,0,4.34*(CB25/CD25))</f>
        <v/>
      </c>
      <c r="CD25" s="300">
        <f>AD25/60</f>
        <v/>
      </c>
      <c r="CF25" s="496">
        <f>IF((CI25^2*(I25^2+$G$3^2+$G$4^2)&gt;0),(CI25^2*(I25^2+$G$3^2+$G$4^2)),0)</f>
        <v/>
      </c>
      <c r="CG25" s="297">
        <f>IF(CF25=0,0,(CJ25*CH25)^2)</f>
        <v/>
      </c>
      <c r="CH25" s="298">
        <f>0.5*((AH25-AI25)/60)</f>
        <v/>
      </c>
      <c r="CI25" s="497">
        <f>AG25/$G$5*10^((K25-$AG$42)/10)</f>
        <v/>
      </c>
      <c r="CJ25" s="300">
        <f>IF(CK25=0,0,4.34*(CI25/CK25))</f>
        <v/>
      </c>
      <c r="CK25" s="300">
        <f>AG25/60</f>
        <v/>
      </c>
      <c r="CN25" s="183">
        <f>O25/$G$5*10^(K25/10)</f>
        <v/>
      </c>
      <c r="CO25" s="183">
        <f>R25/$G$5*10^(K25/10)</f>
        <v/>
      </c>
      <c r="CP25" s="183">
        <f>U25/$G$5*10^(K25/10)</f>
        <v/>
      </c>
      <c r="CQ25" s="183">
        <f>X25/$G$5*10^(K25/10)</f>
        <v/>
      </c>
      <c r="CR25" s="183">
        <f>AA25/$G$5*10^(K25/10)</f>
        <v/>
      </c>
      <c r="CS25" s="183">
        <f>AD25/$G$5*10^(K25/10)</f>
        <v/>
      </c>
      <c r="CT25" s="183">
        <f>AG25/$G$5*10^(K25/10)</f>
        <v/>
      </c>
      <c r="CU25" s="183">
        <f>O25/$G$5*10^(AM25/10)</f>
        <v/>
      </c>
      <c r="CV25" s="183">
        <f>R25/$G$5*10^(AM25/10)</f>
        <v/>
      </c>
      <c r="CW25" s="183">
        <f>U25/$G$5*10^(AM25/10)</f>
        <v/>
      </c>
      <c r="CX25" s="183">
        <f>X25/$G$5*10^(AM25/10)</f>
        <v/>
      </c>
      <c r="CY25" s="183">
        <f>AA25/$G$5*10^(AM25/10)</f>
        <v/>
      </c>
      <c r="CZ25" s="183">
        <f>AD25/$G$5*10^(AM25/10)</f>
        <v/>
      </c>
      <c r="DA25" s="183">
        <f>AG25/$G$5*10^(AM25/10)</f>
        <v/>
      </c>
      <c r="DB25" s="388">
        <f>IF(K25&gt;80,O25,"")</f>
        <v/>
      </c>
      <c r="DC25" s="388">
        <f>IF(K25&gt;80,O25/$DB$10*10^(L25/10),"")</f>
        <v/>
      </c>
      <c r="DD25" s="388">
        <f>IF(K25&gt;80,O25/$DB$10*10^(K25/10),"")</f>
        <v/>
      </c>
      <c r="DF25" s="184" t="n"/>
    </row>
    <row r="26" ht="27" customHeight="1" s="444">
      <c r="C26" s="264">
        <f>IF(AK26="0","T",IF((K26-AK26)&lt;65,"I",IF((K26-AK26)&lt;70,"K",IF((K26-AK26)&lt;75,"J",IF((K26-AK26)&lt;80,"K","L")))))</f>
        <v/>
      </c>
      <c r="D26" s="273">
        <f>IF(J26&lt;135,"T",IF((J26-$J$69)&lt;135,"J","L"))</f>
        <v/>
      </c>
      <c r="E26" s="267" t="inlineStr">
        <is>
          <t>⌂</t>
        </is>
      </c>
      <c r="F26" s="22">
        <f>VLOOKUP(E26,Misure_Campionate,2,FALSE)</f>
        <v/>
      </c>
      <c r="G26" s="22">
        <f>VLOOKUP(E26,Misure_Campionate,3,FALSE)</f>
        <v/>
      </c>
      <c r="H26" s="22">
        <f>VLOOKUP(E26,Misure_Campionate,4,FALSE)</f>
        <v/>
      </c>
      <c r="I26" s="63">
        <f>VLOOKUP(E26,Misure_Campionate,12,FALSE)</f>
        <v/>
      </c>
      <c r="J26" s="63">
        <f>VLOOKUP(E26,Misure_Campionate,13,FALSE)</f>
        <v/>
      </c>
      <c r="K26" s="64">
        <f>VLOOKUP(E26,Misure_Campionate,14,FALSE)</f>
        <v/>
      </c>
      <c r="L26" s="16">
        <f>VLOOKUP(E26,Misure_Campionate,15,FALSE)</f>
        <v/>
      </c>
      <c r="M26" s="23">
        <f>IF(AND($O$47&gt;87,K26&gt;80),AK26,0)</f>
        <v/>
      </c>
      <c r="N26" s="262">
        <f>IF(M26=0,"",K26-M26)</f>
        <v/>
      </c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89" t="n"/>
      <c r="AK26" s="151">
        <f>IF(K26&lt;80,"0",IF((L26-K26)&lt;=2,($L$66-(($K$66-$L$66)/4)*(L26-K26-2)),($L$66-(($L$66-$M$66)/8)*(L26-K26-2))))</f>
        <v/>
      </c>
      <c r="AL26" s="111">
        <f>IF(J26&lt;135,"",J26-$J$69)</f>
        <v/>
      </c>
      <c r="AM26" s="111">
        <f>K26-AK26</f>
        <v/>
      </c>
      <c r="AN26" s="151">
        <f>O26/$G$5*10^(AM26/10)</f>
        <v/>
      </c>
      <c r="AO26" s="84" t="n"/>
      <c r="AP26" s="469">
        <f>IF((AS26^2*(I26^2+$G$3^2+$G$4^2)&gt;0),(AS26^2*(I26^2+$G$3^2+$G$4^2)),0)</f>
        <v/>
      </c>
      <c r="AQ26" s="180">
        <f>IF(AP26=0,0,(AT26*AR26)^2)</f>
        <v/>
      </c>
      <c r="AR26" s="181">
        <f>0.5*((P26-Q26)/60)</f>
        <v/>
      </c>
      <c r="AS26" s="470">
        <f>O26/$G$5*10^((K26-$O$42)/10)</f>
        <v/>
      </c>
      <c r="AT26" s="397">
        <f>IF(AU26=0,0,4.34*(AS26/AU26))</f>
        <v/>
      </c>
      <c r="AU26" s="183">
        <f>O26/60</f>
        <v/>
      </c>
      <c r="AW26" s="496">
        <f>IF((AZ26^2*(I26^2+$G$3^2+$G$4^2)&gt;0),(AZ26^2*(I26^2+$G$3^2+$G$4^2)),0)</f>
        <v/>
      </c>
      <c r="AX26" s="297">
        <f>IF(AW26=0,0,(BA26*AY26)^2)</f>
        <v/>
      </c>
      <c r="AY26" s="298">
        <f>0.5*((S26-T26)/60)</f>
        <v/>
      </c>
      <c r="AZ26" s="497">
        <f>R26/$G$5*10^((K26-$R$42)/10)</f>
        <v/>
      </c>
      <c r="BA26" s="300">
        <f>IF(BB26=0,0,4.34*(AZ26/BB26))</f>
        <v/>
      </c>
      <c r="BB26" s="300">
        <f>R26/60</f>
        <v/>
      </c>
      <c r="BD26" s="496">
        <f>IF((BG26^2*(I26^2+$G$3^2+$G$4^2)&gt;0),(BG26^2*(I26^2+$G$3^2+$G$4^2)),0)</f>
        <v/>
      </c>
      <c r="BE26" s="297">
        <f>IF(BD26=0,0,(BH26*BF26)^2)</f>
        <v/>
      </c>
      <c r="BF26" s="298">
        <f>0.5*((V26-W26)/60)</f>
        <v/>
      </c>
      <c r="BG26" s="497">
        <f>U26/$G$5*10^((K26-$U$42)/10)</f>
        <v/>
      </c>
      <c r="BH26" s="300">
        <f>IF(BI26=0,0,4.34*(BG26/BI26))</f>
        <v/>
      </c>
      <c r="BI26" s="300">
        <f>U26/60</f>
        <v/>
      </c>
      <c r="BK26" s="496">
        <f>IF((BN26^2*(I26^2+$G$3^2+$G$4^2)&gt;0),(BN26^2*(I26^2+$G$3^2+$G$4^2)),0)</f>
        <v/>
      </c>
      <c r="BL26" s="297">
        <f>IF(BK26=0,0,(BO26*BM26)^2)</f>
        <v/>
      </c>
      <c r="BM26" s="298">
        <f>0.5*((Y26-Z26)/60)</f>
        <v/>
      </c>
      <c r="BN26" s="497">
        <f>(X26/$G$5)*(10^((K26-$X$42)*0.1))</f>
        <v/>
      </c>
      <c r="BO26" s="300">
        <f>IF(BP26=0,0,(4.34*(BN26/BP26)))</f>
        <v/>
      </c>
      <c r="BP26" s="300">
        <f>X26/60</f>
        <v/>
      </c>
      <c r="BR26" s="496">
        <f>IF((BU26^2*(I26^2+$G$3^2+$G$4^2)&gt;0),(BU26^2*(I26^2+$G$3^2+$G$4^2)),0)</f>
        <v/>
      </c>
      <c r="BS26" s="297">
        <f>IF(BR26=0,0,(BV26*BT26)^2)</f>
        <v/>
      </c>
      <c r="BT26" s="298">
        <f>0.5*((AB26-AC26)/60)</f>
        <v/>
      </c>
      <c r="BU26" s="497">
        <f>AA26/$G$5*10^((K26-$AA$42)/10)</f>
        <v/>
      </c>
      <c r="BV26" s="300">
        <f>IF(BW26=0,0,4.34*(BU26/BW26))</f>
        <v/>
      </c>
      <c r="BW26" s="300">
        <f>AA26/60</f>
        <v/>
      </c>
      <c r="BY26" s="496">
        <f>IF((CB26^2*(I26^2+$G$3^2+$G$4^2)&gt;0),(CB26^2*(I26^2+$G$3^2+$G$4^2)),0)</f>
        <v/>
      </c>
      <c r="BZ26" s="297">
        <f>IF(BY26=0,0,(CC26*CA26)^2)</f>
        <v/>
      </c>
      <c r="CA26" s="298">
        <f>0.5*((AE26-AF26)/60)</f>
        <v/>
      </c>
      <c r="CB26" s="497">
        <f>AD26/$G$5*10^((K26-$AD$42)/10)</f>
        <v/>
      </c>
      <c r="CC26" s="300">
        <f>IF(CD26=0,0,4.34*(CB26/CD26))</f>
        <v/>
      </c>
      <c r="CD26" s="300">
        <f>AD26/60</f>
        <v/>
      </c>
      <c r="CF26" s="496">
        <f>IF((CI26^2*(I26^2+$G$3^2+$G$4^2)&gt;0),(CI26^2*(I26^2+$G$3^2+$G$4^2)),0)</f>
        <v/>
      </c>
      <c r="CG26" s="297">
        <f>IF(CF26=0,0,(CJ26*CH26)^2)</f>
        <v/>
      </c>
      <c r="CH26" s="298">
        <f>0.5*((AH26-AI26)/60)</f>
        <v/>
      </c>
      <c r="CI26" s="497">
        <f>AG26/$G$5*10^((K26-$AG$42)/10)</f>
        <v/>
      </c>
      <c r="CJ26" s="300">
        <f>IF(CK26=0,0,4.34*(CI26/CK26))</f>
        <v/>
      </c>
      <c r="CK26" s="300">
        <f>AG26/60</f>
        <v/>
      </c>
      <c r="CN26" s="183">
        <f>O26/$G$5*10^(K26/10)</f>
        <v/>
      </c>
      <c r="CO26" s="183">
        <f>R26/$G$5*10^(K26/10)</f>
        <v/>
      </c>
      <c r="CP26" s="183">
        <f>U26/$G$5*10^(K26/10)</f>
        <v/>
      </c>
      <c r="CQ26" s="183">
        <f>X26/$G$5*10^(K26/10)</f>
        <v/>
      </c>
      <c r="CR26" s="183">
        <f>AA26/$G$5*10^(K26/10)</f>
        <v/>
      </c>
      <c r="CS26" s="183">
        <f>AD26/$G$5*10^(K26/10)</f>
        <v/>
      </c>
      <c r="CT26" s="183">
        <f>AG26/$G$5*10^(K26/10)</f>
        <v/>
      </c>
      <c r="CU26" s="183">
        <f>O26/$G$5*10^(AM26/10)</f>
        <v/>
      </c>
      <c r="CV26" s="183">
        <f>R26/$G$5*10^(AM26/10)</f>
        <v/>
      </c>
      <c r="CW26" s="183">
        <f>U26/$G$5*10^(AM26/10)</f>
        <v/>
      </c>
      <c r="CX26" s="183">
        <f>X26/$G$5*10^(AM26/10)</f>
        <v/>
      </c>
      <c r="CY26" s="183">
        <f>AA26/$G$5*10^(AM26/10)</f>
        <v/>
      </c>
      <c r="CZ26" s="183">
        <f>AD26/$G$5*10^(AM26/10)</f>
        <v/>
      </c>
      <c r="DA26" s="183">
        <f>AG26/$G$5*10^(AM26/10)</f>
        <v/>
      </c>
      <c r="DB26" s="388">
        <f>IF(K26&gt;80,O26,"")</f>
        <v/>
      </c>
      <c r="DC26" s="388">
        <f>IF(K26&gt;80,O26/$DB$10*10^(L26/10),"")</f>
        <v/>
      </c>
      <c r="DD26" s="388">
        <f>IF(K26&gt;80,O26/$DB$10*10^(K26/10),"")</f>
        <v/>
      </c>
      <c r="DF26" s="184" t="n"/>
    </row>
    <row r="27" ht="27" customHeight="1" s="444">
      <c r="C27" s="264">
        <f>IF(AK27="0","T",IF((K27-AK27)&lt;65,"I",IF((K27-AK27)&lt;70,"K",IF((K27-AK27)&lt;75,"J",IF((K27-AK27)&lt;80,"K","L")))))</f>
        <v/>
      </c>
      <c r="D27" s="273">
        <f>IF(J27&lt;135,"T",IF((J27-$J$69)&lt;135,"J","L"))</f>
        <v/>
      </c>
      <c r="E27" s="267" t="inlineStr">
        <is>
          <t>⌂</t>
        </is>
      </c>
      <c r="F27" s="22">
        <f>VLOOKUP(E27,Misure_Campionate,2,FALSE)</f>
        <v/>
      </c>
      <c r="G27" s="22">
        <f>VLOOKUP(E27,Misure_Campionate,3,FALSE)</f>
        <v/>
      </c>
      <c r="H27" s="22">
        <f>VLOOKUP(E27,Misure_Campionate,4,FALSE)</f>
        <v/>
      </c>
      <c r="I27" s="63">
        <f>VLOOKUP(E27,Misure_Campionate,12,FALSE)</f>
        <v/>
      </c>
      <c r="J27" s="63">
        <f>VLOOKUP(E27,Misure_Campionate,13,FALSE)</f>
        <v/>
      </c>
      <c r="K27" s="64">
        <f>VLOOKUP(E27,Misure_Campionate,14,FALSE)</f>
        <v/>
      </c>
      <c r="L27" s="16">
        <f>VLOOKUP(E27,Misure_Campionate,15,FALSE)</f>
        <v/>
      </c>
      <c r="M27" s="23">
        <f>IF(AND($O$47&gt;87,K27&gt;80),AK27,0)</f>
        <v/>
      </c>
      <c r="N27" s="262">
        <f>IF(M27=0,"",K27-M27)</f>
        <v/>
      </c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89" t="n"/>
      <c r="AK27" s="151">
        <f>IF(K27&lt;80,"0",IF((L27-K27)&lt;=2,($L$66-(($K$66-$L$66)/4)*(L27-K27-2)),($L$66-(($L$66-$M$66)/8)*(L27-K27-2))))</f>
        <v/>
      </c>
      <c r="AL27" s="111">
        <f>IF(J27&lt;135,"",J27-$J$69)</f>
        <v/>
      </c>
      <c r="AM27" s="111">
        <f>K27-AK27</f>
        <v/>
      </c>
      <c r="AN27" s="151">
        <f>O27/$G$5*10^(AM27/10)</f>
        <v/>
      </c>
      <c r="AO27" s="84" t="n"/>
      <c r="AP27" s="469">
        <f>IF((AS27^2*(I27^2+$G$3^2+$G$4^2)&gt;0),(AS27^2*(I27^2+$G$3^2+$G$4^2)),0)</f>
        <v/>
      </c>
      <c r="AQ27" s="180">
        <f>IF(AP27=0,0,(AT27*AR27)^2)</f>
        <v/>
      </c>
      <c r="AR27" s="181">
        <f>0.5*((P27-Q27)/60)</f>
        <v/>
      </c>
      <c r="AS27" s="470">
        <f>O27/$G$5*10^((K27-$O$42)/10)</f>
        <v/>
      </c>
      <c r="AT27" s="397">
        <f>IF(AU27=0,0,4.34*(AS27/AU27))</f>
        <v/>
      </c>
      <c r="AU27" s="183">
        <f>O27/60</f>
        <v/>
      </c>
      <c r="AW27" s="496">
        <f>IF((AZ27^2*(I27^2+$G$3^2+$G$4^2)&gt;0),(AZ27^2*(I27^2+$G$3^2+$G$4^2)),0)</f>
        <v/>
      </c>
      <c r="AX27" s="297">
        <f>IF(AW27=0,0,(BA27*AY27)^2)</f>
        <v/>
      </c>
      <c r="AY27" s="298">
        <f>0.5*((S27-T27)/60)</f>
        <v/>
      </c>
      <c r="AZ27" s="497">
        <f>R27/$G$5*10^((K27-$R$42)/10)</f>
        <v/>
      </c>
      <c r="BA27" s="300">
        <f>IF(BB27=0,0,4.34*(AZ27/BB27))</f>
        <v/>
      </c>
      <c r="BB27" s="300">
        <f>R27/60</f>
        <v/>
      </c>
      <c r="BD27" s="496">
        <f>IF((BG27^2*(I27^2+$G$3^2+$G$4^2)&gt;0),(BG27^2*(I27^2+$G$3^2+$G$4^2)),0)</f>
        <v/>
      </c>
      <c r="BE27" s="297">
        <f>IF(BD27=0,0,(BH27*BF27)^2)</f>
        <v/>
      </c>
      <c r="BF27" s="298">
        <f>0.5*((V27-W27)/60)</f>
        <v/>
      </c>
      <c r="BG27" s="497">
        <f>U27/$G$5*10^((K27-$U$42)/10)</f>
        <v/>
      </c>
      <c r="BH27" s="300">
        <f>IF(BI27=0,0,4.34*(BG27/BI27))</f>
        <v/>
      </c>
      <c r="BI27" s="300">
        <f>U27/60</f>
        <v/>
      </c>
      <c r="BK27" s="496">
        <f>IF((BN27^2*(I27^2+$G$3^2+$G$4^2)&gt;0),(BN27^2*(I27^2+$G$3^2+$G$4^2)),0)</f>
        <v/>
      </c>
      <c r="BL27" s="297">
        <f>IF(BK27=0,0,(BO27*BM27)^2)</f>
        <v/>
      </c>
      <c r="BM27" s="298">
        <f>0.5*((Y27-Z27)/60)</f>
        <v/>
      </c>
      <c r="BN27" s="497">
        <f>(X27/$G$5)*(10^((K27-$X$42)*0.1))</f>
        <v/>
      </c>
      <c r="BO27" s="300">
        <f>IF(BP27=0,0,(4.34*(BN27/BP27)))</f>
        <v/>
      </c>
      <c r="BP27" s="300">
        <f>X27/60</f>
        <v/>
      </c>
      <c r="BR27" s="496">
        <f>IF((BU27^2*(I27^2+$G$3^2+$G$4^2)&gt;0),(BU27^2*(I27^2+$G$3^2+$G$4^2)),0)</f>
        <v/>
      </c>
      <c r="BS27" s="297">
        <f>IF(BR27=0,0,(BV27*BT27)^2)</f>
        <v/>
      </c>
      <c r="BT27" s="298">
        <f>0.5*((AB27-AC27)/60)</f>
        <v/>
      </c>
      <c r="BU27" s="497">
        <f>AA27/$G$5*10^((K27-$AA$42)/10)</f>
        <v/>
      </c>
      <c r="BV27" s="300">
        <f>IF(BW27=0,0,4.34*(BU27/BW27))</f>
        <v/>
      </c>
      <c r="BW27" s="300">
        <f>AA27/60</f>
        <v/>
      </c>
      <c r="BY27" s="496">
        <f>IF((CB27^2*(I27^2+$G$3^2+$G$4^2)&gt;0),(CB27^2*(I27^2+$G$3^2+$G$4^2)),0)</f>
        <v/>
      </c>
      <c r="BZ27" s="297">
        <f>IF(BY27=0,0,(CC27*CA27)^2)</f>
        <v/>
      </c>
      <c r="CA27" s="298">
        <f>0.5*((AE27-AF27)/60)</f>
        <v/>
      </c>
      <c r="CB27" s="497">
        <f>AD27/$G$5*10^((K27-$AD$42)/10)</f>
        <v/>
      </c>
      <c r="CC27" s="300">
        <f>IF(CD27=0,0,4.34*(CB27/CD27))</f>
        <v/>
      </c>
      <c r="CD27" s="300">
        <f>AD27/60</f>
        <v/>
      </c>
      <c r="CF27" s="496">
        <f>IF((CI27^2*(I27^2+$G$3^2+$G$4^2)&gt;0),(CI27^2*(I27^2+$G$3^2+$G$4^2)),0)</f>
        <v/>
      </c>
      <c r="CG27" s="297">
        <f>IF(CF27=0,0,(CJ27*CH27)^2)</f>
        <v/>
      </c>
      <c r="CH27" s="298">
        <f>0.5*((AH27-AI27)/60)</f>
        <v/>
      </c>
      <c r="CI27" s="497">
        <f>AG27/$G$5*10^((K27-$AG$42)/10)</f>
        <v/>
      </c>
      <c r="CJ27" s="300">
        <f>IF(CK27=0,0,4.34*(CI27/CK27))</f>
        <v/>
      </c>
      <c r="CK27" s="300">
        <f>AG27/60</f>
        <v/>
      </c>
      <c r="CN27" s="183">
        <f>O27/$G$5*10^(K27/10)</f>
        <v/>
      </c>
      <c r="CO27" s="183">
        <f>R27/$G$5*10^(K27/10)</f>
        <v/>
      </c>
      <c r="CP27" s="183">
        <f>U27/$G$5*10^(K27/10)</f>
        <v/>
      </c>
      <c r="CQ27" s="183">
        <f>X27/$G$5*10^(K27/10)</f>
        <v/>
      </c>
      <c r="CR27" s="183">
        <f>AA27/$G$5*10^(K27/10)</f>
        <v/>
      </c>
      <c r="CS27" s="183">
        <f>AD27/$G$5*10^(K27/10)</f>
        <v/>
      </c>
      <c r="CT27" s="183">
        <f>AG27/$G$5*10^(K27/10)</f>
        <v/>
      </c>
      <c r="CU27" s="183">
        <f>O27/$G$5*10^(AM27/10)</f>
        <v/>
      </c>
      <c r="CV27" s="183">
        <f>R27/$G$5*10^(AM27/10)</f>
        <v/>
      </c>
      <c r="CW27" s="183">
        <f>U27/$G$5*10^(AM27/10)</f>
        <v/>
      </c>
      <c r="CX27" s="183">
        <f>X27/$G$5*10^(AM27/10)</f>
        <v/>
      </c>
      <c r="CY27" s="183">
        <f>AA27/$G$5*10^(AM27/10)</f>
        <v/>
      </c>
      <c r="CZ27" s="183">
        <f>AD27/$G$5*10^(AM27/10)</f>
        <v/>
      </c>
      <c r="DA27" s="183">
        <f>AG27/$G$5*10^(AM27/10)</f>
        <v/>
      </c>
      <c r="DB27" s="388">
        <f>IF(K27&gt;80,O27,"")</f>
        <v/>
      </c>
      <c r="DC27" s="388">
        <f>IF(K27&gt;80,O27/$DB$10*10^(L27/10),"")</f>
        <v/>
      </c>
      <c r="DD27" s="388">
        <f>IF(K27&gt;80,O27/$DB$10*10^(K27/10),"")</f>
        <v/>
      </c>
      <c r="DF27" s="184" t="n"/>
    </row>
    <row r="28" ht="27" customHeight="1" s="444">
      <c r="C28" s="264">
        <f>IF(AK28="0","T",IF((K28-AK28)&lt;65,"I",IF((K28-AK28)&lt;70,"K",IF((K28-AK28)&lt;75,"J",IF((K28-AK28)&lt;80,"K","L")))))</f>
        <v/>
      </c>
      <c r="D28" s="273">
        <f>IF(J28&lt;135,"T",IF((J28-$J$69)&lt;135,"J","L"))</f>
        <v/>
      </c>
      <c r="E28" s="267" t="inlineStr">
        <is>
          <t>⌂</t>
        </is>
      </c>
      <c r="F28" s="22">
        <f>VLOOKUP(E28,Misure_Campionate,2,FALSE)</f>
        <v/>
      </c>
      <c r="G28" s="22">
        <f>VLOOKUP(E28,Misure_Campionate,3,FALSE)</f>
        <v/>
      </c>
      <c r="H28" s="22">
        <f>VLOOKUP(E28,Misure_Campionate,4,FALSE)</f>
        <v/>
      </c>
      <c r="I28" s="63">
        <f>VLOOKUP(E28,Misure_Campionate,12,FALSE)</f>
        <v/>
      </c>
      <c r="J28" s="63">
        <f>VLOOKUP(E28,Misure_Campionate,13,FALSE)</f>
        <v/>
      </c>
      <c r="K28" s="64">
        <f>VLOOKUP(E28,Misure_Campionate,14,FALSE)</f>
        <v/>
      </c>
      <c r="L28" s="16">
        <f>VLOOKUP(E28,Misure_Campionate,15,FALSE)</f>
        <v/>
      </c>
      <c r="M28" s="23">
        <f>IF(AND($O$47&gt;87,K28&gt;80),AK28,0)</f>
        <v/>
      </c>
      <c r="N28" s="262">
        <f>IF(M28=0,"",K28-M28)</f>
        <v/>
      </c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89" t="n"/>
      <c r="AK28" s="151">
        <f>IF(K28&lt;80,"0",IF((L28-K28)&lt;=2,($L$66-(($K$66-$L$66)/4)*(L28-K28-2)),($L$66-(($L$66-$M$66)/8)*(L28-K28-2))))</f>
        <v/>
      </c>
      <c r="AL28" s="111">
        <f>IF(J28&lt;135,"",J28-$J$69)</f>
        <v/>
      </c>
      <c r="AM28" s="111">
        <f>K28-AK28</f>
        <v/>
      </c>
      <c r="AN28" s="151">
        <f>O28/$G$5*10^(AM28/10)</f>
        <v/>
      </c>
      <c r="AO28" s="84" t="n"/>
      <c r="AP28" s="469">
        <f>IF((AS28^2*(I28^2+$G$3^2+$G$4^2)&gt;0),(AS28^2*(I28^2+$G$3^2+$G$4^2)),0)</f>
        <v/>
      </c>
      <c r="AQ28" s="180">
        <f>IF(AP28=0,0,(AT28*AR28)^2)</f>
        <v/>
      </c>
      <c r="AR28" s="181">
        <f>0.5*((P28-Q28)/60)</f>
        <v/>
      </c>
      <c r="AS28" s="470">
        <f>O28/$G$5*10^((K28-$O$42)/10)</f>
        <v/>
      </c>
      <c r="AT28" s="397">
        <f>IF(AU28=0,0,4.34*(AS28/AU28))</f>
        <v/>
      </c>
      <c r="AU28" s="183">
        <f>O28/60</f>
        <v/>
      </c>
      <c r="AW28" s="496">
        <f>IF((AZ28^2*(I28^2+$G$3^2+$G$4^2)&gt;0),(AZ28^2*(I28^2+$G$3^2+$G$4^2)),0)</f>
        <v/>
      </c>
      <c r="AX28" s="297">
        <f>IF(AW28=0,0,(BA28*AY28)^2)</f>
        <v/>
      </c>
      <c r="AY28" s="298">
        <f>0.5*((S28-T28)/60)</f>
        <v/>
      </c>
      <c r="AZ28" s="497">
        <f>R28/$G$5*10^((K28-$R$42)/10)</f>
        <v/>
      </c>
      <c r="BA28" s="300">
        <f>IF(BB28=0,0,4.34*(AZ28/BB28))</f>
        <v/>
      </c>
      <c r="BB28" s="300">
        <f>R28/60</f>
        <v/>
      </c>
      <c r="BD28" s="496">
        <f>IF((BG28^2*(I28^2+$G$3^2+$G$4^2)&gt;0),(BG28^2*(I28^2+$G$3^2+$G$4^2)),0)</f>
        <v/>
      </c>
      <c r="BE28" s="297">
        <f>IF(BD28=0,0,(BH28*BF28)^2)</f>
        <v/>
      </c>
      <c r="BF28" s="298">
        <f>0.5*((V28-W28)/60)</f>
        <v/>
      </c>
      <c r="BG28" s="497">
        <f>U28/$G$5*10^((K28-$U$42)/10)</f>
        <v/>
      </c>
      <c r="BH28" s="300">
        <f>IF(BI28=0,0,4.34*(BG28/BI28))</f>
        <v/>
      </c>
      <c r="BI28" s="300">
        <f>U28/60</f>
        <v/>
      </c>
      <c r="BK28" s="496">
        <f>IF((BN28^2*(I28^2+$G$3^2+$G$4^2)&gt;0),(BN28^2*(I28^2+$G$3^2+$G$4^2)),0)</f>
        <v/>
      </c>
      <c r="BL28" s="297">
        <f>IF(BK28=0,0,(BO28*BM28)^2)</f>
        <v/>
      </c>
      <c r="BM28" s="298">
        <f>0.5*((Y28-Z28)/60)</f>
        <v/>
      </c>
      <c r="BN28" s="497">
        <f>(X28/$G$5)*(10^((K28-$X$42)*0.1))</f>
        <v/>
      </c>
      <c r="BO28" s="300">
        <f>IF(BP28=0,0,(4.34*(BN28/BP28)))</f>
        <v/>
      </c>
      <c r="BP28" s="300">
        <f>X28/60</f>
        <v/>
      </c>
      <c r="BR28" s="496">
        <f>IF((BU28^2*(I28^2+$G$3^2+$G$4^2)&gt;0),(BU28^2*(I28^2+$G$3^2+$G$4^2)),0)</f>
        <v/>
      </c>
      <c r="BS28" s="297">
        <f>IF(BR28=0,0,(BV28*BT28)^2)</f>
        <v/>
      </c>
      <c r="BT28" s="298">
        <f>0.5*((AB28-AC28)/60)</f>
        <v/>
      </c>
      <c r="BU28" s="497">
        <f>AA28/$G$5*10^((K28-$AA$42)/10)</f>
        <v/>
      </c>
      <c r="BV28" s="300">
        <f>IF(BW28=0,0,4.34*(BU28/BW28))</f>
        <v/>
      </c>
      <c r="BW28" s="300">
        <f>AA28/60</f>
        <v/>
      </c>
      <c r="BY28" s="496">
        <f>IF((CB28^2*(I28^2+$G$3^2+$G$4^2)&gt;0),(CB28^2*(I28^2+$G$3^2+$G$4^2)),0)</f>
        <v/>
      </c>
      <c r="BZ28" s="297">
        <f>IF(BY28=0,0,(CC28*CA28)^2)</f>
        <v/>
      </c>
      <c r="CA28" s="298">
        <f>0.5*((AE28-AF28)/60)</f>
        <v/>
      </c>
      <c r="CB28" s="497">
        <f>AD28/$G$5*10^((K28-$AD$42)/10)</f>
        <v/>
      </c>
      <c r="CC28" s="300">
        <f>IF(CD28=0,0,4.34*(CB28/CD28))</f>
        <v/>
      </c>
      <c r="CD28" s="300">
        <f>AD28/60</f>
        <v/>
      </c>
      <c r="CF28" s="496">
        <f>IF((CI28^2*(I28^2+$G$3^2+$G$4^2)&gt;0),(CI28^2*(I28^2+$G$3^2+$G$4^2)),0)</f>
        <v/>
      </c>
      <c r="CG28" s="297">
        <f>IF(CF28=0,0,(CJ28*CH28)^2)</f>
        <v/>
      </c>
      <c r="CH28" s="298">
        <f>0.5*((AH28-AI28)/60)</f>
        <v/>
      </c>
      <c r="CI28" s="497">
        <f>AG28/$G$5*10^((K28-$AG$42)/10)</f>
        <v/>
      </c>
      <c r="CJ28" s="300">
        <f>IF(CK28=0,0,4.34*(CI28/CK28))</f>
        <v/>
      </c>
      <c r="CK28" s="300">
        <f>AG28/60</f>
        <v/>
      </c>
      <c r="CN28" s="183">
        <f>O28/$G$5*10^(K28/10)</f>
        <v/>
      </c>
      <c r="CO28" s="183">
        <f>R28/$G$5*10^(K28/10)</f>
        <v/>
      </c>
      <c r="CP28" s="183">
        <f>U28/$G$5*10^(K28/10)</f>
        <v/>
      </c>
      <c r="CQ28" s="183">
        <f>X28/$G$5*10^(K28/10)</f>
        <v/>
      </c>
      <c r="CR28" s="183">
        <f>AA28/$G$5*10^(K28/10)</f>
        <v/>
      </c>
      <c r="CS28" s="183">
        <f>AD28/$G$5*10^(K28/10)</f>
        <v/>
      </c>
      <c r="CT28" s="183">
        <f>AG28/$G$5*10^(K28/10)</f>
        <v/>
      </c>
      <c r="CU28" s="183">
        <f>O28/$G$5*10^(AM28/10)</f>
        <v/>
      </c>
      <c r="CV28" s="183">
        <f>R28/$G$5*10^(AM28/10)</f>
        <v/>
      </c>
      <c r="CW28" s="183">
        <f>U28/$G$5*10^(AM28/10)</f>
        <v/>
      </c>
      <c r="CX28" s="183">
        <f>X28/$G$5*10^(AM28/10)</f>
        <v/>
      </c>
      <c r="CY28" s="183">
        <f>AA28/$G$5*10^(AM28/10)</f>
        <v/>
      </c>
      <c r="CZ28" s="183">
        <f>AD28/$G$5*10^(AM28/10)</f>
        <v/>
      </c>
      <c r="DA28" s="183">
        <f>AG28/$G$5*10^(AM28/10)</f>
        <v/>
      </c>
      <c r="DB28" s="388">
        <f>IF(K28&gt;80,O28,"")</f>
        <v/>
      </c>
      <c r="DC28" s="388">
        <f>IF(K28&gt;80,O28/$DB$10*10^(L28/10),"")</f>
        <v/>
      </c>
      <c r="DD28" s="388">
        <f>IF(K28&gt;80,O28/$DB$10*10^(K28/10),"")</f>
        <v/>
      </c>
      <c r="DF28" s="184" t="n"/>
    </row>
    <row r="29" ht="27" customHeight="1" s="444">
      <c r="C29" s="264">
        <f>IF(AK29="0","T",IF((K29-AK29)&lt;65,"I",IF((K29-AK29)&lt;70,"K",IF((K29-AK29)&lt;75,"J",IF((K29-AK29)&lt;80,"K","L")))))</f>
        <v/>
      </c>
      <c r="D29" s="273">
        <f>IF(J29&lt;135,"T",IF((J29-$J$69)&lt;135,"J","L"))</f>
        <v/>
      </c>
      <c r="E29" s="267" t="inlineStr">
        <is>
          <t>⌂</t>
        </is>
      </c>
      <c r="F29" s="22">
        <f>VLOOKUP(E29,Misure_Campionate,2,FALSE)</f>
        <v/>
      </c>
      <c r="G29" s="22">
        <f>VLOOKUP(E29,Misure_Campionate,3,FALSE)</f>
        <v/>
      </c>
      <c r="H29" s="22">
        <f>VLOOKUP(E29,Misure_Campionate,4,FALSE)</f>
        <v/>
      </c>
      <c r="I29" s="63">
        <f>VLOOKUP(E29,Misure_Campionate,12,FALSE)</f>
        <v/>
      </c>
      <c r="J29" s="63">
        <f>VLOOKUP(E29,Misure_Campionate,13,FALSE)</f>
        <v/>
      </c>
      <c r="K29" s="64">
        <f>VLOOKUP(E29,Misure_Campionate,14,FALSE)</f>
        <v/>
      </c>
      <c r="L29" s="16">
        <f>VLOOKUP(E29,Misure_Campionate,15,FALSE)</f>
        <v/>
      </c>
      <c r="M29" s="23">
        <f>IF(AND($O$47&gt;87,K29&gt;80),AK29,0)</f>
        <v/>
      </c>
      <c r="N29" s="262">
        <f>IF(M29=0,"",K29-M29)</f>
        <v/>
      </c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89" t="n"/>
      <c r="AK29" s="151">
        <f>IF(K29&lt;80,"0",IF((L29-K29)&lt;=2,($L$66-(($K$66-$L$66)/4)*(L29-K29-2)),($L$66-(($L$66-$M$66)/8)*(L29-K29-2))))</f>
        <v/>
      </c>
      <c r="AL29" s="111">
        <f>IF(J29&lt;135,"",J29-$J$69)</f>
        <v/>
      </c>
      <c r="AM29" s="111">
        <f>K29-AK29</f>
        <v/>
      </c>
      <c r="AN29" s="151">
        <f>O29/$G$5*10^(AM29/10)</f>
        <v/>
      </c>
      <c r="AO29" s="84" t="n"/>
      <c r="AP29" s="469">
        <f>IF((AS29^2*(I29^2+$G$3^2+$G$4^2)&gt;0),(AS29^2*(I29^2+$G$3^2+$G$4^2)),0)</f>
        <v/>
      </c>
      <c r="AQ29" s="180">
        <f>IF(AP29=0,0,(AT29*AR29)^2)</f>
        <v/>
      </c>
      <c r="AR29" s="181">
        <f>0.5*((P29-Q29)/60)</f>
        <v/>
      </c>
      <c r="AS29" s="470">
        <f>O29/$G$5*10^((K29-$O$42)/10)</f>
        <v/>
      </c>
      <c r="AT29" s="397">
        <f>IF(AU29=0,0,4.34*(AS29/AU29))</f>
        <v/>
      </c>
      <c r="AU29" s="183">
        <f>O29/60</f>
        <v/>
      </c>
      <c r="AW29" s="496">
        <f>IF((AZ29^2*(I29^2+$G$3^2+$G$4^2)&gt;0),(AZ29^2*(I29^2+$G$3^2+$G$4^2)),0)</f>
        <v/>
      </c>
      <c r="AX29" s="297">
        <f>IF(AW29=0,0,(BA29*AY29)^2)</f>
        <v/>
      </c>
      <c r="AY29" s="298">
        <f>0.5*((S29-T29)/60)</f>
        <v/>
      </c>
      <c r="AZ29" s="497">
        <f>R29/$G$5*10^((K29-$R$42)/10)</f>
        <v/>
      </c>
      <c r="BA29" s="300">
        <f>IF(BB29=0,0,4.34*(AZ29/BB29))</f>
        <v/>
      </c>
      <c r="BB29" s="300">
        <f>R29/60</f>
        <v/>
      </c>
      <c r="BD29" s="496">
        <f>IF((BG29^2*(I29^2+$G$3^2+$G$4^2)&gt;0),(BG29^2*(I29^2+$G$3^2+$G$4^2)),0)</f>
        <v/>
      </c>
      <c r="BE29" s="297">
        <f>IF(BD29=0,0,(BH29*BF29)^2)</f>
        <v/>
      </c>
      <c r="BF29" s="298">
        <f>0.5*((V29-W29)/60)</f>
        <v/>
      </c>
      <c r="BG29" s="497">
        <f>U29/$G$5*10^((K29-$U$42)/10)</f>
        <v/>
      </c>
      <c r="BH29" s="300">
        <f>IF(BI29=0,0,4.34*(BG29/BI29))</f>
        <v/>
      </c>
      <c r="BI29" s="300">
        <f>U29/60</f>
        <v/>
      </c>
      <c r="BK29" s="496">
        <f>IF((BN29^2*(I29^2+$G$3^2+$G$4^2)&gt;0),(BN29^2*(I29^2+$G$3^2+$G$4^2)),0)</f>
        <v/>
      </c>
      <c r="BL29" s="297">
        <f>IF(BK29=0,0,(BO29*BM29)^2)</f>
        <v/>
      </c>
      <c r="BM29" s="298">
        <f>0.5*((Y29-Z29)/60)</f>
        <v/>
      </c>
      <c r="BN29" s="497">
        <f>(X29/$G$5)*(10^((K29-$X$42)*0.1))</f>
        <v/>
      </c>
      <c r="BO29" s="300">
        <f>IF(BP29=0,0,(4.34*(BN29/BP29)))</f>
        <v/>
      </c>
      <c r="BP29" s="300">
        <f>X29/60</f>
        <v/>
      </c>
      <c r="BR29" s="496">
        <f>IF((BU29^2*(I29^2+$G$3^2+$G$4^2)&gt;0),(BU29^2*(I29^2+$G$3^2+$G$4^2)),0)</f>
        <v/>
      </c>
      <c r="BS29" s="297">
        <f>IF(BR29=0,0,(BV29*BT29)^2)</f>
        <v/>
      </c>
      <c r="BT29" s="298">
        <f>0.5*((AB29-AC29)/60)</f>
        <v/>
      </c>
      <c r="BU29" s="497">
        <f>AA29/$G$5*10^((K29-$AA$42)/10)</f>
        <v/>
      </c>
      <c r="BV29" s="300">
        <f>IF(BW29=0,0,4.34*(BU29/BW29))</f>
        <v/>
      </c>
      <c r="BW29" s="300">
        <f>AA29/60</f>
        <v/>
      </c>
      <c r="BY29" s="496">
        <f>IF((CB29^2*(I29^2+$G$3^2+$G$4^2)&gt;0),(CB29^2*(I29^2+$G$3^2+$G$4^2)),0)</f>
        <v/>
      </c>
      <c r="BZ29" s="297">
        <f>IF(BY29=0,0,(CC29*CA29)^2)</f>
        <v/>
      </c>
      <c r="CA29" s="298">
        <f>0.5*((AE29-AF29)/60)</f>
        <v/>
      </c>
      <c r="CB29" s="497">
        <f>AD29/$G$5*10^((K29-$AD$42)/10)</f>
        <v/>
      </c>
      <c r="CC29" s="300">
        <f>IF(CD29=0,0,4.34*(CB29/CD29))</f>
        <v/>
      </c>
      <c r="CD29" s="300">
        <f>AD29/60</f>
        <v/>
      </c>
      <c r="CF29" s="496">
        <f>IF((CI29^2*(I29^2+$G$3^2+$G$4^2)&gt;0),(CI29^2*(I29^2+$G$3^2+$G$4^2)),0)</f>
        <v/>
      </c>
      <c r="CG29" s="297">
        <f>IF(CF29=0,0,(CJ29*CH29)^2)</f>
        <v/>
      </c>
      <c r="CH29" s="298">
        <f>0.5*((AH29-AI29)/60)</f>
        <v/>
      </c>
      <c r="CI29" s="497">
        <f>AG29/$G$5*10^((K29-$AG$42)/10)</f>
        <v/>
      </c>
      <c r="CJ29" s="300">
        <f>IF(CK29=0,0,4.34*(CI29/CK29))</f>
        <v/>
      </c>
      <c r="CK29" s="300">
        <f>AG29/60</f>
        <v/>
      </c>
      <c r="CN29" s="183">
        <f>O29/$G$5*10^(K29/10)</f>
        <v/>
      </c>
      <c r="CO29" s="183">
        <f>R29/$G$5*10^(K29/10)</f>
        <v/>
      </c>
      <c r="CP29" s="183">
        <f>U29/$G$5*10^(K29/10)</f>
        <v/>
      </c>
      <c r="CQ29" s="183">
        <f>X29/$G$5*10^(K29/10)</f>
        <v/>
      </c>
      <c r="CR29" s="183">
        <f>AA29/$G$5*10^(K29/10)</f>
        <v/>
      </c>
      <c r="CS29" s="183">
        <f>AD29/$G$5*10^(K29/10)</f>
        <v/>
      </c>
      <c r="CT29" s="183">
        <f>AG29/$G$5*10^(K29/10)</f>
        <v/>
      </c>
      <c r="CU29" s="183">
        <f>O29/$G$5*10^(AM29/10)</f>
        <v/>
      </c>
      <c r="CV29" s="183">
        <f>R29/$G$5*10^(AM29/10)</f>
        <v/>
      </c>
      <c r="CW29" s="183">
        <f>U29/$G$5*10^(AM29/10)</f>
        <v/>
      </c>
      <c r="CX29" s="183">
        <f>X29/$G$5*10^(AM29/10)</f>
        <v/>
      </c>
      <c r="CY29" s="183">
        <f>AA29/$G$5*10^(AM29/10)</f>
        <v/>
      </c>
      <c r="CZ29" s="183">
        <f>AD29/$G$5*10^(AM29/10)</f>
        <v/>
      </c>
      <c r="DA29" s="183">
        <f>AG29/$G$5*10^(AM29/10)</f>
        <v/>
      </c>
      <c r="DB29" s="388">
        <f>IF(K29&gt;80,O29,"")</f>
        <v/>
      </c>
      <c r="DC29" s="388">
        <f>IF(K29&gt;80,O29/$DB$10*10^(L29/10),"")</f>
        <v/>
      </c>
      <c r="DD29" s="388">
        <f>IF(K29&gt;80,O29/$DB$10*10^(K29/10),"")</f>
        <v/>
      </c>
      <c r="DF29" s="184" t="n"/>
    </row>
    <row r="30" ht="27" customHeight="1" s="444">
      <c r="C30" s="264">
        <f>IF(AK30="0","T",IF((K30-AK30)&lt;65,"I",IF((K30-AK30)&lt;70,"K",IF((K30-AK30)&lt;75,"J",IF((K30-AK30)&lt;80,"K","L")))))</f>
        <v/>
      </c>
      <c r="D30" s="273">
        <f>IF(J30&lt;135,"T",IF((J30-$J$69)&lt;135,"J","L"))</f>
        <v/>
      </c>
      <c r="E30" s="267" t="inlineStr">
        <is>
          <t>⌂</t>
        </is>
      </c>
      <c r="F30" s="22">
        <f>VLOOKUP(E30,Misure_Campionate,2,FALSE)</f>
        <v/>
      </c>
      <c r="G30" s="22">
        <f>VLOOKUP(E30,Misure_Campionate,3,FALSE)</f>
        <v/>
      </c>
      <c r="H30" s="22">
        <f>VLOOKUP(E30,Misure_Campionate,4,FALSE)</f>
        <v/>
      </c>
      <c r="I30" s="63">
        <f>VLOOKUP(E30,Misure_Campionate,12,FALSE)</f>
        <v/>
      </c>
      <c r="J30" s="63">
        <f>VLOOKUP(E30,Misure_Campionate,13,FALSE)</f>
        <v/>
      </c>
      <c r="K30" s="64">
        <f>VLOOKUP(E30,Misure_Campionate,14,FALSE)</f>
        <v/>
      </c>
      <c r="L30" s="16">
        <f>VLOOKUP(E30,Misure_Campionate,15,FALSE)</f>
        <v/>
      </c>
      <c r="M30" s="23">
        <f>IF(AND($O$47&gt;87,K30&gt;80),AK30,0)</f>
        <v/>
      </c>
      <c r="N30" s="262">
        <f>IF(M30=0,"",K30-M30)</f>
        <v/>
      </c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89" t="n"/>
      <c r="AK30" s="151">
        <f>IF(K30&lt;80,"0",IF((L30-K30)&lt;=2,($L$66-(($K$66-$L$66)/4)*(L30-K30-2)),($L$66-(($L$66-$M$66)/8)*(L30-K30-2))))</f>
        <v/>
      </c>
      <c r="AL30" s="111">
        <f>IF(J30&lt;135,"",J30-$J$69)</f>
        <v/>
      </c>
      <c r="AM30" s="111">
        <f>K30-AK30</f>
        <v/>
      </c>
      <c r="AN30" s="151">
        <f>O30/$G$5*10^(AM30/10)</f>
        <v/>
      </c>
      <c r="AO30" s="84" t="n"/>
      <c r="AP30" s="469">
        <f>IF((AS30^2*(I30^2+$G$3^2+$G$4^2)&gt;0),(AS30^2*(I30^2+$G$3^2+$G$4^2)),0)</f>
        <v/>
      </c>
      <c r="AQ30" s="180">
        <f>IF(AP30=0,0,(AT30*AR30)^2)</f>
        <v/>
      </c>
      <c r="AR30" s="181">
        <f>0.5*((P30-Q30)/60)</f>
        <v/>
      </c>
      <c r="AS30" s="470">
        <f>O30/$G$5*10^((K30-$O$42)/10)</f>
        <v/>
      </c>
      <c r="AT30" s="397">
        <f>IF(AU30=0,0,4.34*(AS30/AU30))</f>
        <v/>
      </c>
      <c r="AU30" s="183">
        <f>O30/60</f>
        <v/>
      </c>
      <c r="AW30" s="496">
        <f>IF((AZ30^2*(I30^2+$G$3^2+$G$4^2)&gt;0),(AZ30^2*(I30^2+$G$3^2+$G$4^2)),0)</f>
        <v/>
      </c>
      <c r="AX30" s="297">
        <f>IF(AW30=0,0,(BA30*AY30)^2)</f>
        <v/>
      </c>
      <c r="AY30" s="298">
        <f>0.5*((S30-T30)/60)</f>
        <v/>
      </c>
      <c r="AZ30" s="497">
        <f>R30/$G$5*10^((K30-$R$42)/10)</f>
        <v/>
      </c>
      <c r="BA30" s="300">
        <f>IF(BB30=0,0,4.34*(AZ30/BB30))</f>
        <v/>
      </c>
      <c r="BB30" s="300">
        <f>R30/60</f>
        <v/>
      </c>
      <c r="BD30" s="496">
        <f>IF((BG30^2*(I30^2+$G$3^2+$G$4^2)&gt;0),(BG30^2*(I30^2+$G$3^2+$G$4^2)),0)</f>
        <v/>
      </c>
      <c r="BE30" s="297">
        <f>IF(BD30=0,0,(BH30*BF30)^2)</f>
        <v/>
      </c>
      <c r="BF30" s="298">
        <f>0.5*((V30-W30)/60)</f>
        <v/>
      </c>
      <c r="BG30" s="497">
        <f>U30/$G$5*10^((K30-$U$42)/10)</f>
        <v/>
      </c>
      <c r="BH30" s="300">
        <f>IF(BI30=0,0,4.34*(BG30/BI30))</f>
        <v/>
      </c>
      <c r="BI30" s="300">
        <f>U30/60</f>
        <v/>
      </c>
      <c r="BK30" s="496">
        <f>IF((BN30^2*(I30^2+$G$3^2+$G$4^2)&gt;0),(BN30^2*(I30^2+$G$3^2+$G$4^2)),0)</f>
        <v/>
      </c>
      <c r="BL30" s="297">
        <f>IF(BK30=0,0,(BO30*BM30)^2)</f>
        <v/>
      </c>
      <c r="BM30" s="298">
        <f>0.5*((Y30-Z30)/60)</f>
        <v/>
      </c>
      <c r="BN30" s="497">
        <f>(X30/$G$5)*(10^((K30-$X$42)*0.1))</f>
        <v/>
      </c>
      <c r="BO30" s="300">
        <f>IF(BP30=0,0,(4.34*(BN30/BP30)))</f>
        <v/>
      </c>
      <c r="BP30" s="300">
        <f>X30/60</f>
        <v/>
      </c>
      <c r="BR30" s="496">
        <f>IF((BU30^2*(I30^2+$G$3^2+$G$4^2)&gt;0),(BU30^2*(I30^2+$G$3^2+$G$4^2)),0)</f>
        <v/>
      </c>
      <c r="BS30" s="297">
        <f>IF(BR30=0,0,(BV30*BT30)^2)</f>
        <v/>
      </c>
      <c r="BT30" s="298">
        <f>0.5*((AB30-AC30)/60)</f>
        <v/>
      </c>
      <c r="BU30" s="497">
        <f>AA30/$G$5*10^((K30-$AA$42)/10)</f>
        <v/>
      </c>
      <c r="BV30" s="300">
        <f>IF(BW30=0,0,4.34*(BU30/BW30))</f>
        <v/>
      </c>
      <c r="BW30" s="300">
        <f>AA30/60</f>
        <v/>
      </c>
      <c r="BY30" s="496">
        <f>IF((CB30^2*(I30^2+$G$3^2+$G$4^2)&gt;0),(CB30^2*(I30^2+$G$3^2+$G$4^2)),0)</f>
        <v/>
      </c>
      <c r="BZ30" s="297">
        <f>IF(BY30=0,0,(CC30*CA30)^2)</f>
        <v/>
      </c>
      <c r="CA30" s="298">
        <f>0.5*((AE30-AF30)/60)</f>
        <v/>
      </c>
      <c r="CB30" s="497">
        <f>AD30/$G$5*10^((K30-$AD$42)/10)</f>
        <v/>
      </c>
      <c r="CC30" s="300">
        <f>IF(CD30=0,0,4.34*(CB30/CD30))</f>
        <v/>
      </c>
      <c r="CD30" s="300">
        <f>AD30/60</f>
        <v/>
      </c>
      <c r="CF30" s="496">
        <f>IF((CI30^2*(I30^2+$G$3^2+$G$4^2)&gt;0),(CI30^2*(I30^2+$G$3^2+$G$4^2)),0)</f>
        <v/>
      </c>
      <c r="CG30" s="297">
        <f>IF(CF30=0,0,(CJ30*CH30)^2)</f>
        <v/>
      </c>
      <c r="CH30" s="298">
        <f>0.5*((AH30-AI30)/60)</f>
        <v/>
      </c>
      <c r="CI30" s="497">
        <f>AG30/$G$5*10^((K30-$AG$42)/10)</f>
        <v/>
      </c>
      <c r="CJ30" s="300">
        <f>IF(CK30=0,0,4.34*(CI30/CK30))</f>
        <v/>
      </c>
      <c r="CK30" s="300">
        <f>AG30/60</f>
        <v/>
      </c>
      <c r="CN30" s="183">
        <f>O30/$G$5*10^(K30/10)</f>
        <v/>
      </c>
      <c r="CO30" s="183">
        <f>R30/$G$5*10^(K30/10)</f>
        <v/>
      </c>
      <c r="CP30" s="183">
        <f>U30/$G$5*10^(K30/10)</f>
        <v/>
      </c>
      <c r="CQ30" s="183">
        <f>X30/$G$5*10^(K30/10)</f>
        <v/>
      </c>
      <c r="CR30" s="183">
        <f>AA30/$G$5*10^(K30/10)</f>
        <v/>
      </c>
      <c r="CS30" s="183">
        <f>AD30/$G$5*10^(K30/10)</f>
        <v/>
      </c>
      <c r="CT30" s="183">
        <f>AG30/$G$5*10^(K30/10)</f>
        <v/>
      </c>
      <c r="CU30" s="183">
        <f>O30/$G$5*10^(AM30/10)</f>
        <v/>
      </c>
      <c r="CV30" s="183">
        <f>R30/$G$5*10^(AM30/10)</f>
        <v/>
      </c>
      <c r="CW30" s="183">
        <f>U30/$G$5*10^(AM30/10)</f>
        <v/>
      </c>
      <c r="CX30" s="183">
        <f>X30/$G$5*10^(AM30/10)</f>
        <v/>
      </c>
      <c r="CY30" s="183">
        <f>AA30/$G$5*10^(AM30/10)</f>
        <v/>
      </c>
      <c r="CZ30" s="183">
        <f>AD30/$G$5*10^(AM30/10)</f>
        <v/>
      </c>
      <c r="DA30" s="183">
        <f>AG30/$G$5*10^(AM30/10)</f>
        <v/>
      </c>
      <c r="DB30" s="388">
        <f>IF(K30&gt;80,O30,"")</f>
        <v/>
      </c>
      <c r="DC30" s="388">
        <f>IF(K30&gt;80,O30/$DB$10*10^(L30/10),"")</f>
        <v/>
      </c>
      <c r="DD30" s="388">
        <f>IF(K30&gt;80,O30/$DB$10*10^(K30/10),"")</f>
        <v/>
      </c>
      <c r="DF30" s="184" t="n"/>
    </row>
    <row r="31" ht="27" customHeight="1" s="444">
      <c r="C31" s="264">
        <f>IF(AK31="0","T",IF((K31-AK31)&lt;65,"I",IF((K31-AK31)&lt;70,"K",IF((K31-AK31)&lt;75,"J",IF((K31-AK31)&lt;80,"K","L")))))</f>
        <v/>
      </c>
      <c r="D31" s="273">
        <f>IF(J31&lt;135,"T",IF((J31-$J$69)&lt;135,"J","L"))</f>
        <v/>
      </c>
      <c r="E31" s="267" t="inlineStr">
        <is>
          <t>⌂</t>
        </is>
      </c>
      <c r="F31" s="22">
        <f>VLOOKUP(E31,Misure_Campionate,2,FALSE)</f>
        <v/>
      </c>
      <c r="G31" s="22">
        <f>VLOOKUP(E31,Misure_Campionate,3,FALSE)</f>
        <v/>
      </c>
      <c r="H31" s="22">
        <f>VLOOKUP(E31,Misure_Campionate,4,FALSE)</f>
        <v/>
      </c>
      <c r="I31" s="63">
        <f>VLOOKUP(E31,Misure_Campionate,12,FALSE)</f>
        <v/>
      </c>
      <c r="J31" s="63">
        <f>VLOOKUP(E31,Misure_Campionate,13,FALSE)</f>
        <v/>
      </c>
      <c r="K31" s="64">
        <f>VLOOKUP(E31,Misure_Campionate,14,FALSE)</f>
        <v/>
      </c>
      <c r="L31" s="16">
        <f>VLOOKUP(E31,Misure_Campionate,15,FALSE)</f>
        <v/>
      </c>
      <c r="M31" s="23">
        <f>IF(AND($O$47&gt;87,K31&gt;80),AK31,0)</f>
        <v/>
      </c>
      <c r="N31" s="262">
        <f>IF(M31=0,"",K31-M31)</f>
        <v/>
      </c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89" t="n"/>
      <c r="AK31" s="151">
        <f>IF(K31&lt;80,"0",IF((L31-K31)&lt;=2,($L$66-(($K$66-$L$66)/4)*(L31-K31-2)),($L$66-(($L$66-$M$66)/8)*(L31-K31-2))))</f>
        <v/>
      </c>
      <c r="AL31" s="111">
        <f>IF(J31&lt;135,"",J31-$J$69)</f>
        <v/>
      </c>
      <c r="AM31" s="111">
        <f>K31-AK31</f>
        <v/>
      </c>
      <c r="AN31" s="151">
        <f>O31/$G$5*10^(AM31/10)</f>
        <v/>
      </c>
      <c r="AO31" s="84" t="n"/>
      <c r="AP31" s="469">
        <f>IF((AS31^2*(I31^2+$G$3^2+$G$4^2)&gt;0),(AS31^2*(I31^2+$G$3^2+$G$4^2)),0)</f>
        <v/>
      </c>
      <c r="AQ31" s="180">
        <f>IF(AP31=0,0,(AT31*AR31)^2)</f>
        <v/>
      </c>
      <c r="AR31" s="181">
        <f>0.5*((P31-Q31)/60)</f>
        <v/>
      </c>
      <c r="AS31" s="470">
        <f>O31/$G$5*10^((K31-$O$42)/10)</f>
        <v/>
      </c>
      <c r="AT31" s="397">
        <f>IF(AU31=0,0,4.34*(AS31/AU31))</f>
        <v/>
      </c>
      <c r="AU31" s="183">
        <f>O31/60</f>
        <v/>
      </c>
      <c r="AW31" s="496">
        <f>IF((AZ31^2*(I31^2+$G$3^2+$G$4^2)&gt;0),(AZ31^2*(I31^2+$G$3^2+$G$4^2)),0)</f>
        <v/>
      </c>
      <c r="AX31" s="297">
        <f>IF(AW31=0,0,(BA31*AY31)^2)</f>
        <v/>
      </c>
      <c r="AY31" s="298">
        <f>0.5*((S31-T31)/60)</f>
        <v/>
      </c>
      <c r="AZ31" s="497">
        <f>R31/$G$5*10^((K31-$R$42)/10)</f>
        <v/>
      </c>
      <c r="BA31" s="300">
        <f>IF(BB31=0,0,4.34*(AZ31/BB31))</f>
        <v/>
      </c>
      <c r="BB31" s="300">
        <f>R31/60</f>
        <v/>
      </c>
      <c r="BD31" s="496">
        <f>IF((BG31^2*(I31^2+$G$3^2+$G$4^2)&gt;0),(BG31^2*(I31^2+$G$3^2+$G$4^2)),0)</f>
        <v/>
      </c>
      <c r="BE31" s="297">
        <f>IF(BD31=0,0,(BH31*BF31)^2)</f>
        <v/>
      </c>
      <c r="BF31" s="298">
        <f>0.5*((V31-W31)/60)</f>
        <v/>
      </c>
      <c r="BG31" s="497">
        <f>U31/$G$5*10^((K31-$U$42)/10)</f>
        <v/>
      </c>
      <c r="BH31" s="300">
        <f>IF(BI31=0,0,4.34*(BG31/BI31))</f>
        <v/>
      </c>
      <c r="BI31" s="300">
        <f>U31/60</f>
        <v/>
      </c>
      <c r="BK31" s="496">
        <f>IF((BN31^2*(I31^2+$G$3^2+$G$4^2)&gt;0),(BN31^2*(I31^2+$G$3^2+$G$4^2)),0)</f>
        <v/>
      </c>
      <c r="BL31" s="297">
        <f>IF(BK31=0,0,(BO31*BM31)^2)</f>
        <v/>
      </c>
      <c r="BM31" s="298">
        <f>0.5*((Y31-Z31)/60)</f>
        <v/>
      </c>
      <c r="BN31" s="497">
        <f>(X31/$G$5)*(10^((K31-$X$42)*0.1))</f>
        <v/>
      </c>
      <c r="BO31" s="300">
        <f>IF(BP31=0,0,(4.34*(BN31/BP31)))</f>
        <v/>
      </c>
      <c r="BP31" s="300">
        <f>X31/60</f>
        <v/>
      </c>
      <c r="BR31" s="496">
        <f>IF((BU31^2*(I31^2+$G$3^2+$G$4^2)&gt;0),(BU31^2*(I31^2+$G$3^2+$G$4^2)),0)</f>
        <v/>
      </c>
      <c r="BS31" s="297">
        <f>IF(BR31=0,0,(BV31*BT31)^2)</f>
        <v/>
      </c>
      <c r="BT31" s="298">
        <f>0.5*((AB31-AC31)/60)</f>
        <v/>
      </c>
      <c r="BU31" s="497">
        <f>AA31/$G$5*10^((K31-$AA$42)/10)</f>
        <v/>
      </c>
      <c r="BV31" s="300">
        <f>IF(BW31=0,0,4.34*(BU31/BW31))</f>
        <v/>
      </c>
      <c r="BW31" s="300">
        <f>AA31/60</f>
        <v/>
      </c>
      <c r="BY31" s="496">
        <f>IF((CB31^2*(I31^2+$G$3^2+$G$4^2)&gt;0),(CB31^2*(I31^2+$G$3^2+$G$4^2)),0)</f>
        <v/>
      </c>
      <c r="BZ31" s="297">
        <f>IF(BY31=0,0,(CC31*CA31)^2)</f>
        <v/>
      </c>
      <c r="CA31" s="298">
        <f>0.5*((AE31-AF31)/60)</f>
        <v/>
      </c>
      <c r="CB31" s="497">
        <f>AD31/$G$5*10^((K31-$AD$42)/10)</f>
        <v/>
      </c>
      <c r="CC31" s="300">
        <f>IF(CD31=0,0,4.34*(CB31/CD31))</f>
        <v/>
      </c>
      <c r="CD31" s="300">
        <f>AD31/60</f>
        <v/>
      </c>
      <c r="CF31" s="496">
        <f>IF((CI31^2*(I31^2+$G$3^2+$G$4^2)&gt;0),(CI31^2*(I31^2+$G$3^2+$G$4^2)),0)</f>
        <v/>
      </c>
      <c r="CG31" s="297">
        <f>IF(CF31=0,0,(CJ31*CH31)^2)</f>
        <v/>
      </c>
      <c r="CH31" s="298">
        <f>0.5*((AH31-AI31)/60)</f>
        <v/>
      </c>
      <c r="CI31" s="497">
        <f>AG31/$G$5*10^((K31-$AG$42)/10)</f>
        <v/>
      </c>
      <c r="CJ31" s="300">
        <f>IF(CK31=0,0,4.34*(CI31/CK31))</f>
        <v/>
      </c>
      <c r="CK31" s="300">
        <f>AG31/60</f>
        <v/>
      </c>
      <c r="CN31" s="183">
        <f>O31/$G$5*10^(K31/10)</f>
        <v/>
      </c>
      <c r="CO31" s="183">
        <f>R31/$G$5*10^(K31/10)</f>
        <v/>
      </c>
      <c r="CP31" s="183">
        <f>U31/$G$5*10^(K31/10)</f>
        <v/>
      </c>
      <c r="CQ31" s="183">
        <f>X31/$G$5*10^(K31/10)</f>
        <v/>
      </c>
      <c r="CR31" s="183">
        <f>AA31/$G$5*10^(K31/10)</f>
        <v/>
      </c>
      <c r="CS31" s="183">
        <f>AD31/$G$5*10^(K31/10)</f>
        <v/>
      </c>
      <c r="CT31" s="183">
        <f>AG31/$G$5*10^(K31/10)</f>
        <v/>
      </c>
      <c r="CU31" s="183">
        <f>O31/$G$5*10^(AM31/10)</f>
        <v/>
      </c>
      <c r="CV31" s="183">
        <f>R31/$G$5*10^(AM31/10)</f>
        <v/>
      </c>
      <c r="CW31" s="183">
        <f>U31/$G$5*10^(AM31/10)</f>
        <v/>
      </c>
      <c r="CX31" s="183">
        <f>X31/$G$5*10^(AM31/10)</f>
        <v/>
      </c>
      <c r="CY31" s="183">
        <f>AA31/$G$5*10^(AM31/10)</f>
        <v/>
      </c>
      <c r="CZ31" s="183">
        <f>AD31/$G$5*10^(AM31/10)</f>
        <v/>
      </c>
      <c r="DA31" s="183">
        <f>AG31/$G$5*10^(AM31/10)</f>
        <v/>
      </c>
      <c r="DB31" s="388">
        <f>IF(K31&gt;80,O31,"")</f>
        <v/>
      </c>
      <c r="DC31" s="388">
        <f>IF(K31&gt;80,O31/$DB$10*10^(L31/10),"")</f>
        <v/>
      </c>
      <c r="DD31" s="388">
        <f>IF(K31&gt;80,O31/$DB$10*10^(K31/10),"")</f>
        <v/>
      </c>
      <c r="DF31" s="184" t="n"/>
    </row>
    <row r="32" ht="27" customHeight="1" s="444">
      <c r="C32" s="264">
        <f>IF(AK32="0","T",IF((K32-AK32)&lt;65,"I",IF((K32-AK32)&lt;70,"K",IF((K32-AK32)&lt;75,"J",IF((K32-AK32)&lt;80,"K","L")))))</f>
        <v/>
      </c>
      <c r="D32" s="273">
        <f>IF(J32&lt;135,"T",IF((J32-$J$69)&lt;135,"J","L"))</f>
        <v/>
      </c>
      <c r="E32" s="267" t="inlineStr">
        <is>
          <t>⌂</t>
        </is>
      </c>
      <c r="F32" s="22">
        <f>VLOOKUP(E32,Misure_Campionate,2,FALSE)</f>
        <v/>
      </c>
      <c r="G32" s="22">
        <f>VLOOKUP(E32,Misure_Campionate,3,FALSE)</f>
        <v/>
      </c>
      <c r="H32" s="22">
        <f>VLOOKUP(E32,Misure_Campionate,4,FALSE)</f>
        <v/>
      </c>
      <c r="I32" s="63">
        <f>VLOOKUP(E32,Misure_Campionate,12,FALSE)</f>
        <v/>
      </c>
      <c r="J32" s="63">
        <f>VLOOKUP(E32,Misure_Campionate,13,FALSE)</f>
        <v/>
      </c>
      <c r="K32" s="64">
        <f>VLOOKUP(E32,Misure_Campionate,14,FALSE)</f>
        <v/>
      </c>
      <c r="L32" s="16">
        <f>VLOOKUP(E32,Misure_Campionate,15,FALSE)</f>
        <v/>
      </c>
      <c r="M32" s="23">
        <f>IF(AND($O$47&gt;87,K32&gt;80),AK32,0)</f>
        <v/>
      </c>
      <c r="N32" s="262">
        <f>IF(M32=0,"",K32-M32)</f>
        <v/>
      </c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89" t="n"/>
      <c r="AK32" s="151">
        <f>IF(K32&lt;80,"0",IF((L32-K32)&lt;=2,($L$66-(($K$66-$L$66)/4)*(L32-K32-2)),($L$66-(($L$66-$M$66)/8)*(L32-K32-2))))</f>
        <v/>
      </c>
      <c r="AL32" s="111">
        <f>IF(J32&lt;135,"",J32-$J$69)</f>
        <v/>
      </c>
      <c r="AM32" s="111">
        <f>K32-AK32</f>
        <v/>
      </c>
      <c r="AN32" s="151">
        <f>O32/$G$5*10^(AM32/10)</f>
        <v/>
      </c>
      <c r="AO32" s="84" t="n"/>
      <c r="AP32" s="469">
        <f>IF((AS32^2*(I32^2+$G$3^2+$G$4^2)&gt;0),(AS32^2*(I32^2+$G$3^2+$G$4^2)),0)</f>
        <v/>
      </c>
      <c r="AQ32" s="180">
        <f>IF(AP32=0,0,(AT32*AR32)^2)</f>
        <v/>
      </c>
      <c r="AR32" s="181">
        <f>0.5*((P32-Q32)/60)</f>
        <v/>
      </c>
      <c r="AS32" s="470">
        <f>O32/$G$5*10^((K32-$O$42)/10)</f>
        <v/>
      </c>
      <c r="AT32" s="397">
        <f>IF(AU32=0,0,4.34*(AS32/AU32))</f>
        <v/>
      </c>
      <c r="AU32" s="183">
        <f>O32/60</f>
        <v/>
      </c>
      <c r="AW32" s="496">
        <f>IF((AZ32^2*(I32^2+$G$3^2+$G$4^2)&gt;0),(AZ32^2*(I32^2+$G$3^2+$G$4^2)),0)</f>
        <v/>
      </c>
      <c r="AX32" s="297">
        <f>IF(AW32=0,0,(BA32*AY32)^2)</f>
        <v/>
      </c>
      <c r="AY32" s="298">
        <f>0.5*((S32-T32)/60)</f>
        <v/>
      </c>
      <c r="AZ32" s="497">
        <f>R32/$G$5*10^((K32-$R$42)/10)</f>
        <v/>
      </c>
      <c r="BA32" s="300">
        <f>IF(BB32=0,0,4.34*(AZ32/BB32))</f>
        <v/>
      </c>
      <c r="BB32" s="300">
        <f>R32/60</f>
        <v/>
      </c>
      <c r="BD32" s="496">
        <f>IF((BG32^2*(I32^2+$G$3^2+$G$4^2)&gt;0),(BG32^2*(I32^2+$G$3^2+$G$4^2)),0)</f>
        <v/>
      </c>
      <c r="BE32" s="297">
        <f>IF(BD32=0,0,(BH32*BF32)^2)</f>
        <v/>
      </c>
      <c r="BF32" s="298">
        <f>0.5*((V32-W32)/60)</f>
        <v/>
      </c>
      <c r="BG32" s="497">
        <f>U32/$G$5*10^((K32-$U$42)/10)</f>
        <v/>
      </c>
      <c r="BH32" s="300">
        <f>IF(BI32=0,0,4.34*(BG32/BI32))</f>
        <v/>
      </c>
      <c r="BI32" s="300">
        <f>U32/60</f>
        <v/>
      </c>
      <c r="BK32" s="496">
        <f>IF((BN32^2*(I32^2+$G$3^2+$G$4^2)&gt;0),(BN32^2*(I32^2+$G$3^2+$G$4^2)),0)</f>
        <v/>
      </c>
      <c r="BL32" s="297">
        <f>IF(BK32=0,0,(BO32*BM32)^2)</f>
        <v/>
      </c>
      <c r="BM32" s="298">
        <f>0.5*((Y32-Z32)/60)</f>
        <v/>
      </c>
      <c r="BN32" s="497">
        <f>(X32/$G$5)*(10^((K32-$X$42)*0.1))</f>
        <v/>
      </c>
      <c r="BO32" s="300">
        <f>IF(BP32=0,0,(4.34*(BN32/BP32)))</f>
        <v/>
      </c>
      <c r="BP32" s="300">
        <f>X32/60</f>
        <v/>
      </c>
      <c r="BR32" s="496">
        <f>IF((BU32^2*(I32^2+$G$3^2+$G$4^2)&gt;0),(BU32^2*(I32^2+$G$3^2+$G$4^2)),0)</f>
        <v/>
      </c>
      <c r="BS32" s="297">
        <f>IF(BR32=0,0,(BV32*BT32)^2)</f>
        <v/>
      </c>
      <c r="BT32" s="298">
        <f>0.5*((AB32-AC32)/60)</f>
        <v/>
      </c>
      <c r="BU32" s="497">
        <f>AA32/$G$5*10^((K32-$AA$42)/10)</f>
        <v/>
      </c>
      <c r="BV32" s="300">
        <f>IF(BW32=0,0,4.34*(BU32/BW32))</f>
        <v/>
      </c>
      <c r="BW32" s="300">
        <f>AA32/60</f>
        <v/>
      </c>
      <c r="BY32" s="496">
        <f>IF((CB32^2*(I32^2+$G$3^2+$G$4^2)&gt;0),(CB32^2*(I32^2+$G$3^2+$G$4^2)),0)</f>
        <v/>
      </c>
      <c r="BZ32" s="297">
        <f>IF(BY32=0,0,(CC32*CA32)^2)</f>
        <v/>
      </c>
      <c r="CA32" s="298">
        <f>0.5*((AE32-AF32)/60)</f>
        <v/>
      </c>
      <c r="CB32" s="497">
        <f>AD32/$G$5*10^((K32-$AD$42)/10)</f>
        <v/>
      </c>
      <c r="CC32" s="300">
        <f>IF(CD32=0,0,4.34*(CB32/CD32))</f>
        <v/>
      </c>
      <c r="CD32" s="300">
        <f>AD32/60</f>
        <v/>
      </c>
      <c r="CF32" s="496">
        <f>IF((CI32^2*(I32^2+$G$3^2+$G$4^2)&gt;0),(CI32^2*(I32^2+$G$3^2+$G$4^2)),0)</f>
        <v/>
      </c>
      <c r="CG32" s="297">
        <f>IF(CF32=0,0,(CJ32*CH32)^2)</f>
        <v/>
      </c>
      <c r="CH32" s="298">
        <f>0.5*((AH32-AI32)/60)</f>
        <v/>
      </c>
      <c r="CI32" s="497">
        <f>AG32/$G$5*10^((K32-$AG$42)/10)</f>
        <v/>
      </c>
      <c r="CJ32" s="300">
        <f>IF(CK32=0,0,4.34*(CI32/CK32))</f>
        <v/>
      </c>
      <c r="CK32" s="300">
        <f>AG32/60</f>
        <v/>
      </c>
      <c r="CN32" s="183">
        <f>O32/$G$5*10^(K32/10)</f>
        <v/>
      </c>
      <c r="CO32" s="183">
        <f>R32/$G$5*10^(K32/10)</f>
        <v/>
      </c>
      <c r="CP32" s="183">
        <f>U32/$G$5*10^(K32/10)</f>
        <v/>
      </c>
      <c r="CQ32" s="183">
        <f>X32/$G$5*10^(K32/10)</f>
        <v/>
      </c>
      <c r="CR32" s="183">
        <f>AA32/$G$5*10^(K32/10)</f>
        <v/>
      </c>
      <c r="CS32" s="183">
        <f>AD32/$G$5*10^(K32/10)</f>
        <v/>
      </c>
      <c r="CT32" s="183">
        <f>AG32/$G$5*10^(K32/10)</f>
        <v/>
      </c>
      <c r="CU32" s="183">
        <f>O32/$G$5*10^(AM32/10)</f>
        <v/>
      </c>
      <c r="CV32" s="183">
        <f>R32/$G$5*10^(AM32/10)</f>
        <v/>
      </c>
      <c r="CW32" s="183">
        <f>U32/$G$5*10^(AM32/10)</f>
        <v/>
      </c>
      <c r="CX32" s="183">
        <f>X32/$G$5*10^(AM32/10)</f>
        <v/>
      </c>
      <c r="CY32" s="183">
        <f>AA32/$G$5*10^(AM32/10)</f>
        <v/>
      </c>
      <c r="CZ32" s="183">
        <f>AD32/$G$5*10^(AM32/10)</f>
        <v/>
      </c>
      <c r="DA32" s="183">
        <f>AG32/$G$5*10^(AM32/10)</f>
        <v/>
      </c>
      <c r="DB32" s="388">
        <f>IF(K32&gt;80,O32,"")</f>
        <v/>
      </c>
      <c r="DC32" s="388">
        <f>IF(K32&gt;80,O32/$DB$10*10^(L32/10),"")</f>
        <v/>
      </c>
      <c r="DD32" s="388">
        <f>IF(K32&gt;80,O32/$DB$10*10^(K32/10),"")</f>
        <v/>
      </c>
      <c r="DF32" s="184" t="n"/>
    </row>
    <row r="33" ht="27" customHeight="1" s="444">
      <c r="C33" s="264">
        <f>IF(AK33="0","T",IF((K33-AK33)&lt;65,"I",IF((K33-AK33)&lt;70,"K",IF((K33-AK33)&lt;75,"J",IF((K33-AK33)&lt;80,"K","L")))))</f>
        <v/>
      </c>
      <c r="D33" s="273">
        <f>IF(J33&lt;135,"T",IF((J33-$J$69)&lt;135,"J","L"))</f>
        <v/>
      </c>
      <c r="E33" s="267" t="inlineStr">
        <is>
          <t>⌂</t>
        </is>
      </c>
      <c r="F33" s="22">
        <f>VLOOKUP(E33,Misure_Campionate,2,FALSE)</f>
        <v/>
      </c>
      <c r="G33" s="22">
        <f>VLOOKUP(E33,Misure_Campionate,3,FALSE)</f>
        <v/>
      </c>
      <c r="H33" s="22">
        <f>VLOOKUP(E33,Misure_Campionate,4,FALSE)</f>
        <v/>
      </c>
      <c r="I33" s="63">
        <f>VLOOKUP(E33,Misure_Campionate,12,FALSE)</f>
        <v/>
      </c>
      <c r="J33" s="63">
        <f>VLOOKUP(E33,Misure_Campionate,13,FALSE)</f>
        <v/>
      </c>
      <c r="K33" s="64">
        <f>VLOOKUP(E33,Misure_Campionate,14,FALSE)</f>
        <v/>
      </c>
      <c r="L33" s="16">
        <f>VLOOKUP(E33,Misure_Campionate,15,FALSE)</f>
        <v/>
      </c>
      <c r="M33" s="23">
        <f>IF(AND($O$47&gt;87,K33&gt;80),AK33,0)</f>
        <v/>
      </c>
      <c r="N33" s="262">
        <f>IF(M33=0,"",K33-M33)</f>
        <v/>
      </c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89" t="n"/>
      <c r="AK33" s="151">
        <f>IF(K33&lt;80,"0",IF((L33-K33)&lt;=2,($L$66-(($K$66-$L$66)/4)*(L33-K33-2)),($L$66-(($L$66-$M$66)/8)*(L33-K33-2))))</f>
        <v/>
      </c>
      <c r="AL33" s="111">
        <f>IF(J33&lt;135,"",J33-$J$69)</f>
        <v/>
      </c>
      <c r="AM33" s="111">
        <f>K33-AK33</f>
        <v/>
      </c>
      <c r="AN33" s="151">
        <f>O33/$G$5*10^(AM33/10)</f>
        <v/>
      </c>
      <c r="AO33" s="84" t="n"/>
      <c r="AP33" s="469">
        <f>IF((AS33^2*(I33^2+$G$3^2+$G$4^2)&gt;0),(AS33^2*(I33^2+$G$3^2+$G$4^2)),0)</f>
        <v/>
      </c>
      <c r="AQ33" s="180">
        <f>IF(AP33=0,0,(AT33*AR33)^2)</f>
        <v/>
      </c>
      <c r="AR33" s="181">
        <f>0.5*((P33-Q33)/60)</f>
        <v/>
      </c>
      <c r="AS33" s="470">
        <f>O33/$G$5*10^((K33-$O$42)/10)</f>
        <v/>
      </c>
      <c r="AT33" s="397">
        <f>IF(AU33=0,0,4.34*(AS33/AU33))</f>
        <v/>
      </c>
      <c r="AU33" s="183">
        <f>O33/60</f>
        <v/>
      </c>
      <c r="AW33" s="496">
        <f>IF((AZ33^2*(I33^2+$G$3^2+$G$4^2)&gt;0),(AZ33^2*(I33^2+$G$3^2+$G$4^2)),0)</f>
        <v/>
      </c>
      <c r="AX33" s="297">
        <f>IF(AW33=0,0,(BA33*AY33)^2)</f>
        <v/>
      </c>
      <c r="AY33" s="298">
        <f>0.5*((S33-T33)/60)</f>
        <v/>
      </c>
      <c r="AZ33" s="497">
        <f>R33/$G$5*10^((K33-$R$42)/10)</f>
        <v/>
      </c>
      <c r="BA33" s="300">
        <f>IF(BB33=0,0,4.34*(AZ33/BB33))</f>
        <v/>
      </c>
      <c r="BB33" s="300">
        <f>R33/60</f>
        <v/>
      </c>
      <c r="BD33" s="496">
        <f>IF((BG33^2*(I33^2+$G$3^2+$G$4^2)&gt;0),(BG33^2*(I33^2+$G$3^2+$G$4^2)),0)</f>
        <v/>
      </c>
      <c r="BE33" s="297">
        <f>IF(BD33=0,0,(BH33*BF33)^2)</f>
        <v/>
      </c>
      <c r="BF33" s="298">
        <f>0.5*((V33-W33)/60)</f>
        <v/>
      </c>
      <c r="BG33" s="497">
        <f>U33/$G$5*10^((K33-$U$42)/10)</f>
        <v/>
      </c>
      <c r="BH33" s="300">
        <f>IF(BI33=0,0,4.34*(BG33/BI33))</f>
        <v/>
      </c>
      <c r="BI33" s="300">
        <f>U33/60</f>
        <v/>
      </c>
      <c r="BK33" s="496">
        <f>IF((BN33^2*(I33^2+$G$3^2+$G$4^2)&gt;0),(BN33^2*(I33^2+$G$3^2+$G$4^2)),0)</f>
        <v/>
      </c>
      <c r="BL33" s="297">
        <f>IF(BK33=0,0,(BO33*BM33)^2)</f>
        <v/>
      </c>
      <c r="BM33" s="298">
        <f>0.5*((Y33-Z33)/60)</f>
        <v/>
      </c>
      <c r="BN33" s="497">
        <f>(X33/$G$5)*(10^((K33-$X$42)*0.1))</f>
        <v/>
      </c>
      <c r="BO33" s="300">
        <f>IF(BP33=0,0,(4.34*(BN33/BP33)))</f>
        <v/>
      </c>
      <c r="BP33" s="300">
        <f>X33/60</f>
        <v/>
      </c>
      <c r="BR33" s="496">
        <f>IF((BU33^2*(I33^2+$G$3^2+$G$4^2)&gt;0),(BU33^2*(I33^2+$G$3^2+$G$4^2)),0)</f>
        <v/>
      </c>
      <c r="BS33" s="297">
        <f>IF(BR33=0,0,(BV33*BT33)^2)</f>
        <v/>
      </c>
      <c r="BT33" s="298">
        <f>0.5*((AB33-AC33)/60)</f>
        <v/>
      </c>
      <c r="BU33" s="497">
        <f>AA33/$G$5*10^((K33-$AA$42)/10)</f>
        <v/>
      </c>
      <c r="BV33" s="300">
        <f>IF(BW33=0,0,4.34*(BU33/BW33))</f>
        <v/>
      </c>
      <c r="BW33" s="300">
        <f>AA33/60</f>
        <v/>
      </c>
      <c r="BY33" s="496">
        <f>IF((CB33^2*(I33^2+$G$3^2+$G$4^2)&gt;0),(CB33^2*(I33^2+$G$3^2+$G$4^2)),0)</f>
        <v/>
      </c>
      <c r="BZ33" s="297">
        <f>IF(BY33=0,0,(CC33*CA33)^2)</f>
        <v/>
      </c>
      <c r="CA33" s="298">
        <f>0.5*((AE33-AF33)/60)</f>
        <v/>
      </c>
      <c r="CB33" s="497">
        <f>AD33/$G$5*10^((K33-$AD$42)/10)</f>
        <v/>
      </c>
      <c r="CC33" s="300">
        <f>IF(CD33=0,0,4.34*(CB33/CD33))</f>
        <v/>
      </c>
      <c r="CD33" s="300">
        <f>AD33/60</f>
        <v/>
      </c>
      <c r="CF33" s="496">
        <f>IF((CI33^2*(I33^2+$G$3^2+$G$4^2)&gt;0),(CI33^2*(I33^2+$G$3^2+$G$4^2)),0)</f>
        <v/>
      </c>
      <c r="CG33" s="297">
        <f>IF(CF33=0,0,(CJ33*CH33)^2)</f>
        <v/>
      </c>
      <c r="CH33" s="298">
        <f>0.5*((AH33-AI33)/60)</f>
        <v/>
      </c>
      <c r="CI33" s="497">
        <f>AG33/$G$5*10^((K33-$AG$42)/10)</f>
        <v/>
      </c>
      <c r="CJ33" s="300">
        <f>IF(CK33=0,0,4.34*(CI33/CK33))</f>
        <v/>
      </c>
      <c r="CK33" s="300">
        <f>AG33/60</f>
        <v/>
      </c>
      <c r="CN33" s="183">
        <f>O33/$G$5*10^(K33/10)</f>
        <v/>
      </c>
      <c r="CO33" s="183">
        <f>R33/$G$5*10^(K33/10)</f>
        <v/>
      </c>
      <c r="CP33" s="183">
        <f>U33/$G$5*10^(K33/10)</f>
        <v/>
      </c>
      <c r="CQ33" s="183">
        <f>X33/$G$5*10^(K33/10)</f>
        <v/>
      </c>
      <c r="CR33" s="183">
        <f>AA33/$G$5*10^(K33/10)</f>
        <v/>
      </c>
      <c r="CS33" s="183">
        <f>AD33/$G$5*10^(K33/10)</f>
        <v/>
      </c>
      <c r="CT33" s="183">
        <f>AG33/$G$5*10^(K33/10)</f>
        <v/>
      </c>
      <c r="CU33" s="183">
        <f>O33/$G$5*10^(AM33/10)</f>
        <v/>
      </c>
      <c r="CV33" s="183">
        <f>R33/$G$5*10^(AM33/10)</f>
        <v/>
      </c>
      <c r="CW33" s="183">
        <f>U33/$G$5*10^(AM33/10)</f>
        <v/>
      </c>
      <c r="CX33" s="183">
        <f>X33/$G$5*10^(AM33/10)</f>
        <v/>
      </c>
      <c r="CY33" s="183">
        <f>AA33/$G$5*10^(AM33/10)</f>
        <v/>
      </c>
      <c r="CZ33" s="183">
        <f>AD33/$G$5*10^(AM33/10)</f>
        <v/>
      </c>
      <c r="DA33" s="183">
        <f>AG33/$G$5*10^(AM33/10)</f>
        <v/>
      </c>
      <c r="DB33" s="388">
        <f>IF(K33&gt;80,O33,"")</f>
        <v/>
      </c>
      <c r="DC33" s="388">
        <f>IF(K33&gt;80,O33/$DB$10*10^(L33/10),"")</f>
        <v/>
      </c>
      <c r="DD33" s="388">
        <f>IF(K33&gt;80,O33/$DB$10*10^(K33/10),"")</f>
        <v/>
      </c>
      <c r="DF33" s="184" t="n"/>
    </row>
    <row r="34" ht="27" customHeight="1" s="444">
      <c r="C34" s="264">
        <f>IF(AK34="0","T",IF((K34-AK34)&lt;65,"I",IF((K34-AK34)&lt;70,"K",IF((K34-AK34)&lt;75,"J",IF((K34-AK34)&lt;80,"K","L")))))</f>
        <v/>
      </c>
      <c r="D34" s="273">
        <f>IF(J34&lt;135,"T",IF((J34-$J$69)&lt;135,"J","L"))</f>
        <v/>
      </c>
      <c r="E34" s="267" t="inlineStr">
        <is>
          <t>⌂</t>
        </is>
      </c>
      <c r="F34" s="22">
        <f>VLOOKUP(E34,Misure_Campionate,2,FALSE)</f>
        <v/>
      </c>
      <c r="G34" s="22">
        <f>VLOOKUP(E34,Misure_Campionate,3,FALSE)</f>
        <v/>
      </c>
      <c r="H34" s="22">
        <f>VLOOKUP(E34,Misure_Campionate,4,FALSE)</f>
        <v/>
      </c>
      <c r="I34" s="63">
        <f>VLOOKUP(E34,Misure_Campionate,12,FALSE)</f>
        <v/>
      </c>
      <c r="J34" s="63">
        <f>VLOOKUP(E34,Misure_Campionate,13,FALSE)</f>
        <v/>
      </c>
      <c r="K34" s="64">
        <f>VLOOKUP(E34,Misure_Campionate,14,FALSE)</f>
        <v/>
      </c>
      <c r="L34" s="16">
        <f>VLOOKUP(E34,Misure_Campionate,15,FALSE)</f>
        <v/>
      </c>
      <c r="M34" s="23">
        <f>IF(AND($O$47&gt;87,K34&gt;80),AK34,0)</f>
        <v/>
      </c>
      <c r="N34" s="262">
        <f>IF(M34=0,"",K34-M34)</f>
        <v/>
      </c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89" t="n"/>
      <c r="AK34" s="151">
        <f>IF(K34&lt;80,"0",IF((L34-K34)&lt;=2,($L$66-(($K$66-$L$66)/4)*(L34-K34-2)),($L$66-(($L$66-$M$66)/8)*(L34-K34-2))))</f>
        <v/>
      </c>
      <c r="AL34" s="111">
        <f>IF(J34&lt;135,"",J34-$J$69)</f>
        <v/>
      </c>
      <c r="AM34" s="111">
        <f>K34-AK34</f>
        <v/>
      </c>
      <c r="AN34" s="151">
        <f>O34/$G$5*10^(AM34/10)</f>
        <v/>
      </c>
      <c r="AO34" s="84" t="n"/>
      <c r="AP34" s="469">
        <f>IF((AS34^2*(I34^2+$G$3^2+$G$4^2)&gt;0),(AS34^2*(I34^2+$G$3^2+$G$4^2)),0)</f>
        <v/>
      </c>
      <c r="AQ34" s="180">
        <f>IF(AP34=0,0,(AT34*AR34)^2)</f>
        <v/>
      </c>
      <c r="AR34" s="181">
        <f>0.5*((P34-Q34)/60)</f>
        <v/>
      </c>
      <c r="AS34" s="470">
        <f>O34/$G$5*10^((K34-$O$42)/10)</f>
        <v/>
      </c>
      <c r="AT34" s="397">
        <f>IF(AU34=0,0,4.34*(AS34/AU34))</f>
        <v/>
      </c>
      <c r="AU34" s="183">
        <f>O34/60</f>
        <v/>
      </c>
      <c r="AW34" s="496">
        <f>IF((AZ34^2*(I34^2+$G$3^2+$G$4^2)&gt;0),(AZ34^2*(I34^2+$G$3^2+$G$4^2)),0)</f>
        <v/>
      </c>
      <c r="AX34" s="297">
        <f>IF(AW34=0,0,(BA34*AY34)^2)</f>
        <v/>
      </c>
      <c r="AY34" s="298">
        <f>0.5*((S34-T34)/60)</f>
        <v/>
      </c>
      <c r="AZ34" s="497">
        <f>R34/$G$5*10^((K34-$R$42)/10)</f>
        <v/>
      </c>
      <c r="BA34" s="300">
        <f>IF(BB34=0,0,4.34*(AZ34/BB34))</f>
        <v/>
      </c>
      <c r="BB34" s="300">
        <f>R34/60</f>
        <v/>
      </c>
      <c r="BD34" s="496">
        <f>IF((BG34^2*(I34^2+$G$3^2+$G$4^2)&gt;0),(BG34^2*(I34^2+$G$3^2+$G$4^2)),0)</f>
        <v/>
      </c>
      <c r="BE34" s="297">
        <f>IF(BD34=0,0,(BH34*BF34)^2)</f>
        <v/>
      </c>
      <c r="BF34" s="298">
        <f>0.5*((V34-W34)/60)</f>
        <v/>
      </c>
      <c r="BG34" s="497">
        <f>U34/$G$5*10^((K34-$U$42)/10)</f>
        <v/>
      </c>
      <c r="BH34" s="300">
        <f>IF(BI34=0,0,4.34*(BG34/BI34))</f>
        <v/>
      </c>
      <c r="BI34" s="300">
        <f>U34/60</f>
        <v/>
      </c>
      <c r="BK34" s="496">
        <f>IF((BN34^2*(I34^2+$G$3^2+$G$4^2)&gt;0),(BN34^2*(I34^2+$G$3^2+$G$4^2)),0)</f>
        <v/>
      </c>
      <c r="BL34" s="297">
        <f>IF(BK34=0,0,(BO34*BM34)^2)</f>
        <v/>
      </c>
      <c r="BM34" s="298">
        <f>0.5*((Y34-Z34)/60)</f>
        <v/>
      </c>
      <c r="BN34" s="497">
        <f>(X34/$G$5)*(10^((K34-$X$42)*0.1))</f>
        <v/>
      </c>
      <c r="BO34" s="300">
        <f>IF(BP34=0,0,(4.34*(BN34/BP34)))</f>
        <v/>
      </c>
      <c r="BP34" s="300">
        <f>X34/60</f>
        <v/>
      </c>
      <c r="BR34" s="496">
        <f>IF((BU34^2*(I34^2+$G$3^2+$G$4^2)&gt;0),(BU34^2*(I34^2+$G$3^2+$G$4^2)),0)</f>
        <v/>
      </c>
      <c r="BS34" s="297">
        <f>IF(BR34=0,0,(BV34*BT34)^2)</f>
        <v/>
      </c>
      <c r="BT34" s="298">
        <f>0.5*((AB34-AC34)/60)</f>
        <v/>
      </c>
      <c r="BU34" s="497">
        <f>AA34/$G$5*10^((K34-$AA$42)/10)</f>
        <v/>
      </c>
      <c r="BV34" s="300">
        <f>IF(BW34=0,0,4.34*(BU34/BW34))</f>
        <v/>
      </c>
      <c r="BW34" s="300">
        <f>AA34/60</f>
        <v/>
      </c>
      <c r="BY34" s="496">
        <f>IF((CB34^2*(I34^2+$G$3^2+$G$4^2)&gt;0),(CB34^2*(I34^2+$G$3^2+$G$4^2)),0)</f>
        <v/>
      </c>
      <c r="BZ34" s="297">
        <f>IF(BY34=0,0,(CC34*CA34)^2)</f>
        <v/>
      </c>
      <c r="CA34" s="298">
        <f>0.5*((AE34-AF34)/60)</f>
        <v/>
      </c>
      <c r="CB34" s="497">
        <f>AD34/$G$5*10^((K34-$AD$42)/10)</f>
        <v/>
      </c>
      <c r="CC34" s="300">
        <f>IF(CD34=0,0,4.34*(CB34/CD34))</f>
        <v/>
      </c>
      <c r="CD34" s="300">
        <f>AD34/60</f>
        <v/>
      </c>
      <c r="CF34" s="496">
        <f>IF((CI34^2*(I34^2+$G$3^2+$G$4^2)&gt;0),(CI34^2*(I34^2+$G$3^2+$G$4^2)),0)</f>
        <v/>
      </c>
      <c r="CG34" s="297">
        <f>IF(CF34=0,0,(CJ34*CH34)^2)</f>
        <v/>
      </c>
      <c r="CH34" s="298">
        <f>0.5*((AH34-AI34)/60)</f>
        <v/>
      </c>
      <c r="CI34" s="497">
        <f>AG34/$G$5*10^((K34-$AG$42)/10)</f>
        <v/>
      </c>
      <c r="CJ34" s="300">
        <f>IF(CK34=0,0,4.34*(CI34/CK34))</f>
        <v/>
      </c>
      <c r="CK34" s="300">
        <f>AG34/60</f>
        <v/>
      </c>
      <c r="CN34" s="183">
        <f>O34/$G$5*10^(K34/10)</f>
        <v/>
      </c>
      <c r="CO34" s="183">
        <f>R34/$G$5*10^(K34/10)</f>
        <v/>
      </c>
      <c r="CP34" s="183">
        <f>U34/$G$5*10^(K34/10)</f>
        <v/>
      </c>
      <c r="CQ34" s="183">
        <f>X34/$G$5*10^(K34/10)</f>
        <v/>
      </c>
      <c r="CR34" s="183">
        <f>AA34/$G$5*10^(K34/10)</f>
        <v/>
      </c>
      <c r="CS34" s="183">
        <f>AD34/$G$5*10^(K34/10)</f>
        <v/>
      </c>
      <c r="CT34" s="183">
        <f>AG34/$G$5*10^(K34/10)</f>
        <v/>
      </c>
      <c r="CU34" s="183">
        <f>O34/$G$5*10^(AM34/10)</f>
        <v/>
      </c>
      <c r="CV34" s="183">
        <f>R34/$G$5*10^(AM34/10)</f>
        <v/>
      </c>
      <c r="CW34" s="183">
        <f>U34/$G$5*10^(AM34/10)</f>
        <v/>
      </c>
      <c r="CX34" s="183">
        <f>X34/$G$5*10^(AM34/10)</f>
        <v/>
      </c>
      <c r="CY34" s="183">
        <f>AA34/$G$5*10^(AM34/10)</f>
        <v/>
      </c>
      <c r="CZ34" s="183">
        <f>AD34/$G$5*10^(AM34/10)</f>
        <v/>
      </c>
      <c r="DA34" s="183">
        <f>AG34/$G$5*10^(AM34/10)</f>
        <v/>
      </c>
      <c r="DB34" s="388">
        <f>IF(K34&gt;80,O34,"")</f>
        <v/>
      </c>
      <c r="DC34" s="388">
        <f>IF(K34&gt;80,O34/$DB$10*10^(L34/10),"")</f>
        <v/>
      </c>
      <c r="DD34" s="388">
        <f>IF(K34&gt;80,O34/$DB$10*10^(K34/10),"")</f>
        <v/>
      </c>
      <c r="DF34" s="184" t="n"/>
    </row>
    <row r="35" ht="27" customHeight="1" s="444">
      <c r="C35" s="264">
        <f>IF(AK35="0","T",IF((K35-AK35)&lt;65,"I",IF((K35-AK35)&lt;70,"K",IF((K35-AK35)&lt;75,"J",IF((K35-AK35)&lt;80,"K","L")))))</f>
        <v/>
      </c>
      <c r="D35" s="273">
        <f>IF(J35&lt;135,"T",IF((J35-$J$69)&lt;135,"J","L"))</f>
        <v/>
      </c>
      <c r="E35" s="267" t="inlineStr">
        <is>
          <t>⌂</t>
        </is>
      </c>
      <c r="F35" s="22">
        <f>VLOOKUP(E35,Misure_Campionate,2,FALSE)</f>
        <v/>
      </c>
      <c r="G35" s="22">
        <f>VLOOKUP(E35,Misure_Campionate,3,FALSE)</f>
        <v/>
      </c>
      <c r="H35" s="22">
        <f>VLOOKUP(E35,Misure_Campionate,4,FALSE)</f>
        <v/>
      </c>
      <c r="I35" s="63">
        <f>VLOOKUP(E35,Misure_Campionate,12,FALSE)</f>
        <v/>
      </c>
      <c r="J35" s="63">
        <f>VLOOKUP(E35,Misure_Campionate,13,FALSE)</f>
        <v/>
      </c>
      <c r="K35" s="64">
        <f>VLOOKUP(E35,Misure_Campionate,14,FALSE)</f>
        <v/>
      </c>
      <c r="L35" s="16">
        <f>VLOOKUP(E35,Misure_Campionate,15,FALSE)</f>
        <v/>
      </c>
      <c r="M35" s="23">
        <f>IF(AND($O$47&gt;87,K35&gt;80),AK35,0)</f>
        <v/>
      </c>
      <c r="N35" s="262">
        <f>IF(M35=0,"",K35-M35)</f>
        <v/>
      </c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89" t="n"/>
      <c r="AK35" s="151">
        <f>IF(K35&lt;80,"0",IF((L35-K35)&lt;=2,($L$66-(($K$66-$L$66)/4)*(L35-K35-2)),($L$66-(($L$66-$M$66)/8)*(L35-K35-2))))</f>
        <v/>
      </c>
      <c r="AL35" s="111">
        <f>IF(J35&lt;135,"",J35-$J$69)</f>
        <v/>
      </c>
      <c r="AM35" s="111">
        <f>K35-AK35</f>
        <v/>
      </c>
      <c r="AN35" s="151">
        <f>O35/$G$5*10^(AM35/10)</f>
        <v/>
      </c>
      <c r="AO35" s="84" t="n"/>
      <c r="AP35" s="469">
        <f>IF((AS35^2*(I35^2+$G$3^2+$G$4^2)&gt;0),(AS35^2*(I35^2+$G$3^2+$G$4^2)),0)</f>
        <v/>
      </c>
      <c r="AQ35" s="180">
        <f>IF(AP35=0,0,(AT35*AR35)^2)</f>
        <v/>
      </c>
      <c r="AR35" s="181">
        <f>0.5*((P35-Q35)/60)</f>
        <v/>
      </c>
      <c r="AS35" s="470">
        <f>O35/$G$5*10^((K35-$O$42)/10)</f>
        <v/>
      </c>
      <c r="AT35" s="397">
        <f>IF(AU35=0,0,4.34*(AS35/AU35))</f>
        <v/>
      </c>
      <c r="AU35" s="183">
        <f>O35/60</f>
        <v/>
      </c>
      <c r="AW35" s="496">
        <f>IF((AZ35^2*(I35^2+$G$3^2+$G$4^2)&gt;0),(AZ35^2*(I35^2+$G$3^2+$G$4^2)),0)</f>
        <v/>
      </c>
      <c r="AX35" s="297">
        <f>IF(AW35=0,0,(BA35*AY35)^2)</f>
        <v/>
      </c>
      <c r="AY35" s="298">
        <f>0.5*((S35-T35)/60)</f>
        <v/>
      </c>
      <c r="AZ35" s="497">
        <f>R35/$G$5*10^((K35-$R$42)/10)</f>
        <v/>
      </c>
      <c r="BA35" s="300">
        <f>IF(BB35=0,0,4.34*(AZ35/BB35))</f>
        <v/>
      </c>
      <c r="BB35" s="300">
        <f>R35/60</f>
        <v/>
      </c>
      <c r="BD35" s="496">
        <f>IF((BG35^2*(I35^2+$G$3^2+$G$4^2)&gt;0),(BG35^2*(I35^2+$G$3^2+$G$4^2)),0)</f>
        <v/>
      </c>
      <c r="BE35" s="297">
        <f>IF(BD35=0,0,(BH35*BF35)^2)</f>
        <v/>
      </c>
      <c r="BF35" s="298">
        <f>0.5*((V35-W35)/60)</f>
        <v/>
      </c>
      <c r="BG35" s="497">
        <f>U35/$G$5*10^((K35-$U$42)/10)</f>
        <v/>
      </c>
      <c r="BH35" s="300">
        <f>IF(BI35=0,0,4.34*(BG35/BI35))</f>
        <v/>
      </c>
      <c r="BI35" s="300">
        <f>U35/60</f>
        <v/>
      </c>
      <c r="BK35" s="496">
        <f>IF((BN35^2*(I35^2+$G$3^2+$G$4^2)&gt;0),(BN35^2*(I35^2+$G$3^2+$G$4^2)),0)</f>
        <v/>
      </c>
      <c r="BL35" s="297">
        <f>IF(BK35=0,0,(BO35*BM35)^2)</f>
        <v/>
      </c>
      <c r="BM35" s="298">
        <f>0.5*((Y35-Z35)/60)</f>
        <v/>
      </c>
      <c r="BN35" s="497">
        <f>(X35/$G$5)*(10^((K35-$X$42)*0.1))</f>
        <v/>
      </c>
      <c r="BO35" s="300">
        <f>IF(BP35=0,0,(4.34*(BN35/BP35)))</f>
        <v/>
      </c>
      <c r="BP35" s="300">
        <f>X35/60</f>
        <v/>
      </c>
      <c r="BR35" s="496">
        <f>IF((BU35^2*(I35^2+$G$3^2+$G$4^2)&gt;0),(BU35^2*(I35^2+$G$3^2+$G$4^2)),0)</f>
        <v/>
      </c>
      <c r="BS35" s="297">
        <f>IF(BR35=0,0,(BV35*BT35)^2)</f>
        <v/>
      </c>
      <c r="BT35" s="298">
        <f>0.5*((AB35-AC35)/60)</f>
        <v/>
      </c>
      <c r="BU35" s="497">
        <f>AA35/$G$5*10^((K35-$AA$42)/10)</f>
        <v/>
      </c>
      <c r="BV35" s="300">
        <f>IF(BW35=0,0,4.34*(BU35/BW35))</f>
        <v/>
      </c>
      <c r="BW35" s="300">
        <f>AA35/60</f>
        <v/>
      </c>
      <c r="BY35" s="496">
        <f>IF((CB35^2*(I35^2+$G$3^2+$G$4^2)&gt;0),(CB35^2*(I35^2+$G$3^2+$G$4^2)),0)</f>
        <v/>
      </c>
      <c r="BZ35" s="297">
        <f>IF(BY35=0,0,(CC35*CA35)^2)</f>
        <v/>
      </c>
      <c r="CA35" s="298">
        <f>0.5*((AE35-AF35)/60)</f>
        <v/>
      </c>
      <c r="CB35" s="497">
        <f>AD35/$G$5*10^((K35-$AD$42)/10)</f>
        <v/>
      </c>
      <c r="CC35" s="300">
        <f>IF(CD35=0,0,4.34*(CB35/CD35))</f>
        <v/>
      </c>
      <c r="CD35" s="300">
        <f>AD35/60</f>
        <v/>
      </c>
      <c r="CF35" s="496">
        <f>IF((CI35^2*(I35^2+$G$3^2+$G$4^2)&gt;0),(CI35^2*(I35^2+$G$3^2+$G$4^2)),0)</f>
        <v/>
      </c>
      <c r="CG35" s="297">
        <f>IF(CF35=0,0,(CJ35*CH35)^2)</f>
        <v/>
      </c>
      <c r="CH35" s="298">
        <f>0.5*((AH35-AI35)/60)</f>
        <v/>
      </c>
      <c r="CI35" s="497">
        <f>AG35/$G$5*10^((K35-$AG$42)/10)</f>
        <v/>
      </c>
      <c r="CJ35" s="300">
        <f>IF(CK35=0,0,4.34*(CI35/CK35))</f>
        <v/>
      </c>
      <c r="CK35" s="300">
        <f>AG35/60</f>
        <v/>
      </c>
      <c r="CN35" s="183">
        <f>O35/$G$5*10^(K35/10)</f>
        <v/>
      </c>
      <c r="CO35" s="183">
        <f>R35/$G$5*10^(K35/10)</f>
        <v/>
      </c>
      <c r="CP35" s="183">
        <f>U35/$G$5*10^(K35/10)</f>
        <v/>
      </c>
      <c r="CQ35" s="183">
        <f>X35/$G$5*10^(K35/10)</f>
        <v/>
      </c>
      <c r="CR35" s="183">
        <f>AA35/$G$5*10^(K35/10)</f>
        <v/>
      </c>
      <c r="CS35" s="183">
        <f>AD35/$G$5*10^(K35/10)</f>
        <v/>
      </c>
      <c r="CT35" s="183">
        <f>AG35/$G$5*10^(K35/10)</f>
        <v/>
      </c>
      <c r="CU35" s="183">
        <f>O35/$G$5*10^(AM35/10)</f>
        <v/>
      </c>
      <c r="CV35" s="183">
        <f>R35/$G$5*10^(AM35/10)</f>
        <v/>
      </c>
      <c r="CW35" s="183">
        <f>U35/$G$5*10^(AM35/10)</f>
        <v/>
      </c>
      <c r="CX35" s="183">
        <f>X35/$G$5*10^(AM35/10)</f>
        <v/>
      </c>
      <c r="CY35" s="183">
        <f>AA35/$G$5*10^(AM35/10)</f>
        <v/>
      </c>
      <c r="CZ35" s="183">
        <f>AD35/$G$5*10^(AM35/10)</f>
        <v/>
      </c>
      <c r="DA35" s="183">
        <f>AG35/$G$5*10^(AM35/10)</f>
        <v/>
      </c>
      <c r="DB35" s="388">
        <f>IF(K35&gt;80,O35,"")</f>
        <v/>
      </c>
      <c r="DC35" s="388">
        <f>IF(K35&gt;80,O35/$DB$10*10^(L35/10),"")</f>
        <v/>
      </c>
      <c r="DD35" s="388">
        <f>IF(K35&gt;80,O35/$DB$10*10^(K35/10),"")</f>
        <v/>
      </c>
      <c r="DF35" s="184" t="n"/>
    </row>
    <row r="36" ht="27" customHeight="1" s="444">
      <c r="C36" s="264">
        <f>IF(AK36="0","T",IF((K36-AK36)&lt;65,"I",IF((K36-AK36)&lt;70,"K",IF((K36-AK36)&lt;75,"J",IF((K36-AK36)&lt;80,"K","L")))))</f>
        <v/>
      </c>
      <c r="D36" s="273">
        <f>IF(J36&lt;135,"T",IF((J36-$J$69)&lt;135,"J","L"))</f>
        <v/>
      </c>
      <c r="E36" s="267" t="inlineStr">
        <is>
          <t>⌂</t>
        </is>
      </c>
      <c r="F36" s="22">
        <f>VLOOKUP(E36,Misure_Campionate,2,FALSE)</f>
        <v/>
      </c>
      <c r="G36" s="22">
        <f>VLOOKUP(E36,Misure_Campionate,3,FALSE)</f>
        <v/>
      </c>
      <c r="H36" s="22">
        <f>VLOOKUP(E36,Misure_Campionate,4,FALSE)</f>
        <v/>
      </c>
      <c r="I36" s="63">
        <f>VLOOKUP(E36,Misure_Campionate,12,FALSE)</f>
        <v/>
      </c>
      <c r="J36" s="63">
        <f>VLOOKUP(E36,Misure_Campionate,13,FALSE)</f>
        <v/>
      </c>
      <c r="K36" s="64">
        <f>VLOOKUP(E36,Misure_Campionate,14,FALSE)</f>
        <v/>
      </c>
      <c r="L36" s="16">
        <f>VLOOKUP(E36,Misure_Campionate,15,FALSE)</f>
        <v/>
      </c>
      <c r="M36" s="23">
        <f>IF(AND($O$47&gt;87,K36&gt;80),AK36,0)</f>
        <v/>
      </c>
      <c r="N36" s="262">
        <f>IF(M36=0,"",K36-M36)</f>
        <v/>
      </c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89" t="n"/>
      <c r="AK36" s="151">
        <f>IF(K36&lt;80,"0",IF((L36-K36)&lt;=2,($L$66-(($K$66-$L$66)/4)*(L36-K36-2)),($L$66-(($L$66-$M$66)/8)*(L36-K36-2))))</f>
        <v/>
      </c>
      <c r="AL36" s="111">
        <f>IF(J36&lt;135,"",J36-$J$69)</f>
        <v/>
      </c>
      <c r="AM36" s="111">
        <f>K36-AK36</f>
        <v/>
      </c>
      <c r="AN36" s="151">
        <f>O36/$G$5*10^(AM36/10)</f>
        <v/>
      </c>
      <c r="AO36" s="84" t="n"/>
      <c r="AP36" s="469">
        <f>IF((AS36^2*(I36^2+$G$3^2+$G$4^2)&gt;0),(AS36^2*(I36^2+$G$3^2+$G$4^2)),0)</f>
        <v/>
      </c>
      <c r="AQ36" s="180">
        <f>IF(AP36=0,0,(AT36*AR36)^2)</f>
        <v/>
      </c>
      <c r="AR36" s="181">
        <f>0.5*((P36-Q36)/60)</f>
        <v/>
      </c>
      <c r="AS36" s="470">
        <f>O36/$G$5*10^((K36-$O$42)/10)</f>
        <v/>
      </c>
      <c r="AT36" s="397">
        <f>IF(AU36=0,0,4.34*(AS36/AU36))</f>
        <v/>
      </c>
      <c r="AU36" s="183">
        <f>O36/60</f>
        <v/>
      </c>
      <c r="AW36" s="496">
        <f>IF((AZ36^2*(I36^2+$G$3^2+$G$4^2)&gt;0),(AZ36^2*(I36^2+$G$3^2+$G$4^2)),0)</f>
        <v/>
      </c>
      <c r="AX36" s="297">
        <f>IF(AW36=0,0,(BA36*AY36)^2)</f>
        <v/>
      </c>
      <c r="AY36" s="298">
        <f>0.5*((S36-T36)/60)</f>
        <v/>
      </c>
      <c r="AZ36" s="497">
        <f>R36/$G$5*10^((K36-$R$42)/10)</f>
        <v/>
      </c>
      <c r="BA36" s="300">
        <f>IF(BB36=0,0,4.34*(AZ36/BB36))</f>
        <v/>
      </c>
      <c r="BB36" s="300">
        <f>R36/60</f>
        <v/>
      </c>
      <c r="BD36" s="496">
        <f>IF((BG36^2*(I36^2+$G$3^2+$G$4^2)&gt;0),(BG36^2*(I36^2+$G$3^2+$G$4^2)),0)</f>
        <v/>
      </c>
      <c r="BE36" s="297">
        <f>IF(BD36=0,0,(BH36*BF36)^2)</f>
        <v/>
      </c>
      <c r="BF36" s="298">
        <f>0.5*((V36-W36)/60)</f>
        <v/>
      </c>
      <c r="BG36" s="497">
        <f>U36/$G$5*10^((K36-$U$42)/10)</f>
        <v/>
      </c>
      <c r="BH36" s="300">
        <f>IF(BI36=0,0,4.34*(BG36/BI36))</f>
        <v/>
      </c>
      <c r="BI36" s="300">
        <f>U36/60</f>
        <v/>
      </c>
      <c r="BK36" s="496">
        <f>IF((BN36^2*(I36^2+$G$3^2+$G$4^2)&gt;0),(BN36^2*(I36^2+$G$3^2+$G$4^2)),0)</f>
        <v/>
      </c>
      <c r="BL36" s="297">
        <f>IF(BK36=0,0,(BO36*BM36)^2)</f>
        <v/>
      </c>
      <c r="BM36" s="298">
        <f>0.5*((Y36-Z36)/60)</f>
        <v/>
      </c>
      <c r="BN36" s="497">
        <f>(X36/$G$5)*(10^((K36-$X$42)*0.1))</f>
        <v/>
      </c>
      <c r="BO36" s="300">
        <f>IF(BP36=0,0,(4.34*(BN36/BP36)))</f>
        <v/>
      </c>
      <c r="BP36" s="300">
        <f>X36/60</f>
        <v/>
      </c>
      <c r="BR36" s="496">
        <f>IF((BU36^2*(I36^2+$G$3^2+$G$4^2)&gt;0),(BU36^2*(I36^2+$G$3^2+$G$4^2)),0)</f>
        <v/>
      </c>
      <c r="BS36" s="297">
        <f>IF(BR36=0,0,(BV36*BT36)^2)</f>
        <v/>
      </c>
      <c r="BT36" s="298">
        <f>0.5*((AB36-AC36)/60)</f>
        <v/>
      </c>
      <c r="BU36" s="497">
        <f>AA36/$G$5*10^((K36-$AA$42)/10)</f>
        <v/>
      </c>
      <c r="BV36" s="300">
        <f>IF(BW36=0,0,4.34*(BU36/BW36))</f>
        <v/>
      </c>
      <c r="BW36" s="300">
        <f>AA36/60</f>
        <v/>
      </c>
      <c r="BY36" s="496">
        <f>IF((CB36^2*(I36^2+$G$3^2+$G$4^2)&gt;0),(CB36^2*(I36^2+$G$3^2+$G$4^2)),0)</f>
        <v/>
      </c>
      <c r="BZ36" s="297">
        <f>IF(BY36=0,0,(CC36*CA36)^2)</f>
        <v/>
      </c>
      <c r="CA36" s="298">
        <f>0.5*((AE36-AF36)/60)</f>
        <v/>
      </c>
      <c r="CB36" s="497">
        <f>AD36/$G$5*10^((K36-$AD$42)/10)</f>
        <v/>
      </c>
      <c r="CC36" s="300">
        <f>IF(CD36=0,0,4.34*(CB36/CD36))</f>
        <v/>
      </c>
      <c r="CD36" s="300">
        <f>AD36/60</f>
        <v/>
      </c>
      <c r="CF36" s="496">
        <f>IF((CI36^2*(I36^2+$G$3^2+$G$4^2)&gt;0),(CI36^2*(I36^2+$G$3^2+$G$4^2)),0)</f>
        <v/>
      </c>
      <c r="CG36" s="297">
        <f>IF(CF36=0,0,(CJ36*CH36)^2)</f>
        <v/>
      </c>
      <c r="CH36" s="298">
        <f>0.5*((AH36-AI36)/60)</f>
        <v/>
      </c>
      <c r="CI36" s="497">
        <f>AG36/$G$5*10^((K36-$AG$42)/10)</f>
        <v/>
      </c>
      <c r="CJ36" s="300">
        <f>IF(CK36=0,0,4.34*(CI36/CK36))</f>
        <v/>
      </c>
      <c r="CK36" s="300">
        <f>AG36/60</f>
        <v/>
      </c>
      <c r="CN36" s="183">
        <f>O36/$G$5*10^(K36/10)</f>
        <v/>
      </c>
      <c r="CO36" s="183">
        <f>R36/$G$5*10^(K36/10)</f>
        <v/>
      </c>
      <c r="CP36" s="183">
        <f>U36/$G$5*10^(K36/10)</f>
        <v/>
      </c>
      <c r="CQ36" s="183">
        <f>X36/$G$5*10^(K36/10)</f>
        <v/>
      </c>
      <c r="CR36" s="183">
        <f>AA36/$G$5*10^(K36/10)</f>
        <v/>
      </c>
      <c r="CS36" s="183">
        <f>AD36/$G$5*10^(K36/10)</f>
        <v/>
      </c>
      <c r="CT36" s="183">
        <f>AG36/$G$5*10^(K36/10)</f>
        <v/>
      </c>
      <c r="CU36" s="183">
        <f>O36/$G$5*10^(AM36/10)</f>
        <v/>
      </c>
      <c r="CV36" s="183">
        <f>R36/$G$5*10^(AM36/10)</f>
        <v/>
      </c>
      <c r="CW36" s="183">
        <f>U36/$G$5*10^(AM36/10)</f>
        <v/>
      </c>
      <c r="CX36" s="183">
        <f>X36/$G$5*10^(AM36/10)</f>
        <v/>
      </c>
      <c r="CY36" s="183">
        <f>AA36/$G$5*10^(AM36/10)</f>
        <v/>
      </c>
      <c r="CZ36" s="183">
        <f>AD36/$G$5*10^(AM36/10)</f>
        <v/>
      </c>
      <c r="DA36" s="183">
        <f>AG36/$G$5*10^(AM36/10)</f>
        <v/>
      </c>
      <c r="DB36" s="388">
        <f>IF(K36&gt;80,O36,"")</f>
        <v/>
      </c>
      <c r="DC36" s="388">
        <f>IF(K36&gt;80,O36/$DB$10*10^(L36/10),"")</f>
        <v/>
      </c>
      <c r="DD36" s="388">
        <f>IF(K36&gt;80,O36/$DB$10*10^(K36/10),"")</f>
        <v/>
      </c>
      <c r="DF36" s="184" t="n"/>
    </row>
    <row r="37" ht="27" customHeight="1" s="444">
      <c r="C37" s="264">
        <f>IF(AK37="0","T",IF((K37-AK37)&lt;65,"I",IF((K37-AK37)&lt;70,"K",IF((K37-AK37)&lt;75,"J",IF((K37-AK37)&lt;80,"K","L")))))</f>
        <v/>
      </c>
      <c r="D37" s="273">
        <f>IF(J37&lt;135,"T",IF((J37-$J$69)&lt;135,"J","L"))</f>
        <v/>
      </c>
      <c r="E37" s="267" t="inlineStr">
        <is>
          <t>⌂</t>
        </is>
      </c>
      <c r="F37" s="22">
        <f>VLOOKUP(E37,Misure_Campionate,2,FALSE)</f>
        <v/>
      </c>
      <c r="G37" s="22">
        <f>VLOOKUP(E37,Misure_Campionate,3,FALSE)</f>
        <v/>
      </c>
      <c r="H37" s="22">
        <f>VLOOKUP(E37,Misure_Campionate,4,FALSE)</f>
        <v/>
      </c>
      <c r="I37" s="63">
        <f>VLOOKUP(E37,Misure_Campionate,12,FALSE)</f>
        <v/>
      </c>
      <c r="J37" s="63">
        <f>VLOOKUP(E37,Misure_Campionate,13,FALSE)</f>
        <v/>
      </c>
      <c r="K37" s="64">
        <f>VLOOKUP(E37,Misure_Campionate,14,FALSE)</f>
        <v/>
      </c>
      <c r="L37" s="16">
        <f>VLOOKUP(E37,Misure_Campionate,15,FALSE)</f>
        <v/>
      </c>
      <c r="M37" s="23">
        <f>IF(AND($O$47&gt;87,K37&gt;80),AK37,0)</f>
        <v/>
      </c>
      <c r="N37" s="262">
        <f>IF(M37=0,"",K37-M37)</f>
        <v/>
      </c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89" t="n"/>
      <c r="AK37" s="151">
        <f>IF(K37&lt;80,"0",IF((L37-K37)&lt;=2,($L$66-(($K$66-$L$66)/4)*(L37-K37-2)),($L$66-(($L$66-$M$66)/8)*(L37-K37-2))))</f>
        <v/>
      </c>
      <c r="AL37" s="111">
        <f>IF(J37&lt;135,"",J37-$J$69)</f>
        <v/>
      </c>
      <c r="AM37" s="111">
        <f>K37-AK37</f>
        <v/>
      </c>
      <c r="AN37" s="151">
        <f>O37/$G$5*10^(AM37/10)</f>
        <v/>
      </c>
      <c r="AO37" s="84" t="n"/>
      <c r="AP37" s="469">
        <f>IF((AS37^2*(I37^2+$G$3^2+$G$4^2)&gt;0),(AS37^2*(I37^2+$G$3^2+$G$4^2)),0)</f>
        <v/>
      </c>
      <c r="AQ37" s="180">
        <f>IF(AP37=0,0,(AT37*AR37)^2)</f>
        <v/>
      </c>
      <c r="AR37" s="181">
        <f>0.5*((P37-Q37)/60)</f>
        <v/>
      </c>
      <c r="AS37" s="470">
        <f>O37/$G$5*10^((K37-$O$42)/10)</f>
        <v/>
      </c>
      <c r="AT37" s="397">
        <f>IF(AU37=0,0,4.34*(AS37/AU37))</f>
        <v/>
      </c>
      <c r="AU37" s="183">
        <f>O37/60</f>
        <v/>
      </c>
      <c r="AW37" s="496">
        <f>IF((AZ37^2*(I37^2+$G$3^2+$G$4^2)&gt;0),(AZ37^2*(I37^2+$G$3^2+$G$4^2)),0)</f>
        <v/>
      </c>
      <c r="AX37" s="297">
        <f>IF(AW37=0,0,(BA37*AY37)^2)</f>
        <v/>
      </c>
      <c r="AY37" s="298">
        <f>0.5*((S37-T37)/60)</f>
        <v/>
      </c>
      <c r="AZ37" s="497">
        <f>R37/$G$5*10^((K37-$R$42)/10)</f>
        <v/>
      </c>
      <c r="BA37" s="300">
        <f>IF(BB37=0,0,4.34*(AZ37/BB37))</f>
        <v/>
      </c>
      <c r="BB37" s="300">
        <f>R37/60</f>
        <v/>
      </c>
      <c r="BD37" s="496">
        <f>IF((BG37^2*(I37^2+$G$3^2+$G$4^2)&gt;0),(BG37^2*(I37^2+$G$3^2+$G$4^2)),0)</f>
        <v/>
      </c>
      <c r="BE37" s="297">
        <f>IF(BD37=0,0,(BH37*BF37)^2)</f>
        <v/>
      </c>
      <c r="BF37" s="298">
        <f>0.5*((V37-W37)/60)</f>
        <v/>
      </c>
      <c r="BG37" s="497">
        <f>U37/$G$5*10^((K37-$U$42)/10)</f>
        <v/>
      </c>
      <c r="BH37" s="300">
        <f>IF(BI37=0,0,4.34*(BG37/BI37))</f>
        <v/>
      </c>
      <c r="BI37" s="300">
        <f>U37/60</f>
        <v/>
      </c>
      <c r="BK37" s="496">
        <f>IF((BN37^2*(I37^2+$G$3^2+$G$4^2)&gt;0),(BN37^2*(I37^2+$G$3^2+$G$4^2)),0)</f>
        <v/>
      </c>
      <c r="BL37" s="297">
        <f>IF(BK37=0,0,(BO37*BM37)^2)</f>
        <v/>
      </c>
      <c r="BM37" s="298">
        <f>0.5*((Y37-Z37)/60)</f>
        <v/>
      </c>
      <c r="BN37" s="497">
        <f>(X37/$G$5)*(10^((K37-$X$42)*0.1))</f>
        <v/>
      </c>
      <c r="BO37" s="300">
        <f>IF(BP37=0,0,(4.34*(BN37/BP37)))</f>
        <v/>
      </c>
      <c r="BP37" s="300">
        <f>X37/60</f>
        <v/>
      </c>
      <c r="BR37" s="496">
        <f>IF((BU37^2*(I37^2+$G$3^2+$G$4^2)&gt;0),(BU37^2*(I37^2+$G$3^2+$G$4^2)),0)</f>
        <v/>
      </c>
      <c r="BS37" s="297">
        <f>IF(BR37=0,0,(BV37*BT37)^2)</f>
        <v/>
      </c>
      <c r="BT37" s="298">
        <f>0.5*((AB37-AC37)/60)</f>
        <v/>
      </c>
      <c r="BU37" s="497">
        <f>AA37/$G$5*10^((K37-$AA$42)/10)</f>
        <v/>
      </c>
      <c r="BV37" s="300">
        <f>IF(BW37=0,0,4.34*(BU37/BW37))</f>
        <v/>
      </c>
      <c r="BW37" s="300">
        <f>AA37/60</f>
        <v/>
      </c>
      <c r="BY37" s="496">
        <f>IF((CB37^2*(I37^2+$G$3^2+$G$4^2)&gt;0),(CB37^2*(I37^2+$G$3^2+$G$4^2)),0)</f>
        <v/>
      </c>
      <c r="BZ37" s="297">
        <f>IF(BY37=0,0,(CC37*CA37)^2)</f>
        <v/>
      </c>
      <c r="CA37" s="298">
        <f>0.5*((AE37-AF37)/60)</f>
        <v/>
      </c>
      <c r="CB37" s="497">
        <f>AD37/$G$5*10^((K37-$AD$42)/10)</f>
        <v/>
      </c>
      <c r="CC37" s="300">
        <f>IF(CD37=0,0,4.34*(CB37/CD37))</f>
        <v/>
      </c>
      <c r="CD37" s="300">
        <f>AD37/60</f>
        <v/>
      </c>
      <c r="CF37" s="496">
        <f>IF((CI37^2*(I37^2+$G$3^2+$G$4^2)&gt;0),(CI37^2*(I37^2+$G$3^2+$G$4^2)),0)</f>
        <v/>
      </c>
      <c r="CG37" s="297">
        <f>IF(CF37=0,0,(CJ37*CH37)^2)</f>
        <v/>
      </c>
      <c r="CH37" s="298">
        <f>0.5*((AH37-AI37)/60)</f>
        <v/>
      </c>
      <c r="CI37" s="497">
        <f>AG37/$G$5*10^((K37-$AG$42)/10)</f>
        <v/>
      </c>
      <c r="CJ37" s="300">
        <f>IF(CK37=0,0,4.34*(CI37/CK37))</f>
        <v/>
      </c>
      <c r="CK37" s="300">
        <f>AG37/60</f>
        <v/>
      </c>
      <c r="CN37" s="183">
        <f>O37/$G$5*10^(K37/10)</f>
        <v/>
      </c>
      <c r="CO37" s="183">
        <f>R37/$G$5*10^(K37/10)</f>
        <v/>
      </c>
      <c r="CP37" s="183">
        <f>U37/$G$5*10^(K37/10)</f>
        <v/>
      </c>
      <c r="CQ37" s="183">
        <f>X37/$G$5*10^(K37/10)</f>
        <v/>
      </c>
      <c r="CR37" s="183">
        <f>AA37/$G$5*10^(K37/10)</f>
        <v/>
      </c>
      <c r="CS37" s="183">
        <f>AD37/$G$5*10^(K37/10)</f>
        <v/>
      </c>
      <c r="CT37" s="183">
        <f>AG37/$G$5*10^(K37/10)</f>
        <v/>
      </c>
      <c r="CU37" s="183">
        <f>O37/$G$5*10^(AM37/10)</f>
        <v/>
      </c>
      <c r="CV37" s="183">
        <f>R37/$G$5*10^(AM37/10)</f>
        <v/>
      </c>
      <c r="CW37" s="183">
        <f>U37/$G$5*10^(AM37/10)</f>
        <v/>
      </c>
      <c r="CX37" s="183">
        <f>X37/$G$5*10^(AM37/10)</f>
        <v/>
      </c>
      <c r="CY37" s="183">
        <f>AA37/$G$5*10^(AM37/10)</f>
        <v/>
      </c>
      <c r="CZ37" s="183">
        <f>AD37/$G$5*10^(AM37/10)</f>
        <v/>
      </c>
      <c r="DA37" s="183">
        <f>AG37/$G$5*10^(AM37/10)</f>
        <v/>
      </c>
      <c r="DB37" s="388">
        <f>IF(K37&gt;80,O37,"")</f>
        <v/>
      </c>
      <c r="DC37" s="388">
        <f>IF(K37&gt;80,O37/$DB$10*10^(L37/10),"")</f>
        <v/>
      </c>
      <c r="DD37" s="388">
        <f>IF(K37&gt;80,O37/$DB$10*10^(K37/10),"")</f>
        <v/>
      </c>
      <c r="DF37" s="184" t="n"/>
    </row>
    <row r="38" ht="27" customHeight="1" s="444">
      <c r="C38" s="264">
        <f>IF(AK38="0","T",IF((K38-AK38)&lt;65,"I",IF((K38-AK38)&lt;70,"K",IF((K38-AK38)&lt;75,"J",IF((K38-AK38)&lt;80,"K","L")))))</f>
        <v/>
      </c>
      <c r="D38" s="273">
        <f>IF(J38&lt;135,"T",IF((J38-$J$69)&lt;135,"J","L"))</f>
        <v/>
      </c>
      <c r="E38" s="267" t="inlineStr">
        <is>
          <t>⌂</t>
        </is>
      </c>
      <c r="F38" s="22">
        <f>VLOOKUP(E38,Misure_Campionate,2,FALSE)</f>
        <v/>
      </c>
      <c r="G38" s="22">
        <f>VLOOKUP(E38,Misure_Campionate,3,FALSE)</f>
        <v/>
      </c>
      <c r="H38" s="22">
        <f>VLOOKUP(E38,Misure_Campionate,4,FALSE)</f>
        <v/>
      </c>
      <c r="I38" s="63">
        <f>VLOOKUP(E38,Misure_Campionate,12,FALSE)</f>
        <v/>
      </c>
      <c r="J38" s="63">
        <f>VLOOKUP(E38,Misure_Campionate,13,FALSE)</f>
        <v/>
      </c>
      <c r="K38" s="64">
        <f>VLOOKUP(E38,Misure_Campionate,14,FALSE)</f>
        <v/>
      </c>
      <c r="L38" s="16">
        <f>VLOOKUP(E38,Misure_Campionate,15,FALSE)</f>
        <v/>
      </c>
      <c r="M38" s="23">
        <f>IF(AND($O$47&gt;87,K38&gt;80),AK38,0)</f>
        <v/>
      </c>
      <c r="N38" s="262">
        <f>IF(M38=0,"",K38-M38)</f>
        <v/>
      </c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89" t="n"/>
      <c r="AK38" s="151">
        <f>IF(K38&lt;80,"0",IF((L38-K38)&lt;=2,($L$66-(($K$66-$L$66)/4)*(L38-K38-2)),($L$66-(($L$66-$M$66)/8)*(L38-K38-2))))</f>
        <v/>
      </c>
      <c r="AL38" s="111">
        <f>IF(J38&lt;135,"",J38-$J$69)</f>
        <v/>
      </c>
      <c r="AM38" s="111">
        <f>K38-AK38</f>
        <v/>
      </c>
      <c r="AN38" s="151">
        <f>O38/$G$5*10^(AM38/10)</f>
        <v/>
      </c>
      <c r="AO38" s="84" t="n"/>
      <c r="AP38" s="469">
        <f>IF((AS38^2*(I38^2+$G$3^2+$G$4^2)&gt;0),(AS38^2*(I38^2+$G$3^2+$G$4^2)),0)</f>
        <v/>
      </c>
      <c r="AQ38" s="180">
        <f>IF(AP38=0,0,(AT38*AR38)^2)</f>
        <v/>
      </c>
      <c r="AR38" s="181">
        <f>0.5*((P38-Q38)/60)</f>
        <v/>
      </c>
      <c r="AS38" s="470">
        <f>O38/$G$5*10^((K38-$O$42)/10)</f>
        <v/>
      </c>
      <c r="AT38" s="397">
        <f>IF(AU38=0,0,4.34*(AS38/AU38))</f>
        <v/>
      </c>
      <c r="AU38" s="183">
        <f>O38/60</f>
        <v/>
      </c>
      <c r="AW38" s="496">
        <f>IF((AZ38^2*(I38^2+$G$3^2+$G$4^2)&gt;0),(AZ38^2*(I38^2+$G$3^2+$G$4^2)),0)</f>
        <v/>
      </c>
      <c r="AX38" s="297">
        <f>IF(AW38=0,0,(BA38*AY38)^2)</f>
        <v/>
      </c>
      <c r="AY38" s="298">
        <f>0.5*((S38-T38)/60)</f>
        <v/>
      </c>
      <c r="AZ38" s="497">
        <f>R38/$G$5*10^((K38-$R$42)/10)</f>
        <v/>
      </c>
      <c r="BA38" s="300">
        <f>IF(BB38=0,0,4.34*(AZ38/BB38))</f>
        <v/>
      </c>
      <c r="BB38" s="300">
        <f>R38/60</f>
        <v/>
      </c>
      <c r="BD38" s="496">
        <f>IF((BG38^2*(I38^2+$G$3^2+$G$4^2)&gt;0),(BG38^2*(I38^2+$G$3^2+$G$4^2)),0)</f>
        <v/>
      </c>
      <c r="BE38" s="297">
        <f>IF(BD38=0,0,(BH38*BF38)^2)</f>
        <v/>
      </c>
      <c r="BF38" s="298">
        <f>0.5*((V38-W38)/60)</f>
        <v/>
      </c>
      <c r="BG38" s="497">
        <f>U38/$G$5*10^((K38-$U$42)/10)</f>
        <v/>
      </c>
      <c r="BH38" s="300">
        <f>IF(BI38=0,0,4.34*(BG38/BI38))</f>
        <v/>
      </c>
      <c r="BI38" s="300">
        <f>U38/60</f>
        <v/>
      </c>
      <c r="BK38" s="496">
        <f>IF((BN38^2*(I38^2+$G$3^2+$G$4^2)&gt;0),(BN38^2*(I38^2+$G$3^2+$G$4^2)),0)</f>
        <v/>
      </c>
      <c r="BL38" s="297">
        <f>IF(BK38=0,0,(BO38*BM38)^2)</f>
        <v/>
      </c>
      <c r="BM38" s="298">
        <f>0.5*((Y38-Z38)/60)</f>
        <v/>
      </c>
      <c r="BN38" s="497">
        <f>(X38/$G$5)*(10^((K38-$X$42)*0.1))</f>
        <v/>
      </c>
      <c r="BO38" s="300">
        <f>IF(BP38=0,0,(4.34*(BN38/BP38)))</f>
        <v/>
      </c>
      <c r="BP38" s="300">
        <f>X38/60</f>
        <v/>
      </c>
      <c r="BR38" s="496">
        <f>IF((BU38^2*(I38^2+$G$3^2+$G$4^2)&gt;0),(BU38^2*(I38^2+$G$3^2+$G$4^2)),0)</f>
        <v/>
      </c>
      <c r="BS38" s="297">
        <f>IF(BR38=0,0,(BV38*BT38)^2)</f>
        <v/>
      </c>
      <c r="BT38" s="298">
        <f>0.5*((AB38-AC38)/60)</f>
        <v/>
      </c>
      <c r="BU38" s="497">
        <f>AA38/$G$5*10^((K38-$AA$42)/10)</f>
        <v/>
      </c>
      <c r="BV38" s="300">
        <f>IF(BW38=0,0,4.34*(BU38/BW38))</f>
        <v/>
      </c>
      <c r="BW38" s="300">
        <f>AA38/60</f>
        <v/>
      </c>
      <c r="BY38" s="496">
        <f>IF((CB38^2*(I38^2+$G$3^2+$G$4^2)&gt;0),(CB38^2*(I38^2+$G$3^2+$G$4^2)),0)</f>
        <v/>
      </c>
      <c r="BZ38" s="297">
        <f>IF(BY38=0,0,(CC38*CA38)^2)</f>
        <v/>
      </c>
      <c r="CA38" s="298">
        <f>0.5*((AE38-AF38)/60)</f>
        <v/>
      </c>
      <c r="CB38" s="497">
        <f>AD38/$G$5*10^((K38-$AD$42)/10)</f>
        <v/>
      </c>
      <c r="CC38" s="300">
        <f>IF(CD38=0,0,4.34*(CB38/CD38))</f>
        <v/>
      </c>
      <c r="CD38" s="300">
        <f>AD38/60</f>
        <v/>
      </c>
      <c r="CF38" s="496">
        <f>IF((CI38^2*(I38^2+$G$3^2+$G$4^2)&gt;0),(CI38^2*(I38^2+$G$3^2+$G$4^2)),0)</f>
        <v/>
      </c>
      <c r="CG38" s="297">
        <f>IF(CF38=0,0,(CJ38*CH38)^2)</f>
        <v/>
      </c>
      <c r="CH38" s="298">
        <f>0.5*((AH38-AI38)/60)</f>
        <v/>
      </c>
      <c r="CI38" s="497">
        <f>AG38/$G$5*10^((K38-$AG$42)/10)</f>
        <v/>
      </c>
      <c r="CJ38" s="300">
        <f>IF(CK38=0,0,4.34*(CI38/CK38))</f>
        <v/>
      </c>
      <c r="CK38" s="300">
        <f>AG38/60</f>
        <v/>
      </c>
      <c r="CN38" s="183">
        <f>O38/$G$5*10^(K38/10)</f>
        <v/>
      </c>
      <c r="CO38" s="183">
        <f>R38/$G$5*10^(K38/10)</f>
        <v/>
      </c>
      <c r="CP38" s="183">
        <f>U38/$G$5*10^(K38/10)</f>
        <v/>
      </c>
      <c r="CQ38" s="183">
        <f>X38/$G$5*10^(K38/10)</f>
        <v/>
      </c>
      <c r="CR38" s="183">
        <f>AA38/$G$5*10^(K38/10)</f>
        <v/>
      </c>
      <c r="CS38" s="183">
        <f>AD38/$G$5*10^(K38/10)</f>
        <v/>
      </c>
      <c r="CT38" s="183">
        <f>AG38/$G$5*10^(K38/10)</f>
        <v/>
      </c>
      <c r="CU38" s="183">
        <f>O38/$G$5*10^(AM38/10)</f>
        <v/>
      </c>
      <c r="CV38" s="183">
        <f>R38/$G$5*10^(AM38/10)</f>
        <v/>
      </c>
      <c r="CW38" s="183">
        <f>U38/$G$5*10^(AM38/10)</f>
        <v/>
      </c>
      <c r="CX38" s="183">
        <f>X38/$G$5*10^(AM38/10)</f>
        <v/>
      </c>
      <c r="CY38" s="183">
        <f>AA38/$G$5*10^(AM38/10)</f>
        <v/>
      </c>
      <c r="CZ38" s="183">
        <f>AD38/$G$5*10^(AM38/10)</f>
        <v/>
      </c>
      <c r="DA38" s="183">
        <f>AG38/$G$5*10^(AM38/10)</f>
        <v/>
      </c>
      <c r="DB38" s="388">
        <f>IF(K38&gt;80,O38,"")</f>
        <v/>
      </c>
      <c r="DC38" s="388">
        <f>IF(K38&gt;80,O38/$DB$10*10^(L38/10),"")</f>
        <v/>
      </c>
      <c r="DD38" s="388">
        <f>IF(K38&gt;80,O38/$DB$10*10^(K38/10),"")</f>
        <v/>
      </c>
      <c r="DF38" s="184" t="n"/>
    </row>
    <row r="39" ht="27" customHeight="1" s="444">
      <c r="C39" s="264">
        <f>IF(AK39="0","T",IF((K39-AK39)&lt;65,"I",IF((K39-AK39)&lt;70,"K",IF((K39-AK39)&lt;75,"J",IF((K39-AK39)&lt;80,"K","L")))))</f>
        <v/>
      </c>
      <c r="D39" s="273">
        <f>IF(J39&lt;135,"T",IF((J39-$J$69)&lt;135,"J","L"))</f>
        <v/>
      </c>
      <c r="E39" s="267" t="inlineStr">
        <is>
          <t>⌂</t>
        </is>
      </c>
      <c r="F39" s="22">
        <f>VLOOKUP(E39,Misure_Campionate,2,FALSE)</f>
        <v/>
      </c>
      <c r="G39" s="22">
        <f>VLOOKUP(E39,Misure_Campionate,3,FALSE)</f>
        <v/>
      </c>
      <c r="H39" s="22">
        <f>VLOOKUP(E39,Misure_Campionate,4,FALSE)</f>
        <v/>
      </c>
      <c r="I39" s="63">
        <f>VLOOKUP(E39,Misure_Campionate,12,FALSE)</f>
        <v/>
      </c>
      <c r="J39" s="63">
        <f>VLOOKUP(E39,Misure_Campionate,13,FALSE)</f>
        <v/>
      </c>
      <c r="K39" s="64">
        <f>VLOOKUP(E39,Misure_Campionate,14,FALSE)</f>
        <v/>
      </c>
      <c r="L39" s="16">
        <f>VLOOKUP(E39,Misure_Campionate,15,FALSE)</f>
        <v/>
      </c>
      <c r="M39" s="23">
        <f>IF(AND($O$47&gt;87,K39&gt;80),AK39,0)</f>
        <v/>
      </c>
      <c r="N39" s="262">
        <f>IF(M39=0,"",K39-M39)</f>
        <v/>
      </c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89" t="n"/>
      <c r="AK39" s="151">
        <f>IF(K39&lt;80,"0",IF((L39-K39)&lt;=2,($L$66-(($K$66-$L$66)/4)*(L39-K39-2)),($L$66-(($L$66-$M$66)/8)*(L39-K39-2))))</f>
        <v/>
      </c>
      <c r="AL39" s="111">
        <f>IF(J39&lt;135,"",J39-$J$69)</f>
        <v/>
      </c>
      <c r="AM39" s="111">
        <f>K39-AK39</f>
        <v/>
      </c>
      <c r="AN39" s="151">
        <f>O39/$G$5*10^(AM39/10)</f>
        <v/>
      </c>
      <c r="AO39" s="84" t="n"/>
      <c r="AP39" s="469">
        <f>IF((AS39^2*(I39^2+$G$3^2+$G$4^2)&gt;0),(AS39^2*(I39^2+$G$3^2+$G$4^2)),0)</f>
        <v/>
      </c>
      <c r="AQ39" s="180">
        <f>IF(AP39=0,0,(AT39*AR39)^2)</f>
        <v/>
      </c>
      <c r="AR39" s="181">
        <f>0.5*((P39-Q39)/60)</f>
        <v/>
      </c>
      <c r="AS39" s="470">
        <f>O39/$G$5*10^((K39-$O$42)/10)</f>
        <v/>
      </c>
      <c r="AT39" s="397">
        <f>IF(AU39=0,0,4.34*(AS39/AU39))</f>
        <v/>
      </c>
      <c r="AU39" s="183">
        <f>O39/60</f>
        <v/>
      </c>
      <c r="AW39" s="496">
        <f>IF((AZ39^2*(I39^2+$G$3^2+$G$4^2)&gt;0),(AZ39^2*(I39^2+$G$3^2+$G$4^2)),0)</f>
        <v/>
      </c>
      <c r="AX39" s="297">
        <f>IF(AW39=0,0,(BA39*AY39)^2)</f>
        <v/>
      </c>
      <c r="AY39" s="298">
        <f>0.5*((S39-T39)/60)</f>
        <v/>
      </c>
      <c r="AZ39" s="497">
        <f>R39/$G$5*10^((K39-$R$42)/10)</f>
        <v/>
      </c>
      <c r="BA39" s="300">
        <f>IF(BB39=0,0,4.34*(AZ39/BB39))</f>
        <v/>
      </c>
      <c r="BB39" s="300">
        <f>R39/60</f>
        <v/>
      </c>
      <c r="BD39" s="496">
        <f>IF((BG39^2*(I39^2+$G$3^2+$G$4^2)&gt;0),(BG39^2*(I39^2+$G$3^2+$G$4^2)),0)</f>
        <v/>
      </c>
      <c r="BE39" s="297">
        <f>IF(BD39=0,0,(BH39*BF39)^2)</f>
        <v/>
      </c>
      <c r="BF39" s="298">
        <f>0.5*((V39-W39)/60)</f>
        <v/>
      </c>
      <c r="BG39" s="497">
        <f>U39/$G$5*10^((K39-$U$42)/10)</f>
        <v/>
      </c>
      <c r="BH39" s="300">
        <f>IF(BI39=0,0,4.34*(BG39/BI39))</f>
        <v/>
      </c>
      <c r="BI39" s="300">
        <f>U39/60</f>
        <v/>
      </c>
      <c r="BK39" s="496">
        <f>IF((BN39^2*(I39^2+$G$3^2+$G$4^2)&gt;0),(BN39^2*(I39^2+$G$3^2+$G$4^2)),0)</f>
        <v/>
      </c>
      <c r="BL39" s="297">
        <f>IF(BK39=0,0,(BO39*BM39)^2)</f>
        <v/>
      </c>
      <c r="BM39" s="298">
        <f>0.5*((Y39-Z39)/60)</f>
        <v/>
      </c>
      <c r="BN39" s="497">
        <f>(X39/$G$5)*(10^((K39-$X$42)*0.1))</f>
        <v/>
      </c>
      <c r="BO39" s="300">
        <f>IF(BP39=0,0,(4.34*(BN39/BP39)))</f>
        <v/>
      </c>
      <c r="BP39" s="300">
        <f>X39/60</f>
        <v/>
      </c>
      <c r="BR39" s="496">
        <f>IF((BU39^2*(I39^2+$G$3^2+$G$4^2)&gt;0),(BU39^2*(I39^2+$G$3^2+$G$4^2)),0)</f>
        <v/>
      </c>
      <c r="BS39" s="297">
        <f>IF(BR39=0,0,(BV39*BT39)^2)</f>
        <v/>
      </c>
      <c r="BT39" s="298">
        <f>0.5*((AB39-AC39)/60)</f>
        <v/>
      </c>
      <c r="BU39" s="497">
        <f>AA39/$G$5*10^((K39-$AA$42)/10)</f>
        <v/>
      </c>
      <c r="BV39" s="300">
        <f>IF(BW39=0,0,4.34*(BU39/BW39))</f>
        <v/>
      </c>
      <c r="BW39" s="300">
        <f>AA39/60</f>
        <v/>
      </c>
      <c r="BY39" s="496">
        <f>IF((CB39^2*(I39^2+$G$3^2+$G$4^2)&gt;0),(CB39^2*(I39^2+$G$3^2+$G$4^2)),0)</f>
        <v/>
      </c>
      <c r="BZ39" s="297">
        <f>IF(BY39=0,0,(CC39*CA39)^2)</f>
        <v/>
      </c>
      <c r="CA39" s="298">
        <f>0.5*((AE39-AF39)/60)</f>
        <v/>
      </c>
      <c r="CB39" s="497">
        <f>AD39/$G$5*10^((K39-$AD$42)/10)</f>
        <v/>
      </c>
      <c r="CC39" s="300">
        <f>IF(CD39=0,0,4.34*(CB39/CD39))</f>
        <v/>
      </c>
      <c r="CD39" s="300">
        <f>AD39/60</f>
        <v/>
      </c>
      <c r="CF39" s="496">
        <f>IF((CI39^2*(I39^2+$G$3^2+$G$4^2)&gt;0),(CI39^2*(I39^2+$G$3^2+$G$4^2)),0)</f>
        <v/>
      </c>
      <c r="CG39" s="297">
        <f>IF(CF39=0,0,(CJ39*CH39)^2)</f>
        <v/>
      </c>
      <c r="CH39" s="298">
        <f>0.5*((AH39-AI39)/60)</f>
        <v/>
      </c>
      <c r="CI39" s="497">
        <f>AG39/$G$5*10^((K39-$AG$42)/10)</f>
        <v/>
      </c>
      <c r="CJ39" s="300">
        <f>IF(CK39=0,0,4.34*(CI39/CK39))</f>
        <v/>
      </c>
      <c r="CK39" s="300">
        <f>AG39/60</f>
        <v/>
      </c>
      <c r="CN39" s="183">
        <f>O39/$G$5*10^(K39/10)</f>
        <v/>
      </c>
      <c r="CO39" s="183">
        <f>R39/$G$5*10^(K39/10)</f>
        <v/>
      </c>
      <c r="CP39" s="183">
        <f>U39/$G$5*10^(K39/10)</f>
        <v/>
      </c>
      <c r="CQ39" s="183">
        <f>X39/$G$5*10^(K39/10)</f>
        <v/>
      </c>
      <c r="CR39" s="183">
        <f>AA39/$G$5*10^(K39/10)</f>
        <v/>
      </c>
      <c r="CS39" s="183">
        <f>AD39/$G$5*10^(K39/10)</f>
        <v/>
      </c>
      <c r="CT39" s="183">
        <f>AG39/$G$5*10^(K39/10)</f>
        <v/>
      </c>
      <c r="CU39" s="183">
        <f>O39/$G$5*10^(AM39/10)</f>
        <v/>
      </c>
      <c r="CV39" s="183">
        <f>R39/$G$5*10^(AM39/10)</f>
        <v/>
      </c>
      <c r="CW39" s="183">
        <f>U39/$G$5*10^(AM39/10)</f>
        <v/>
      </c>
      <c r="CX39" s="183">
        <f>X39/$G$5*10^(AM39/10)</f>
        <v/>
      </c>
      <c r="CY39" s="183">
        <f>AA39/$G$5*10^(AM39/10)</f>
        <v/>
      </c>
      <c r="CZ39" s="183">
        <f>AD39/$G$5*10^(AM39/10)</f>
        <v/>
      </c>
      <c r="DA39" s="183">
        <f>AG39/$G$5*10^(AM39/10)</f>
        <v/>
      </c>
      <c r="DB39" s="388">
        <f>IF(K39&gt;80,O39,"")</f>
        <v/>
      </c>
      <c r="DC39" s="388">
        <f>IF(K39&gt;80,O39/$DB$10*10^(L39/10),"")</f>
        <v/>
      </c>
      <c r="DD39" s="388">
        <f>IF(K39&gt;80,O39/$DB$10*10^(K39/10),"")</f>
        <v/>
      </c>
      <c r="DF39" s="184" t="n"/>
    </row>
    <row r="40" ht="27" customHeight="1" s="444">
      <c r="C40" s="264">
        <f>IF(AK40="0","T",IF((K40-AK40)&lt;65,"I",IF((K40-AK40)&lt;70,"K",IF((K40-AK40)&lt;75,"J",IF((K40-AK40)&lt;80,"K","L")))))</f>
        <v/>
      </c>
      <c r="D40" s="273">
        <f>IF(J40&lt;135,"T",IF((J40-$J$69)&lt;135,"J","L"))</f>
        <v/>
      </c>
      <c r="E40" s="21" t="inlineStr">
        <is>
          <t>(*)</t>
        </is>
      </c>
      <c r="F40" s="22" t="n"/>
      <c r="G40" s="22" t="n"/>
      <c r="H40" s="22" t="n"/>
      <c r="I40" s="63" t="n"/>
      <c r="J40" s="63" t="n"/>
      <c r="K40" s="64" t="n"/>
      <c r="L40" s="16" t="n"/>
      <c r="M40" s="23">
        <f>IF(AND($O$47&gt;87,K40&gt;80),AK40,0)</f>
        <v/>
      </c>
      <c r="N40" s="262">
        <f>IF(M40=0,"",K40-M40)</f>
        <v/>
      </c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89" t="n"/>
      <c r="AK40" s="151">
        <f>IF(K40&lt;80,"0",IF((L40-K40)&lt;=2,($L$66-(($K$66-$L$66)/4)*(L40-K40-2)),($L$66-(($L$66-$M$66)/8)*(L40-K40-2))))</f>
        <v/>
      </c>
      <c r="AL40" s="111">
        <f>IF(J40&lt;135,"",J40-$J$69)</f>
        <v/>
      </c>
      <c r="AM40" s="111">
        <f>K40-AK40</f>
        <v/>
      </c>
      <c r="AN40" s="151">
        <f>O40/$G$5*10^(AM40/10)</f>
        <v/>
      </c>
      <c r="AO40" s="84" t="n"/>
      <c r="AP40" s="469">
        <f>IF((AS40^2*(I40^2+$G$3^2+$G$4^2)&gt;0),(AS40^2*(I40^2+$G$3^2+$G$4^2)),0)</f>
        <v/>
      </c>
      <c r="AQ40" s="180">
        <f>IF(AP40=0,0,(AT40*AR40)^2)</f>
        <v/>
      </c>
      <c r="AR40" s="181">
        <f>0.5*((P40-Q40)/60)</f>
        <v/>
      </c>
      <c r="AS40" s="470">
        <f>O40/$G$5*10^((K40-$O$42)/10)</f>
        <v/>
      </c>
      <c r="AT40" s="397">
        <f>IF(AU40=0,0,4.34*(AS40/AU40))</f>
        <v/>
      </c>
      <c r="AU40" s="183">
        <f>O40/60</f>
        <v/>
      </c>
      <c r="AW40" s="496">
        <f>IF((AZ40^2*(I40^2+$G$3^2+$G$4^2)&gt;0),(AZ40^2*(I40^2+$G$3^2+$G$4^2)),0)</f>
        <v/>
      </c>
      <c r="AX40" s="297">
        <f>IF(AW40=0,0,(BA40*AY40)^2)</f>
        <v/>
      </c>
      <c r="AY40" s="298">
        <f>0.5*((S40-T40)/60)</f>
        <v/>
      </c>
      <c r="AZ40" s="497">
        <f>R40/$G$5*10^((K40-$R$42)/10)</f>
        <v/>
      </c>
      <c r="BA40" s="300">
        <f>IF(BB40=0,0,4.34*(AZ40/BB40))</f>
        <v/>
      </c>
      <c r="BB40" s="300">
        <f>R40/60</f>
        <v/>
      </c>
      <c r="BD40" s="496">
        <f>IF((BG40^2*(I40^2+$G$3^2+$G$4^2)&gt;0),(BG40^2*(I40^2+$G$3^2+$G$4^2)),0)</f>
        <v/>
      </c>
      <c r="BE40" s="297">
        <f>IF(BD40=0,0,(BH40*BF40)^2)</f>
        <v/>
      </c>
      <c r="BF40" s="298">
        <f>0.5*((V40-W40)/60)</f>
        <v/>
      </c>
      <c r="BG40" s="497">
        <f>U40/$G$5*10^((K40-$U$42)/10)</f>
        <v/>
      </c>
      <c r="BH40" s="300">
        <f>IF(BI40=0,0,4.34*(BG40/BI40))</f>
        <v/>
      </c>
      <c r="BI40" s="300">
        <f>U40/60</f>
        <v/>
      </c>
      <c r="BK40" s="496">
        <f>IF((BN40^2*(I40^2+$G$3^2+$G$4^2)&gt;0),(BN40^2*(I40^2+$G$3^2+$G$4^2)),0)</f>
        <v/>
      </c>
      <c r="BL40" s="297">
        <f>IF(BK40=0,0,(BO40*BM40)^2)</f>
        <v/>
      </c>
      <c r="BM40" s="298">
        <f>0.5*((Y40-Z40)/60)</f>
        <v/>
      </c>
      <c r="BN40" s="497">
        <f>(X40/$G$5)*(10^((K40-$X$42)*0.1))</f>
        <v/>
      </c>
      <c r="BO40" s="300">
        <f>IF(BP40=0,0,(4.34*(BN40/BP40)))</f>
        <v/>
      </c>
      <c r="BP40" s="300">
        <f>X40/60</f>
        <v/>
      </c>
      <c r="BR40" s="496">
        <f>IF((BU40^2*(I40^2+$G$3^2+$G$4^2)&gt;0),(BU40^2*(I40^2+$G$3^2+$G$4^2)),0)</f>
        <v/>
      </c>
      <c r="BS40" s="297">
        <f>IF(BR40=0,0,(BV40*BT40)^2)</f>
        <v/>
      </c>
      <c r="BT40" s="298">
        <f>0.5*((AB40-AC40)/60)</f>
        <v/>
      </c>
      <c r="BU40" s="497">
        <f>AA40/$G$5*10^((K40-$AA$42)/10)</f>
        <v/>
      </c>
      <c r="BV40" s="300">
        <f>IF(BW40=0,0,4.34*(BU40/BW40))</f>
        <v/>
      </c>
      <c r="BW40" s="300">
        <f>AA40/60</f>
        <v/>
      </c>
      <c r="BY40" s="496">
        <f>IF((CB40^2*(I40^2+$G$3^2+$G$4^2)&gt;0),(CB40^2*(I40^2+$G$3^2+$G$4^2)),0)</f>
        <v/>
      </c>
      <c r="BZ40" s="297">
        <f>IF(BY40=0,0,(CC40*CA40)^2)</f>
        <v/>
      </c>
      <c r="CA40" s="298">
        <f>0.5*((AE40-AF40)/60)</f>
        <v/>
      </c>
      <c r="CB40" s="497">
        <f>AD40/$G$5*10^((K40-$AD$42)/10)</f>
        <v/>
      </c>
      <c r="CC40" s="300">
        <f>IF(CD40=0,0,4.34*(CB40/CD40))</f>
        <v/>
      </c>
      <c r="CD40" s="300">
        <f>AD40/60</f>
        <v/>
      </c>
      <c r="CF40" s="496">
        <f>IF((CI40^2*(I40^2+$G$3^2+$G$4^2)&gt;0),(CI40^2*(I40^2+$G$3^2+$G$4^2)),0)</f>
        <v/>
      </c>
      <c r="CG40" s="297">
        <f>IF(CF40=0,0,(CJ40*CH40)^2)</f>
        <v/>
      </c>
      <c r="CH40" s="298">
        <f>0.5*((AH40-AI40)/60)</f>
        <v/>
      </c>
      <c r="CI40" s="497">
        <f>AG40/$G$5*10^((K40-$AG$42)/10)</f>
        <v/>
      </c>
      <c r="CJ40" s="300">
        <f>IF(CK40=0,0,4.34*(CI40/CK40))</f>
        <v/>
      </c>
      <c r="CK40" s="300">
        <f>AG40/60</f>
        <v/>
      </c>
      <c r="CN40" s="183">
        <f>O40/$G$5*10^(K40/10)</f>
        <v/>
      </c>
      <c r="CO40" s="183">
        <f>R40/$G$5*10^(K40/10)</f>
        <v/>
      </c>
      <c r="CP40" s="183">
        <f>U40/$G$5*10^(K40/10)</f>
        <v/>
      </c>
      <c r="CQ40" s="183">
        <f>X40/$G$5*10^(K40/10)</f>
        <v/>
      </c>
      <c r="CR40" s="183">
        <f>AA40/$G$5*10^(K40/10)</f>
        <v/>
      </c>
      <c r="CS40" s="183">
        <f>AD40/$G$5*10^(K40/10)</f>
        <v/>
      </c>
      <c r="CT40" s="183">
        <f>AG40/$G$5*10^(K40/10)</f>
        <v/>
      </c>
      <c r="CU40" s="183">
        <f>O40/$G$5*10^(AM40/10)</f>
        <v/>
      </c>
      <c r="CV40" s="183">
        <f>R40/$G$5*10^(AM40/10)</f>
        <v/>
      </c>
      <c r="CW40" s="183">
        <f>U40/$G$5*10^(AM40/10)</f>
        <v/>
      </c>
      <c r="CX40" s="183">
        <f>X40/$G$5*10^(AM40/10)</f>
        <v/>
      </c>
      <c r="CY40" s="183">
        <f>AA40/$G$5*10^(AM40/10)</f>
        <v/>
      </c>
      <c r="CZ40" s="183">
        <f>AD40/$G$5*10^(AM40/10)</f>
        <v/>
      </c>
      <c r="DA40" s="183">
        <f>AG40/$G$5*10^(AM40/10)</f>
        <v/>
      </c>
      <c r="DB40" s="388">
        <f>IF(K40&gt;80,O40,"")</f>
        <v/>
      </c>
      <c r="DC40" s="388">
        <f>IF(K40&gt;80,O40/$DB$10*10^(L40/10),"")</f>
        <v/>
      </c>
      <c r="DD40" s="388">
        <f>IF(K40&gt;80,O40/$DB$10*10^(K40/10),"")</f>
        <v/>
      </c>
      <c r="DF40" s="184" t="n"/>
    </row>
    <row r="41" ht="20.25" customHeight="1" s="444">
      <c r="E41" s="26" t="inlineStr">
        <is>
          <t>(*) Valore stimato</t>
        </is>
      </c>
      <c r="F41" s="27" t="n"/>
      <c r="G41" s="28" t="n"/>
      <c r="H41" s="28" t="n"/>
      <c r="I41" s="28" t="n"/>
      <c r="K41" s="194" t="n"/>
      <c r="L41" s="195" t="n"/>
      <c r="M41" s="195" t="n"/>
      <c r="N41" s="93" t="inlineStr">
        <is>
          <t xml:space="preserve">Tempo totale di esposizione (min) </t>
        </is>
      </c>
      <c r="O41" s="92">
        <f>SUM(O11:O40)</f>
        <v/>
      </c>
      <c r="Q41" s="32" t="n"/>
      <c r="R41" s="92">
        <f>SUM(R11:R40)</f>
        <v/>
      </c>
      <c r="T41" s="32" t="n"/>
      <c r="U41" s="92">
        <f>SUM(U11:U40)</f>
        <v/>
      </c>
      <c r="W41" s="32" t="n"/>
      <c r="X41" s="92">
        <f>SUM(X11:X40)</f>
        <v/>
      </c>
      <c r="Z41" s="32" t="n"/>
      <c r="AA41" s="92">
        <f>SUM(AA11:AA40)</f>
        <v/>
      </c>
      <c r="AC41" s="32" t="n"/>
      <c r="AD41" s="92">
        <f>SUM(AD11:AD40)</f>
        <v/>
      </c>
      <c r="AF41" s="32" t="n"/>
      <c r="AG41" s="92">
        <f>SUM(AG11:AG40)</f>
        <v/>
      </c>
      <c r="AI41" s="32" t="n"/>
      <c r="AJ41" s="290" t="n"/>
      <c r="AK41" s="201">
        <f>SUM(AK11:AK40)</f>
        <v/>
      </c>
      <c r="AL41" s="166">
        <f>MAXA(AL11:AL40)</f>
        <v/>
      </c>
      <c r="AM41" s="200" t="inlineStr">
        <is>
          <t>LAeq - PNR</t>
        </is>
      </c>
      <c r="AN41" s="200">
        <f>10*LOG10(SUM(AN11:AN40))</f>
        <v/>
      </c>
      <c r="AO41" s="32" t="n"/>
      <c r="AP41" s="32" t="n"/>
      <c r="AQ41" s="32" t="n"/>
      <c r="AR41" s="32" t="n"/>
      <c r="AS41" s="32" t="n"/>
      <c r="AT41" s="32" t="n"/>
      <c r="AU41" s="32" t="n"/>
      <c r="CN41" s="175">
        <f>IF(SUM(CN11:CN40)=0,0,10*LOG(SUM(CN11:CN40)))</f>
        <v/>
      </c>
      <c r="CO41" s="175">
        <f>IF(SUM(CO11:CO40)=0,0,10*LOG(SUM(CO11:CO40)))</f>
        <v/>
      </c>
      <c r="CP41" s="175">
        <f>IF(SUM(CP11:CP40)=0,0,10*LOG(SUM(CP11:CP40)))</f>
        <v/>
      </c>
      <c r="CQ41" s="175">
        <f>IF(SUM(CQ11:CQ40)=0,0,10*LOG(SUM(CQ11:CQ40)))</f>
        <v/>
      </c>
      <c r="CR41" s="175">
        <f>IF(SUM(CR11:CR40)=0,0,10*LOG(SUM(CR11:CR40)))</f>
        <v/>
      </c>
      <c r="CS41" s="175">
        <f>IF(SUM(CS11:CS40)=0,0,10*LOG(SUM(CS11:CS40)))</f>
        <v/>
      </c>
      <c r="CT41" s="175">
        <f>IF(SUM(CT11:CT40)=0,0,10*LOG(SUM(CT11:CT40)))</f>
        <v/>
      </c>
      <c r="CU41" s="175">
        <f>IF(SUM(CU11:CU40)=0,0,10*LOG(SUM(CU11:CU40)))</f>
        <v/>
      </c>
      <c r="CV41" s="175">
        <f>IF(SUM(CV11:CV40)=0,0,10*LOG(SUM(CV11:CV40)))</f>
        <v/>
      </c>
      <c r="CW41" s="175">
        <f>IF(SUM(CW11:CW40)=0,0,10*LOG(SUM(CW11:CW40)))</f>
        <v/>
      </c>
      <c r="CX41" s="175">
        <f>IF(SUM(CX11:CX40)=0,0,10*LOG(SUM(CX11:CX40)))</f>
        <v/>
      </c>
      <c r="CY41" s="175">
        <f>IF(SUM(CY11:CY40)=0,0,10*LOG(SUM(CY11:CY40)))</f>
        <v/>
      </c>
      <c r="CZ41" s="175">
        <f>IF(SUM(CZ11:CZ40)=0,0,10*LOG(SUM(CZ11:CZ40)))</f>
        <v/>
      </c>
      <c r="DA41" s="175">
        <f>IF(SUM(DA11:DA40)=0,0,10*LOG(SUM(DA11:DA40)))</f>
        <v/>
      </c>
      <c r="DD41" s="20" t="n"/>
      <c r="DG41" s="29" t="n"/>
    </row>
    <row r="42" ht="20.25" customHeight="1" s="444">
      <c r="E42" s="26" t="n"/>
      <c r="F42" s="27" t="n"/>
      <c r="G42" s="28" t="n"/>
      <c r="H42" s="28" t="n"/>
      <c r="I42" s="28" t="n"/>
      <c r="K42" s="203" t="n"/>
      <c r="L42" s="203" t="n"/>
      <c r="N42" s="204" t="inlineStr">
        <is>
          <t>LEX,8h =</t>
        </is>
      </c>
      <c r="O42" s="226">
        <f>CN41</f>
        <v/>
      </c>
      <c r="R42" s="226">
        <f>CO41</f>
        <v/>
      </c>
      <c r="S42" s="204" t="n"/>
      <c r="U42" s="226">
        <f>CP41</f>
        <v/>
      </c>
      <c r="V42" s="204" t="n"/>
      <c r="X42" s="226">
        <f>CQ41</f>
        <v/>
      </c>
      <c r="Y42" s="204" t="n"/>
      <c r="AA42" s="226">
        <f>CR41</f>
        <v/>
      </c>
      <c r="AB42" s="204" t="n"/>
      <c r="AD42" s="226">
        <f>CS41</f>
        <v/>
      </c>
      <c r="AE42" s="204" t="n"/>
      <c r="AG42" s="226">
        <f>CT41</f>
        <v/>
      </c>
      <c r="AH42" s="204" t="n"/>
      <c r="AJ42" s="290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  <c r="AV42" s="214" t="n"/>
      <c r="AW42" s="166" t="n"/>
      <c r="AX42" s="166" t="n"/>
      <c r="AY42" s="166" t="n"/>
      <c r="BD42" s="166" t="n"/>
      <c r="BE42" s="166" t="n"/>
      <c r="BF42" s="166" t="n"/>
      <c r="BK42" s="166" t="n"/>
      <c r="BL42" s="166" t="n"/>
      <c r="BM42" s="166" t="n"/>
      <c r="BR42" s="166" t="n"/>
      <c r="BS42" s="166" t="n"/>
      <c r="BT42" s="166" t="n"/>
      <c r="BY42" s="166" t="n"/>
      <c r="BZ42" s="166" t="n"/>
      <c r="CA42" s="166" t="n"/>
      <c r="CF42" s="166" t="n"/>
      <c r="CG42" s="166" t="n"/>
      <c r="CH42" s="166" t="n"/>
      <c r="CM42" s="81" t="inlineStr">
        <is>
          <t>DOWN</t>
        </is>
      </c>
      <c r="CN42" s="81">
        <f>IF(SUM(CN11:CN40)=0,0,10^(CN41*0.1))</f>
        <v/>
      </c>
      <c r="CO42" s="81">
        <f>IF(SUM(CO11:CO40)=0,0,10^(CO41*0.1))</f>
        <v/>
      </c>
      <c r="CP42" s="81">
        <f>IF(SUM(CP11:CP40)=0,0,10^(CP41*0.1))</f>
        <v/>
      </c>
      <c r="CQ42" s="81">
        <f>IF(SUM(CQ11:CQ40)=0,0,10^(CQ41*0.1))</f>
        <v/>
      </c>
      <c r="CR42" s="81">
        <f>IF(SUM(CR11:CR40)=0,0,10^(CR41*0.1))</f>
        <v/>
      </c>
      <c r="CS42" s="81">
        <f>IF(SUM(CS11:CS40)=0,0,10^(CS41*0.1))</f>
        <v/>
      </c>
      <c r="CT42" s="81">
        <f>IF(SUM(CT11:CT40)=0,0,10^(CT41*0.1))</f>
        <v/>
      </c>
      <c r="CU42" s="81">
        <f>IF(SUM(CU11:CU40)=0,0,10^(CU41*0.1))</f>
        <v/>
      </c>
      <c r="CV42" s="81">
        <f>IF(SUM(CV11:CV40)=0,0,10^(CV41*0.1))</f>
        <v/>
      </c>
      <c r="CW42" s="81">
        <f>IF(SUM(CW11:CW40)=0,0,10^(CW41*0.1))</f>
        <v/>
      </c>
      <c r="CX42" s="81">
        <f>IF(SUM(CX11:CX40)=0,0,10^(CX41*0.1))</f>
        <v/>
      </c>
      <c r="CY42" s="81">
        <f>IF(SUM(CY11:CY40)=0,0,10^(CY41*0.1))</f>
        <v/>
      </c>
      <c r="CZ42" s="81">
        <f>IF(SUM(CZ11:CZ40)=0,0,10^(CZ41*0.1))</f>
        <v/>
      </c>
      <c r="DA42" s="81">
        <f>IF(SUM(DA11:DA40)=0,0,10^(DA41*0.1))</f>
        <v/>
      </c>
      <c r="DD42" s="20" t="n"/>
      <c r="DG42" s="29" t="n"/>
    </row>
    <row r="43" ht="21.75" customHeight="1" s="444">
      <c r="E43" s="30" t="n"/>
      <c r="F43" s="30" t="n"/>
      <c r="K43" s="31" t="n"/>
      <c r="N43" s="34" t="inlineStr">
        <is>
          <t>Incert. comb. standard ua2(LEX,8h)=</t>
        </is>
      </c>
      <c r="O43" s="205">
        <f>IF(O41=0,0,SUM(AP11:AQ40))</f>
        <v/>
      </c>
      <c r="R43" s="205">
        <f>IF(R41=0,0,SUM(AW11:AX40))</f>
        <v/>
      </c>
      <c r="S43" s="204" t="n"/>
      <c r="U43" s="205">
        <f>IF(U41=0,0,SUM(BD11:BE40))</f>
        <v/>
      </c>
      <c r="V43" s="204" t="n"/>
      <c r="X43" s="205">
        <f>IF(X41=0,0,SUM(BK11:BL40))</f>
        <v/>
      </c>
      <c r="Y43" s="204" t="n"/>
      <c r="AA43" s="205">
        <f>IF(AA41=0,0,SUM(BY11:BZ40))</f>
        <v/>
      </c>
      <c r="AB43" s="204" t="n"/>
      <c r="AD43" s="205">
        <f>IF(AD41=0,0,SUM(BY11:BZ40))</f>
        <v/>
      </c>
      <c r="AE43" s="204" t="n"/>
      <c r="AG43" s="205">
        <f>IF(AG41=0,0,SUM(CF11:CG40))</f>
        <v/>
      </c>
      <c r="AH43" s="204" t="n"/>
      <c r="AW43" s="32" t="n"/>
      <c r="AX43" s="32" t="n"/>
      <c r="BD43" s="32" t="n"/>
      <c r="BE43" s="32" t="n"/>
      <c r="BK43" s="32" t="n"/>
      <c r="BL43" s="32" t="n"/>
      <c r="BR43" s="32" t="n"/>
      <c r="BS43" s="32" t="n"/>
      <c r="BY43" s="32" t="n"/>
      <c r="BZ43" s="32" t="n"/>
      <c r="CF43" s="32" t="n"/>
      <c r="CG43" s="32" t="n"/>
      <c r="CM43" s="81" t="inlineStr">
        <is>
          <t>UP'</t>
        </is>
      </c>
      <c r="CN43" s="81">
        <f>IF(SUM(CN11:CN40)=0,0,10^(CN41*0.2))</f>
        <v/>
      </c>
      <c r="CO43" s="81">
        <f>IF(SUM(CO11:CO40)=0,0,10^(CO41*0.2))</f>
        <v/>
      </c>
      <c r="CP43" s="81">
        <f>IF(SUM(CP11:CP40)=0,0,10^(CP41*0.2))</f>
        <v/>
      </c>
      <c r="CQ43" s="81">
        <f>IF(SUM(CQ11:CQ40)=0,0,10^(CQ41*0.2))</f>
        <v/>
      </c>
      <c r="CR43" s="81">
        <f>IF(SUM(CR11:CR40)=0,0,10^(CR41*0.2))</f>
        <v/>
      </c>
      <c r="CS43" s="81">
        <f>IF(SUM(CS11:CS40)=0,0,10^(CS41*0.2))</f>
        <v/>
      </c>
      <c r="CT43" s="81">
        <f>IF(SUM(CT11:CT40)=0,0,10^(CT41*0.2))</f>
        <v/>
      </c>
      <c r="CW43" s="81" t="inlineStr">
        <is>
          <t>LEX,W -PNR</t>
        </is>
      </c>
      <c r="CX43" s="81">
        <f>10*LOG10(SUM(CU42:DA42)/G45)</f>
        <v/>
      </c>
      <c r="DD43" s="20" t="n"/>
      <c r="DG43" s="29" t="n"/>
    </row>
    <row r="44" ht="20.1" customHeight="1" s="444">
      <c r="E44" s="30" t="n"/>
      <c r="F44" s="30" t="n"/>
      <c r="K44" s="31" t="n"/>
      <c r="P44" s="34" t="n"/>
      <c r="Q44" s="205" t="n"/>
      <c r="R44" s="205" t="n"/>
      <c r="S44" s="205" t="n"/>
      <c r="T44" s="205" t="n"/>
      <c r="U44" s="205" t="n"/>
      <c r="V44" s="205" t="n"/>
      <c r="W44" s="205" t="n"/>
      <c r="X44" s="205" t="n"/>
      <c r="Y44" s="205" t="n"/>
      <c r="Z44" s="205" t="n"/>
      <c r="AA44" s="205" t="n"/>
      <c r="AB44" s="205" t="n"/>
      <c r="AC44" s="205" t="n"/>
      <c r="AD44" s="205" t="n"/>
      <c r="AE44" s="205" t="n"/>
      <c r="AF44" s="205" t="n"/>
      <c r="AG44" s="205" t="n"/>
      <c r="AH44" s="205" t="n"/>
      <c r="AI44" s="205" t="n"/>
      <c r="AW44" s="32" t="n"/>
      <c r="AX44" s="32" t="n"/>
      <c r="BD44" s="32" t="n"/>
      <c r="BE44" s="32" t="n"/>
      <c r="BK44" s="32" t="n"/>
      <c r="BL44" s="32" t="n"/>
      <c r="BR44" s="32" t="n"/>
      <c r="BS44" s="32" t="n"/>
      <c r="BY44" s="32" t="n"/>
      <c r="BZ44" s="32" t="n"/>
      <c r="CF44" s="32" t="n"/>
      <c r="CG44" s="32" t="n"/>
      <c r="CM44" s="81" t="inlineStr">
        <is>
          <t>Ua lex</t>
        </is>
      </c>
      <c r="CN44" s="292">
        <f>O43</f>
        <v/>
      </c>
      <c r="CO44" s="292">
        <f>U43</f>
        <v/>
      </c>
      <c r="CP44" s="292">
        <f>X43</f>
        <v/>
      </c>
      <c r="CQ44" s="292">
        <f>X43</f>
        <v/>
      </c>
      <c r="CR44" s="292">
        <f>AA43</f>
        <v/>
      </c>
      <c r="CS44" s="292">
        <f>AD43</f>
        <v/>
      </c>
      <c r="CT44" s="292">
        <f>AG43</f>
        <v/>
      </c>
      <c r="DD44" s="20" t="n"/>
      <c r="DG44" s="29" t="n"/>
    </row>
    <row r="45" ht="20.1" customHeight="1" s="444" thickBot="1">
      <c r="E45" s="30" t="n"/>
      <c r="F45" s="33" t="inlineStr">
        <is>
          <t>Giornate di riferimento:</t>
        </is>
      </c>
      <c r="G45" s="94" t="n">
        <v>5</v>
      </c>
      <c r="K45" s="31" t="n"/>
      <c r="O45" s="204" t="n"/>
      <c r="AW45" s="32" t="n"/>
      <c r="AX45" s="32" t="n"/>
      <c r="BD45" s="32" t="n"/>
      <c r="BE45" s="32" t="n"/>
      <c r="BK45" s="32" t="n"/>
      <c r="BL45" s="32" t="n"/>
      <c r="BR45" s="32" t="n"/>
      <c r="BS45" s="32" t="n"/>
      <c r="BY45" s="32" t="n"/>
      <c r="BZ45" s="32" t="n"/>
      <c r="CF45" s="32" t="n"/>
      <c r="CG45" s="32" t="n"/>
      <c r="CM45" s="81" t="inlineStr">
        <is>
          <t>UP' x Ualex</t>
        </is>
      </c>
      <c r="CN45" s="81">
        <f>CN43*CN44^2</f>
        <v/>
      </c>
      <c r="CO45" s="81">
        <f>CO43*CO44^2</f>
        <v/>
      </c>
      <c r="CP45" s="81">
        <f>CP43*CP44^2</f>
        <v/>
      </c>
      <c r="CQ45" s="81">
        <f>CQ43*CQ44^2</f>
        <v/>
      </c>
      <c r="CR45" s="81">
        <f>CR43*CR44^2</f>
        <v/>
      </c>
      <c r="CS45" s="81">
        <f>CS43*CS44^2</f>
        <v/>
      </c>
      <c r="CT45" s="81">
        <f>CT43*CT44^2</f>
        <v/>
      </c>
      <c r="DD45" s="20" t="n"/>
      <c r="DG45" s="29" t="n"/>
    </row>
    <row r="46" ht="20.25" customHeight="1" s="444" thickBot="1">
      <c r="F46" s="33" t="inlineStr">
        <is>
          <t>Giornate lavorative:</t>
        </is>
      </c>
      <c r="G46" s="94">
        <f>SUM(CN48:CT48)</f>
        <v/>
      </c>
      <c r="H46" s="471">
        <f>IF(G45=480,"VALUTAZIONE SU BASE GIORNALIERA", "VALUTAZIONE SU BASE SETTIMANALE")</f>
        <v/>
      </c>
      <c r="I46" s="472" t="n"/>
      <c r="J46" s="472" t="n"/>
      <c r="K46" s="472" t="n"/>
      <c r="L46" s="472" t="n"/>
      <c r="M46" s="472" t="n"/>
      <c r="N46" s="472" t="n"/>
      <c r="O46" s="473" t="n"/>
      <c r="CK46" s="189" t="inlineStr">
        <is>
          <t>calcoli incertezza settimanale</t>
        </is>
      </c>
      <c r="DD46" s="20" t="n"/>
      <c r="DG46" s="29" t="n"/>
    </row>
    <row r="47" ht="23.25" customHeight="1" s="444">
      <c r="F47" s="97" t="inlineStr">
        <is>
          <t>LEX, w =</t>
        </is>
      </c>
      <c r="G47" s="95">
        <f>10*LOG10(SUM(CN42:CT42)/G45)</f>
        <v/>
      </c>
      <c r="H47" s="55" t="inlineStr">
        <is>
          <t>LEX,8h</t>
        </is>
      </c>
      <c r="I47" s="228">
        <f>G47</f>
        <v/>
      </c>
      <c r="J47" s="229" t="inlineStr">
        <is>
          <t>±</t>
        </is>
      </c>
      <c r="K47" s="230">
        <f>G49</f>
        <v/>
      </c>
      <c r="L47" s="231" t="inlineStr">
        <is>
          <t>→</t>
        </is>
      </c>
      <c r="M47" s="232" t="n"/>
      <c r="N47" s="233" t="inlineStr">
        <is>
          <t>LEX MAX =</t>
        </is>
      </c>
      <c r="O47" s="234">
        <f>I47+K47</f>
        <v/>
      </c>
      <c r="P47" s="227" t="n"/>
      <c r="DD47" s="20" t="n"/>
      <c r="DG47" s="29" t="n"/>
    </row>
    <row r="48" ht="24" customHeight="1" s="444" thickBot="1">
      <c r="F48" s="34" t="inlineStr">
        <is>
          <t>Incert. comb. standard u2(LEX,W)=</t>
        </is>
      </c>
      <c r="G48" s="96">
        <f>(SQRT(SUM(CN45:CT45)))/(SUM(CN42:CT42))</f>
        <v/>
      </c>
      <c r="H48" s="235" t="n"/>
      <c r="I48" s="236" t="n"/>
      <c r="J48" s="236" t="n"/>
      <c r="K48" s="236" t="n"/>
      <c r="L48" s="236" t="n"/>
      <c r="M48" s="236" t="n"/>
      <c r="N48" s="237" t="inlineStr">
        <is>
          <t>Massimo dei Lpicco,C misurati =</t>
        </is>
      </c>
      <c r="O48" s="238">
        <f>MAX(J11:J40)</f>
        <v/>
      </c>
      <c r="CK48" s="167" t="inlineStr">
        <is>
          <t>Convalida delle giornate lavorative</t>
        </is>
      </c>
      <c r="CM48" s="42" t="n"/>
      <c r="CN48" s="293">
        <f>IF(O41&gt;0,1,"")</f>
        <v/>
      </c>
      <c r="CO48" s="293">
        <f>IF(R41&gt;0,1,"")</f>
        <v/>
      </c>
      <c r="CP48" s="293">
        <f>IF(U41&gt;0,1,"")</f>
        <v/>
      </c>
      <c r="CQ48" s="293">
        <f>IF(X41&gt;0,1,"")</f>
        <v/>
      </c>
      <c r="CR48" s="293">
        <f>IF(AA41&gt;0,1,"")</f>
        <v/>
      </c>
      <c r="CS48" s="293">
        <f>IF(AD41&gt;0,1,"")</f>
        <v/>
      </c>
      <c r="CT48" s="293">
        <f>IF(AG41&gt;0,1,"")</f>
        <v/>
      </c>
      <c r="DD48" s="20" t="n"/>
    </row>
    <row r="49" ht="23.25" customHeight="1" s="444">
      <c r="F49" s="34" t="inlineStr">
        <is>
          <t>Incertezza estesa  U(LEX,w)=</t>
        </is>
      </c>
      <c r="G49" s="96">
        <f>SQRT(G3^2+G48^2)</f>
        <v/>
      </c>
      <c r="H49" s="474">
        <f>IF(AND((O42+K47)&lt;80,O48&lt;135),"NON ESPOSTO",IF(AND((O42+K47)&lt;85,O48&lt;137),"SUPERAMENTO LIVELLO INFERIORE DI AZIONE",IF(AND((O42+K47)&lt;87,O48&lt;140),"SUPERAMENTO LIVELLO SUPERIORE DI AZIONE","SUPERAMENTO LIMITE DI ESPOSIZIONE")))</f>
        <v/>
      </c>
      <c r="I49" s="441" t="n"/>
      <c r="J49" s="441" t="n"/>
      <c r="K49" s="441" t="n"/>
      <c r="L49" s="441" t="n"/>
      <c r="M49" s="441" t="n"/>
      <c r="N49" s="441" t="n"/>
      <c r="O49" s="442" t="n"/>
      <c r="DD49" s="20" t="n"/>
      <c r="DF49" s="475" t="n"/>
      <c r="DG49" s="475" t="n"/>
      <c r="DH49" s="476" t="n"/>
    </row>
    <row r="50" ht="16.5" customHeight="1" s="444" thickBot="1">
      <c r="H50" s="477" t="n"/>
      <c r="I50" s="478" t="n"/>
      <c r="J50" s="478" t="n"/>
      <c r="K50" s="478" t="n"/>
      <c r="L50" s="478" t="n"/>
      <c r="M50" s="478" t="n"/>
      <c r="N50" s="478" t="n"/>
      <c r="O50" s="479" t="n"/>
      <c r="DD50" s="20" t="n"/>
      <c r="DH50" s="31" t="n"/>
    </row>
    <row r="51" ht="20.1" customHeight="1" s="444" thickBot="1">
      <c r="CM51" s="189" t="n"/>
      <c r="DB51" s="43" t="n"/>
      <c r="DD51" s="43" t="n"/>
      <c r="DE51" s="43" t="n"/>
    </row>
    <row r="52" ht="39" customFormat="1" customHeight="1" s="167">
      <c r="B52" s="81" t="n"/>
      <c r="C52" s="81" t="n"/>
      <c r="D52" s="81" t="n"/>
      <c r="E52" s="480">
        <f>IF(AND((I47+K47)&lt;80,O48&lt;135),"",IF(AND((I47+K47)&lt;85,O48&lt;137),"Il datore di lavoro mette a disposizione dei lavoratori i D.P.I.-art. 193 comma 1-a-",IF(AND((I47+K47)&lt;87,O48&lt;140),"Dal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52" s="441" t="n"/>
      <c r="G52" s="441" t="n"/>
      <c r="H52" s="441" t="n"/>
      <c r="I52" s="441" t="n"/>
      <c r="J52" s="441" t="n"/>
      <c r="K52" s="441" t="n"/>
      <c r="L52" s="441" t="n"/>
      <c r="M52" s="441" t="n"/>
      <c r="N52" s="441" t="n"/>
      <c r="O52" s="441" t="n"/>
      <c r="P52" s="442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286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213" t="n"/>
      <c r="AW52" s="81" t="n"/>
      <c r="AX52" s="81" t="n"/>
      <c r="AY52" s="81" t="n"/>
      <c r="BC52" s="211" t="n"/>
      <c r="BD52" s="81" t="n"/>
      <c r="BE52" s="81" t="n"/>
      <c r="BF52" s="81" t="n"/>
      <c r="BJ52" s="211" t="n"/>
      <c r="BK52" s="81" t="n"/>
      <c r="BL52" s="81" t="n"/>
      <c r="BM52" s="81" t="n"/>
      <c r="BQ52" s="211" t="n"/>
      <c r="BR52" s="81" t="n"/>
      <c r="BS52" s="81" t="n"/>
      <c r="BT52" s="81" t="n"/>
      <c r="BX52" s="213" t="n"/>
      <c r="BY52" s="81" t="n"/>
      <c r="BZ52" s="81" t="n"/>
      <c r="CA52" s="81" t="n"/>
      <c r="CE52" s="213" t="n"/>
      <c r="CF52" s="81" t="n"/>
      <c r="CG52" s="81" t="n"/>
      <c r="CH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</row>
    <row r="53" ht="39" customFormat="1" customHeight="1" s="167" thickBot="1">
      <c r="B53" s="81" t="n"/>
      <c r="C53" s="81" t="n"/>
      <c r="D53" s="81" t="n"/>
      <c r="E53" s="481">
        <f>IF(AND((I47+K47)&lt;80,O48&lt;135),"",IF(AND((I47+K47)&lt;87,O48&lt;140),"Si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3" s="478" t="n"/>
      <c r="G53" s="478" t="n"/>
      <c r="H53" s="478" t="n"/>
      <c r="I53" s="478" t="n"/>
      <c r="J53" s="478" t="n"/>
      <c r="K53" s="478" t="n"/>
      <c r="L53" s="478" t="n"/>
      <c r="M53" s="478" t="n"/>
      <c r="N53" s="478" t="n"/>
      <c r="O53" s="478" t="n"/>
      <c r="P53" s="479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286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213" t="n"/>
      <c r="AW53" s="81" t="n"/>
      <c r="AX53" s="81" t="n"/>
      <c r="AY53" s="81" t="n"/>
      <c r="BC53" s="211" t="n"/>
      <c r="BD53" s="81" t="n"/>
      <c r="BE53" s="81" t="n"/>
      <c r="BF53" s="81" t="n"/>
      <c r="BJ53" s="211" t="n"/>
      <c r="BK53" s="81" t="n"/>
      <c r="BL53" s="81" t="n"/>
      <c r="BM53" s="81" t="n"/>
      <c r="BQ53" s="211" t="n"/>
      <c r="BR53" s="81" t="n"/>
      <c r="BS53" s="81" t="n"/>
      <c r="BT53" s="81" t="n"/>
      <c r="BX53" s="213" t="n"/>
      <c r="BY53" s="81" t="n"/>
      <c r="BZ53" s="81" t="n"/>
      <c r="CA53" s="81" t="n"/>
      <c r="CE53" s="213" t="n"/>
      <c r="CF53" s="81" t="n"/>
      <c r="CG53" s="81" t="n"/>
      <c r="CH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</row>
    <row r="54" ht="20.1" customFormat="1" customHeight="1" s="167"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286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213" t="n"/>
      <c r="AW54" s="81" t="n"/>
      <c r="AX54" s="81" t="n"/>
      <c r="AY54" s="81" t="n"/>
      <c r="BC54" s="211" t="n"/>
      <c r="BD54" s="81" t="n"/>
      <c r="BE54" s="81" t="n"/>
      <c r="BF54" s="81" t="n"/>
      <c r="BJ54" s="211" t="n"/>
      <c r="BK54" s="81" t="n"/>
      <c r="BL54" s="81" t="n"/>
      <c r="BM54" s="81" t="n"/>
      <c r="BQ54" s="211" t="n"/>
      <c r="BR54" s="81" t="n"/>
      <c r="BS54" s="81" t="n"/>
      <c r="BT54" s="81" t="n"/>
      <c r="BX54" s="213" t="n"/>
      <c r="BY54" s="81" t="n"/>
      <c r="BZ54" s="81" t="n"/>
      <c r="CA54" s="81" t="n"/>
      <c r="CE54" s="213" t="n"/>
      <c r="CF54" s="81" t="n"/>
      <c r="CG54" s="81" t="n"/>
      <c r="CH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</row>
    <row r="55" ht="25.5" customFormat="1" customHeight="1" s="167">
      <c r="B55" s="81" t="n"/>
      <c r="C55" s="81" t="n"/>
      <c r="D55" s="81" t="n"/>
      <c r="E55" s="81" t="n"/>
      <c r="F55" s="414" t="inlineStr">
        <is>
          <t xml:space="preserve">Con attenuazione D.P.I. 
(al verificarsi delle condizioni di cui all'art. 193 comma 2) </t>
        </is>
      </c>
      <c r="K55" s="416" t="inlineStr">
        <is>
          <t xml:space="preserve">LEX,8h = </t>
        </is>
      </c>
      <c r="M55" s="417">
        <f>IF(O47&gt;87,CX43,"Non previsto")</f>
        <v/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286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213" t="n"/>
      <c r="AW55" s="81" t="n"/>
      <c r="AX55" s="81" t="n"/>
      <c r="AY55" s="81" t="n"/>
      <c r="BC55" s="211" t="n"/>
      <c r="BD55" s="81" t="n"/>
      <c r="BE55" s="81" t="n"/>
      <c r="BF55" s="81" t="n"/>
      <c r="BJ55" s="211" t="n"/>
      <c r="BK55" s="81" t="n"/>
      <c r="BL55" s="81" t="n"/>
      <c r="BM55" s="81" t="n"/>
      <c r="BQ55" s="211" t="n"/>
      <c r="BR55" s="81" t="n"/>
      <c r="BS55" s="81" t="n"/>
      <c r="BT55" s="81" t="n"/>
      <c r="BX55" s="213" t="n"/>
      <c r="BY55" s="81" t="n"/>
      <c r="BZ55" s="81" t="n"/>
      <c r="CA55" s="81" t="n"/>
      <c r="CE55" s="213" t="n"/>
      <c r="CF55" s="81" t="n"/>
      <c r="CG55" s="81" t="n"/>
      <c r="CH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</row>
    <row r="56" ht="25.5" customFormat="1" customHeight="1" s="167">
      <c r="B56" s="81" t="n"/>
      <c r="C56" s="81" t="n"/>
      <c r="D56" s="81" t="n"/>
      <c r="E56" s="415" t="n"/>
      <c r="K56" s="416" t="inlineStr">
        <is>
          <t>Ppeak =</t>
        </is>
      </c>
      <c r="M56" s="417">
        <f>IF(O48&gt;140,AL41,"Non previsto")</f>
        <v/>
      </c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286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213" t="n"/>
      <c r="AW56" s="81" t="n"/>
      <c r="AX56" s="81" t="n"/>
      <c r="AY56" s="81" t="n"/>
      <c r="AZ56" s="81" t="n"/>
      <c r="BC56" s="211" t="n"/>
      <c r="BD56" s="81" t="n"/>
      <c r="BE56" s="81" t="n"/>
      <c r="BF56" s="81" t="n"/>
      <c r="BG56" s="81" t="n"/>
      <c r="BJ56" s="211" t="n"/>
      <c r="BK56" s="81" t="n"/>
      <c r="BL56" s="81" t="n"/>
      <c r="BM56" s="81" t="n"/>
      <c r="BN56" s="81" t="n"/>
      <c r="BQ56" s="211" t="n"/>
      <c r="BR56" s="81" t="n"/>
      <c r="BS56" s="81" t="n"/>
      <c r="BT56" s="81" t="n"/>
      <c r="BU56" s="81" t="n"/>
      <c r="BX56" s="213" t="n"/>
      <c r="BY56" s="81" t="n"/>
      <c r="BZ56" s="81" t="n"/>
      <c r="CA56" s="81" t="n"/>
      <c r="CB56" s="81" t="n"/>
      <c r="CE56" s="213" t="n"/>
      <c r="CF56" s="81" t="n"/>
      <c r="CG56" s="81" t="n"/>
      <c r="CH56" s="81" t="n"/>
      <c r="CI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</row>
    <row r="57" ht="30" customFormat="1" customHeight="1" s="167">
      <c r="B57" s="81" t="n"/>
      <c r="C57" s="81" t="n"/>
      <c r="D57" s="81" t="n"/>
      <c r="E57" s="81" t="n"/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286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213" t="n"/>
      <c r="AW57" s="81" t="n"/>
      <c r="AX57" s="81" t="n"/>
      <c r="AY57" s="81" t="n"/>
      <c r="AZ57" s="81" t="n"/>
      <c r="BC57" s="211" t="n"/>
      <c r="BD57" s="81" t="n"/>
      <c r="BE57" s="81" t="n"/>
      <c r="BF57" s="81" t="n"/>
      <c r="BG57" s="81" t="n"/>
      <c r="BJ57" s="211" t="n"/>
      <c r="BK57" s="81" t="n"/>
      <c r="BL57" s="81" t="n"/>
      <c r="BM57" s="81" t="n"/>
      <c r="BN57" s="81" t="n"/>
      <c r="BQ57" s="211" t="n"/>
      <c r="BR57" s="81" t="n"/>
      <c r="BS57" s="81" t="n"/>
      <c r="BT57" s="81" t="n"/>
      <c r="BU57" s="81" t="n"/>
      <c r="BX57" s="213" t="n"/>
      <c r="BY57" s="81" t="n"/>
      <c r="BZ57" s="81" t="n"/>
      <c r="CA57" s="81" t="n"/>
      <c r="CB57" s="81" t="n"/>
      <c r="CE57" s="213" t="n"/>
      <c r="CF57" s="81" t="n"/>
      <c r="CG57" s="81" t="n"/>
      <c r="CH57" s="81" t="n"/>
      <c r="CI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</row>
    <row r="58" ht="30" customFormat="1" customHeight="1" s="167">
      <c r="B58" s="81" t="n"/>
      <c r="C58" s="81" t="n"/>
      <c r="D58" s="81" t="n"/>
      <c r="E58" s="419" t="inlineStr">
        <is>
          <t>VERIFICA E GIUDIZIO IDONEITA' DISPOSITIVI DI PROTEZIONE INDIVIDUALE</t>
        </is>
      </c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286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215" t="n"/>
      <c r="AW58" s="47" t="n"/>
      <c r="AX58" s="47" t="n"/>
      <c r="AY58" s="81" t="n"/>
      <c r="AZ58" s="81" t="n"/>
      <c r="BC58" s="211" t="n"/>
      <c r="BD58" s="47" t="n"/>
      <c r="BE58" s="47" t="n"/>
      <c r="BF58" s="81" t="n"/>
      <c r="BG58" s="81" t="n"/>
      <c r="BJ58" s="211" t="n"/>
      <c r="BK58" s="47" t="n"/>
      <c r="BL58" s="47" t="n"/>
      <c r="BM58" s="81" t="n"/>
      <c r="BN58" s="81" t="n"/>
      <c r="BQ58" s="211" t="n"/>
      <c r="BR58" s="47" t="n"/>
      <c r="BS58" s="47" t="n"/>
      <c r="BT58" s="81" t="n"/>
      <c r="BU58" s="81" t="n"/>
      <c r="BX58" s="213" t="n"/>
      <c r="BY58" s="47" t="n"/>
      <c r="BZ58" s="47" t="n"/>
      <c r="CA58" s="81" t="n"/>
      <c r="CB58" s="81" t="n"/>
      <c r="CE58" s="213" t="n"/>
      <c r="CF58" s="47" t="n"/>
      <c r="CG58" s="47" t="n"/>
      <c r="CH58" s="81" t="n"/>
      <c r="CI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</row>
    <row r="59" ht="30" customFormat="1" customHeight="1" s="167">
      <c r="B59" s="81" t="n"/>
      <c r="C59" s="81" t="n"/>
      <c r="D59" s="81" t="n"/>
      <c r="E59" s="47" t="inlineStr">
        <is>
          <t>Nota:</t>
        </is>
      </c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286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215" t="n"/>
      <c r="AW59" s="47" t="n"/>
      <c r="AX59" s="47" t="n"/>
      <c r="AY59" s="81" t="n"/>
      <c r="AZ59" s="81" t="n"/>
      <c r="BA59" s="47" t="n"/>
      <c r="BB59" s="47" t="n"/>
      <c r="BC59" s="212" t="n"/>
      <c r="BD59" s="47" t="n"/>
      <c r="BE59" s="47" t="n"/>
      <c r="BF59" s="81" t="n"/>
      <c r="BG59" s="81" t="n"/>
      <c r="BH59" s="47" t="n"/>
      <c r="BI59" s="47" t="n"/>
      <c r="BJ59" s="212" t="n"/>
      <c r="BK59" s="47" t="n"/>
      <c r="BL59" s="47" t="n"/>
      <c r="BM59" s="81" t="n"/>
      <c r="BN59" s="81" t="n"/>
      <c r="BO59" s="47" t="n"/>
      <c r="BP59" s="47" t="n"/>
      <c r="BQ59" s="211" t="n"/>
      <c r="BR59" s="47" t="n"/>
      <c r="BS59" s="47" t="n"/>
      <c r="BT59" s="81" t="n"/>
      <c r="BU59" s="81" t="n"/>
      <c r="BV59" s="47" t="n"/>
      <c r="BW59" s="47" t="n"/>
      <c r="BX59" s="213" t="n"/>
      <c r="BY59" s="47" t="n"/>
      <c r="BZ59" s="47" t="n"/>
      <c r="CA59" s="81" t="n"/>
      <c r="CB59" s="81" t="n"/>
      <c r="CC59" s="47" t="n"/>
      <c r="CD59" s="47" t="n"/>
      <c r="CE59" s="213" t="n"/>
      <c r="CF59" s="47" t="n"/>
      <c r="CG59" s="47" t="n"/>
      <c r="CH59" s="81" t="n"/>
      <c r="CI59" s="81" t="n"/>
      <c r="CJ59" s="47" t="n"/>
      <c r="CK59" s="47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</row>
    <row r="60" ht="63.75" customFormat="1" customHeight="1" s="167">
      <c r="B60" s="81" t="n"/>
      <c r="C60" s="81" t="n"/>
      <c r="D60" s="81" t="n"/>
      <c r="E60" s="384" t="inlineStr">
        <is>
      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      </is>
      </c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286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216" t="n"/>
      <c r="AW60" s="47" t="n"/>
      <c r="AX60" s="47" t="n"/>
      <c r="AY60" s="81" t="n"/>
      <c r="AZ60" s="81" t="n"/>
      <c r="BA60" s="47" t="n"/>
      <c r="BB60" s="47" t="n"/>
      <c r="BC60" s="212" t="n"/>
      <c r="BD60" s="47" t="n"/>
      <c r="BE60" s="47" t="n"/>
      <c r="BF60" s="81" t="n"/>
      <c r="BG60" s="81" t="n"/>
      <c r="BH60" s="47" t="n"/>
      <c r="BI60" s="47" t="n"/>
      <c r="BJ60" s="212" t="n"/>
      <c r="BK60" s="47" t="n"/>
      <c r="BL60" s="47" t="n"/>
      <c r="BM60" s="81" t="n"/>
      <c r="BN60" s="81" t="n"/>
      <c r="BO60" s="47" t="n"/>
      <c r="BP60" s="47" t="n"/>
      <c r="BQ60" s="211" t="n"/>
      <c r="BR60" s="47" t="n"/>
      <c r="BS60" s="47" t="n"/>
      <c r="BT60" s="81" t="n"/>
      <c r="BU60" s="81" t="n"/>
      <c r="BV60" s="47" t="n"/>
      <c r="BW60" s="47" t="n"/>
      <c r="BX60" s="213" t="n"/>
      <c r="BY60" s="47" t="n"/>
      <c r="BZ60" s="47" t="n"/>
      <c r="CA60" s="81" t="n"/>
      <c r="CB60" s="81" t="n"/>
      <c r="CC60" s="47" t="n"/>
      <c r="CD60" s="47" t="n"/>
      <c r="CE60" s="213" t="n"/>
      <c r="CF60" s="47" t="n"/>
      <c r="CG60" s="47" t="n"/>
      <c r="CH60" s="81" t="n"/>
      <c r="CI60" s="81" t="n"/>
      <c r="CJ60" s="47" t="n"/>
      <c r="CK60" s="47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</row>
    <row r="61" ht="20.1" customFormat="1" customHeight="1" s="167">
      <c r="B61" s="81" t="n"/>
      <c r="C61" s="81" t="n"/>
      <c r="D61" s="81" t="n"/>
      <c r="E61" s="384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286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216" t="n"/>
      <c r="AW61" s="47" t="n"/>
      <c r="AX61" s="47" t="n"/>
      <c r="AY61" s="56" t="n"/>
      <c r="AZ61" s="52" t="n"/>
      <c r="BA61" s="47" t="n"/>
      <c r="BB61" s="47" t="n"/>
      <c r="BC61" s="212" t="n"/>
      <c r="BD61" s="47" t="n"/>
      <c r="BE61" s="47" t="n"/>
      <c r="BF61" s="56" t="n"/>
      <c r="BG61" s="52" t="n"/>
      <c r="BH61" s="47" t="n"/>
      <c r="BI61" s="47" t="n"/>
      <c r="BJ61" s="212" t="n"/>
      <c r="BK61" s="47" t="n"/>
      <c r="BL61" s="47" t="n"/>
      <c r="BM61" s="56" t="n"/>
      <c r="BN61" s="52" t="n"/>
      <c r="BO61" s="47" t="n"/>
      <c r="BP61" s="47" t="n"/>
      <c r="BQ61" s="211" t="n"/>
      <c r="BR61" s="47" t="n"/>
      <c r="BS61" s="47" t="n"/>
      <c r="BT61" s="56" t="n"/>
      <c r="BU61" s="52" t="n"/>
      <c r="BV61" s="47" t="n"/>
      <c r="BW61" s="47" t="n"/>
      <c r="BX61" s="213" t="n"/>
      <c r="BY61" s="47" t="n"/>
      <c r="BZ61" s="47" t="n"/>
      <c r="CA61" s="56" t="n"/>
      <c r="CB61" s="52" t="n"/>
      <c r="CC61" s="47" t="n"/>
      <c r="CD61" s="47" t="n"/>
      <c r="CE61" s="213" t="n"/>
      <c r="CF61" s="47" t="n"/>
      <c r="CG61" s="47" t="n"/>
      <c r="CH61" s="56" t="n"/>
      <c r="CI61" s="52" t="n"/>
      <c r="CJ61" s="47" t="n"/>
      <c r="CK61" s="47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</row>
    <row r="62" ht="9.949999999999999" customFormat="1" customHeight="1" s="167" thickBot="1">
      <c r="B62" s="81" t="n"/>
      <c r="C62" s="81" t="n"/>
      <c r="D62" s="81" t="n"/>
      <c r="E62" s="81" t="n"/>
      <c r="F62" s="81" t="n"/>
      <c r="G62" s="81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286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213" t="n"/>
      <c r="AW62" s="81" t="n"/>
      <c r="AX62" s="81" t="n"/>
      <c r="AY62" s="56" t="n"/>
      <c r="AZ62" s="52" t="n"/>
      <c r="BA62" s="47" t="n"/>
      <c r="BB62" s="47" t="n"/>
      <c r="BC62" s="212" t="n"/>
      <c r="BD62" s="81" t="n"/>
      <c r="BE62" s="81" t="n"/>
      <c r="BF62" s="56" t="n"/>
      <c r="BG62" s="52" t="n"/>
      <c r="BH62" s="47" t="n"/>
      <c r="BI62" s="47" t="n"/>
      <c r="BJ62" s="212" t="n"/>
      <c r="BK62" s="81" t="n"/>
      <c r="BL62" s="81" t="n"/>
      <c r="BM62" s="56" t="n"/>
      <c r="BN62" s="52" t="n"/>
      <c r="BO62" s="47" t="n"/>
      <c r="BP62" s="47" t="n"/>
      <c r="BQ62" s="211" t="n"/>
      <c r="BR62" s="81" t="n"/>
      <c r="BS62" s="81" t="n"/>
      <c r="BT62" s="56" t="n"/>
      <c r="BU62" s="52" t="n"/>
      <c r="BV62" s="47" t="n"/>
      <c r="BW62" s="47" t="n"/>
      <c r="BX62" s="213" t="n"/>
      <c r="BY62" s="81" t="n"/>
      <c r="BZ62" s="81" t="n"/>
      <c r="CA62" s="56" t="n"/>
      <c r="CB62" s="52" t="n"/>
      <c r="CC62" s="47" t="n"/>
      <c r="CD62" s="47" t="n"/>
      <c r="CE62" s="213" t="n"/>
      <c r="CF62" s="81" t="n"/>
      <c r="CG62" s="81" t="n"/>
      <c r="CH62" s="56" t="n"/>
      <c r="CI62" s="52" t="n"/>
      <c r="CJ62" s="47" t="n"/>
      <c r="CK62" s="47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</row>
    <row r="63" ht="45.75" customFormat="1" customHeight="1" s="167">
      <c r="B63" s="48" t="n"/>
      <c r="C63" s="48" t="n"/>
      <c r="D63" s="48" t="n"/>
      <c r="E63" s="385" t="inlineStr">
        <is>
          <t>VERIFICA E GIUDIZIO IDONEITA' DEI D.P.I. CON CALCOLO DEL PNR PER OGNI SORGENTE SONORA 
CON LAeq &gt; 80 dB(A) SUL LIVELLO D'ESPOSIZIONE</t>
        </is>
      </c>
      <c r="F63" s="482" t="n"/>
      <c r="G63" s="482" t="n"/>
      <c r="H63" s="482" t="n"/>
      <c r="I63" s="482" t="n"/>
      <c r="J63" s="482" t="n"/>
      <c r="K63" s="482" t="n"/>
      <c r="L63" s="482" t="n"/>
      <c r="M63" s="482" t="n"/>
      <c r="N63" s="482" t="n"/>
      <c r="O63" s="482" t="n"/>
      <c r="P63" s="483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286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217" t="n"/>
      <c r="AW63" s="81" t="n"/>
      <c r="AX63" s="81" t="n"/>
      <c r="AY63" s="56" t="n"/>
      <c r="AZ63" s="52" t="n"/>
      <c r="BA63" s="47" t="n"/>
      <c r="BB63" s="47" t="n"/>
      <c r="BC63" s="212" t="n"/>
      <c r="BD63" s="81" t="n"/>
      <c r="BE63" s="81" t="n"/>
      <c r="BF63" s="56" t="n"/>
      <c r="BG63" s="52" t="n"/>
      <c r="BH63" s="47" t="n"/>
      <c r="BI63" s="47" t="n"/>
      <c r="BJ63" s="212" t="n"/>
      <c r="BK63" s="81" t="n"/>
      <c r="BL63" s="81" t="n"/>
      <c r="BM63" s="56" t="n"/>
      <c r="BN63" s="52" t="n"/>
      <c r="BO63" s="47" t="n"/>
      <c r="BP63" s="47" t="n"/>
      <c r="BQ63" s="211" t="n"/>
      <c r="BR63" s="81" t="n"/>
      <c r="BS63" s="81" t="n"/>
      <c r="BT63" s="56" t="n"/>
      <c r="BU63" s="52" t="n"/>
      <c r="BV63" s="47" t="n"/>
      <c r="BW63" s="47" t="n"/>
      <c r="BX63" s="213" t="n"/>
      <c r="BY63" s="81" t="n"/>
      <c r="BZ63" s="81" t="n"/>
      <c r="CA63" s="56" t="n"/>
      <c r="CB63" s="52" t="n"/>
      <c r="CC63" s="47" t="n"/>
      <c r="CD63" s="47" t="n"/>
      <c r="CE63" s="213" t="n"/>
      <c r="CF63" s="81" t="n"/>
      <c r="CG63" s="81" t="n"/>
      <c r="CH63" s="56" t="n"/>
      <c r="CI63" s="52" t="n"/>
      <c r="CJ63" s="47" t="n"/>
      <c r="CK63" s="47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</row>
    <row r="64" ht="21" customFormat="1" customHeight="1" s="167">
      <c r="B64" s="48" t="n"/>
      <c r="C64" s="48" t="n"/>
      <c r="D64" s="48" t="n"/>
      <c r="E64" s="193" t="inlineStr">
        <is>
          <t>COD.</t>
        </is>
      </c>
      <c r="F64" s="373" t="inlineStr">
        <is>
          <t>Tipologia:</t>
        </is>
      </c>
      <c r="G64" s="373" t="inlineStr">
        <is>
          <t>Marca:</t>
        </is>
      </c>
      <c r="H64" s="373" t="inlineStr">
        <is>
          <t>Modello:</t>
        </is>
      </c>
      <c r="I64" s="461" t="n"/>
      <c r="J64" s="114" t="inlineStr">
        <is>
          <t>SNR</t>
        </is>
      </c>
      <c r="K64" s="115" t="inlineStr">
        <is>
          <t>H</t>
        </is>
      </c>
      <c r="L64" s="116" t="inlineStr">
        <is>
          <t>M</t>
        </is>
      </c>
      <c r="M64" s="116" t="inlineStr">
        <is>
          <t>L</t>
        </is>
      </c>
      <c r="N64" s="388" t="inlineStr">
        <is>
          <t>PNR medio</t>
        </is>
      </c>
      <c r="O64" s="460" t="n"/>
      <c r="P64" s="46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286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218" t="n"/>
      <c r="AW64" s="81" t="n"/>
      <c r="AX64" s="81" t="n"/>
      <c r="AY64" s="56" t="n"/>
      <c r="AZ64" s="52" t="n"/>
      <c r="BA64" s="47" t="n"/>
      <c r="BB64" s="47" t="n"/>
      <c r="BC64" s="212" t="n"/>
      <c r="BD64" s="81" t="n"/>
      <c r="BE64" s="81" t="n"/>
      <c r="BF64" s="56" t="n"/>
      <c r="BG64" s="52" t="n"/>
      <c r="BH64" s="47" t="n"/>
      <c r="BI64" s="47" t="n"/>
      <c r="BJ64" s="212" t="n"/>
      <c r="BK64" s="81" t="n"/>
      <c r="BL64" s="81" t="n"/>
      <c r="BM64" s="56" t="n"/>
      <c r="BN64" s="52" t="n"/>
      <c r="BO64" s="47" t="n"/>
      <c r="BP64" s="47" t="n"/>
      <c r="BQ64" s="211" t="n"/>
      <c r="BR64" s="81" t="n"/>
      <c r="BS64" s="81" t="n"/>
      <c r="BT64" s="56" t="n"/>
      <c r="BU64" s="52" t="n"/>
      <c r="BV64" s="47" t="n"/>
      <c r="BW64" s="47" t="n"/>
      <c r="BX64" s="213" t="n"/>
      <c r="BY64" s="81" t="n"/>
      <c r="BZ64" s="81" t="n"/>
      <c r="CA64" s="56" t="n"/>
      <c r="CB64" s="52" t="n"/>
      <c r="CC64" s="47" t="n"/>
      <c r="CD64" s="47" t="n"/>
      <c r="CE64" s="213" t="n"/>
      <c r="CF64" s="81" t="n"/>
      <c r="CG64" s="81" t="n"/>
      <c r="CH64" s="56" t="n"/>
      <c r="CI64" s="52" t="n"/>
      <c r="CJ64" s="47" t="n"/>
      <c r="CK64" s="47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</row>
    <row r="65" ht="21" customFormat="1" customHeight="1" s="167">
      <c r="B65" s="48" t="n"/>
      <c r="C65" s="48" t="n"/>
      <c r="D65" s="48" t="n"/>
      <c r="E65" s="193" t="inlineStr">
        <is>
          <t>A1</t>
        </is>
      </c>
      <c r="F65" s="374">
        <f>VLOOKUP(E65,$E$115:$L$246,2,FALSE)</f>
        <v/>
      </c>
      <c r="G65" s="374">
        <f>VLOOKUP($E$65,$E$115:$L$246,3,FALSE)</f>
        <v/>
      </c>
      <c r="H65" s="374">
        <f>VLOOKUP($E$65,$E$115:$L$246,4,FALSE)</f>
        <v/>
      </c>
      <c r="I65" s="461" t="n"/>
      <c r="J65" s="46">
        <f>VLOOKUP($E$65,$E$115:$L$246,5,FALSE)</f>
        <v/>
      </c>
      <c r="K65" s="46">
        <f>VLOOKUP($E$65,$E$115:$L$246,6,FALSE)</f>
        <v/>
      </c>
      <c r="L65" s="46">
        <f>VLOOKUP($E$65,$E$115:$L$246,7,FALSE)</f>
        <v/>
      </c>
      <c r="M65" s="46">
        <f>VLOOKUP($E$65,$E$115:$L$246,8,FALSE)</f>
        <v/>
      </c>
      <c r="N65" s="392">
        <f>IF(AK41=0,"Non necessario",AK41/(COUNT(AK11:AK40)))</f>
        <v/>
      </c>
      <c r="O65" s="454" t="n"/>
      <c r="P65" s="456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286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219" t="n"/>
      <c r="AW65" s="81" t="n"/>
      <c r="AX65" s="81" t="n"/>
      <c r="AY65" s="56" t="n"/>
      <c r="AZ65" s="56" t="n"/>
      <c r="BA65" s="47" t="n"/>
      <c r="BB65" s="47" t="n"/>
      <c r="BC65" s="212" t="n"/>
      <c r="BD65" s="81" t="n"/>
      <c r="BE65" s="81" t="n"/>
      <c r="BF65" s="56" t="n"/>
      <c r="BG65" s="56" t="n"/>
      <c r="BH65" s="47" t="n"/>
      <c r="BI65" s="47" t="n"/>
      <c r="BJ65" s="212" t="n"/>
      <c r="BK65" s="81" t="n"/>
      <c r="BL65" s="81" t="n"/>
      <c r="BM65" s="56" t="n"/>
      <c r="BN65" s="56" t="n"/>
      <c r="BO65" s="47" t="n"/>
      <c r="BP65" s="47" t="n"/>
      <c r="BQ65" s="211" t="n"/>
      <c r="BR65" s="81" t="n"/>
      <c r="BS65" s="81" t="n"/>
      <c r="BT65" s="56" t="n"/>
      <c r="BU65" s="56" t="n"/>
      <c r="BV65" s="47" t="n"/>
      <c r="BW65" s="47" t="n"/>
      <c r="BX65" s="213" t="n"/>
      <c r="BY65" s="81" t="n"/>
      <c r="BZ65" s="81" t="n"/>
      <c r="CA65" s="56" t="n"/>
      <c r="CB65" s="56" t="n"/>
      <c r="CC65" s="47" t="n"/>
      <c r="CD65" s="47" t="n"/>
      <c r="CE65" s="213" t="n"/>
      <c r="CF65" s="81" t="n"/>
      <c r="CG65" s="81" t="n"/>
      <c r="CH65" s="56" t="n"/>
      <c r="CI65" s="56" t="n"/>
      <c r="CJ65" s="47" t="n"/>
      <c r="CK65" s="47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</row>
    <row r="66" ht="21" customFormat="1" customHeight="1" s="167">
      <c r="B66" s="48" t="n"/>
      <c r="C66" s="48" t="n"/>
      <c r="D66" s="48" t="n"/>
      <c r="E66" s="395" t="inlineStr">
        <is>
          <t xml:space="preserve">Coeffciente correttivo β = </t>
        </is>
      </c>
      <c r="F66" s="460" t="n"/>
      <c r="G66" s="461" t="n"/>
      <c r="H66" s="379" t="n">
        <v>0.65</v>
      </c>
      <c r="I66" s="461" t="n"/>
      <c r="J66" s="117">
        <f>H66*J65</f>
        <v/>
      </c>
      <c r="K66" s="118">
        <f>K65*$H$66</f>
        <v/>
      </c>
      <c r="L66" s="118">
        <f>L65*$H$66</f>
        <v/>
      </c>
      <c r="M66" s="118">
        <f>M65*$H$66</f>
        <v/>
      </c>
      <c r="N66" s="458" t="n"/>
      <c r="O66" s="457" t="n"/>
      <c r="P66" s="459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286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211" t="n"/>
      <c r="AW66" s="81" t="n"/>
      <c r="AX66" s="81" t="n"/>
      <c r="AY66" s="56" t="n"/>
      <c r="AZ66" s="56" t="n"/>
      <c r="BA66" s="47" t="n"/>
      <c r="BB66" s="47" t="n"/>
      <c r="BC66" s="212" t="n"/>
      <c r="BD66" s="81" t="n"/>
      <c r="BE66" s="81" t="n"/>
      <c r="BF66" s="56" t="n"/>
      <c r="BG66" s="56" t="n"/>
      <c r="BH66" s="47" t="n"/>
      <c r="BI66" s="47" t="n"/>
      <c r="BJ66" s="212" t="n"/>
      <c r="BK66" s="81" t="n"/>
      <c r="BL66" s="81" t="n"/>
      <c r="BM66" s="56" t="n"/>
      <c r="BN66" s="56" t="n"/>
      <c r="BO66" s="47" t="n"/>
      <c r="BP66" s="47" t="n"/>
      <c r="BQ66" s="211" t="n"/>
      <c r="BR66" s="81" t="n"/>
      <c r="BS66" s="81" t="n"/>
      <c r="BT66" s="56" t="n"/>
      <c r="BU66" s="56" t="n"/>
      <c r="BV66" s="47" t="n"/>
      <c r="BW66" s="47" t="n"/>
      <c r="BX66" s="213" t="n"/>
      <c r="BY66" s="81" t="n"/>
      <c r="BZ66" s="81" t="n"/>
      <c r="CA66" s="56" t="n"/>
      <c r="CB66" s="56" t="n"/>
      <c r="CC66" s="47" t="n"/>
      <c r="CD66" s="47" t="n"/>
      <c r="CE66" s="213" t="n"/>
      <c r="CF66" s="81" t="n"/>
      <c r="CG66" s="81" t="n"/>
      <c r="CH66" s="56" t="n"/>
      <c r="CI66" s="56" t="n"/>
      <c r="CJ66" s="47" t="n"/>
      <c r="CK66" s="47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</row>
    <row r="67" ht="9.75" customFormat="1" customHeight="1" s="167">
      <c r="B67" s="48" t="n"/>
      <c r="C67" s="48" t="n"/>
      <c r="D67" s="48" t="n"/>
      <c r="E67" s="389" t="n"/>
      <c r="F67" s="460" t="n"/>
      <c r="G67" s="460" t="n"/>
      <c r="H67" s="460" t="n"/>
      <c r="I67" s="460" t="n"/>
      <c r="J67" s="460" t="n"/>
      <c r="K67" s="460" t="n"/>
      <c r="L67" s="460" t="n"/>
      <c r="M67" s="460" t="n"/>
      <c r="N67" s="460" t="n"/>
      <c r="O67" s="460" t="n"/>
      <c r="P67" s="46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286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213" t="n"/>
      <c r="AW67" s="81" t="n"/>
      <c r="AX67" s="81" t="n"/>
      <c r="AY67" s="56" t="n"/>
      <c r="AZ67" s="56" t="n"/>
      <c r="BA67" s="47" t="n"/>
      <c r="BB67" s="47" t="n"/>
      <c r="BC67" s="212" t="n"/>
      <c r="BD67" s="81" t="n"/>
      <c r="BE67" s="81" t="n"/>
      <c r="BF67" s="56" t="n"/>
      <c r="BG67" s="56" t="n"/>
      <c r="BH67" s="47" t="n"/>
      <c r="BI67" s="47" t="n"/>
      <c r="BJ67" s="212" t="n"/>
      <c r="BK67" s="81" t="n"/>
      <c r="BL67" s="81" t="n"/>
      <c r="BM67" s="56" t="n"/>
      <c r="BN67" s="56" t="n"/>
      <c r="BO67" s="47" t="n"/>
      <c r="BP67" s="47" t="n"/>
      <c r="BQ67" s="211" t="n"/>
      <c r="BR67" s="81" t="n"/>
      <c r="BS67" s="81" t="n"/>
      <c r="BT67" s="56" t="n"/>
      <c r="BU67" s="56" t="n"/>
      <c r="BV67" s="47" t="n"/>
      <c r="BW67" s="47" t="n"/>
      <c r="BX67" s="213" t="n"/>
      <c r="BY67" s="81" t="n"/>
      <c r="BZ67" s="81" t="n"/>
      <c r="CA67" s="56" t="n"/>
      <c r="CB67" s="56" t="n"/>
      <c r="CC67" s="47" t="n"/>
      <c r="CD67" s="47" t="n"/>
      <c r="CE67" s="213" t="n"/>
      <c r="CF67" s="81" t="n"/>
      <c r="CG67" s="81" t="n"/>
      <c r="CH67" s="56" t="n"/>
      <c r="CI67" s="56" t="n"/>
      <c r="CJ67" s="47" t="n"/>
      <c r="CK67" s="47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</row>
    <row r="68" ht="24" customFormat="1" customHeight="1" s="167">
      <c r="B68" s="48" t="n"/>
      <c r="C68" s="48" t="n"/>
      <c r="D68" s="48" t="n"/>
      <c r="E68" s="361" t="inlineStr">
        <is>
          <t>STATO</t>
        </is>
      </c>
      <c r="F68" s="461" t="n"/>
      <c r="G68" s="398" t="inlineStr">
        <is>
          <t>Medoto HML</t>
        </is>
      </c>
      <c r="H68" s="398" t="inlineStr">
        <is>
          <t>LEX</t>
        </is>
      </c>
      <c r="I68" s="119" t="inlineStr">
        <is>
          <t>LEX'</t>
        </is>
      </c>
      <c r="J68" s="133">
        <f>IF(O47&lt;87,CX43,CX43)</f>
        <v/>
      </c>
      <c r="K68" s="119" t="inlineStr">
        <is>
          <t xml:space="preserve">Lact </t>
        </is>
      </c>
      <c r="L68" s="119" t="n">
        <v>80</v>
      </c>
      <c r="M68" s="365">
        <f>IF(J68&lt;65,"IPERPROTEZIONE",IF(J68&lt;70,"ACCETTABILE",IF(J68&lt;75,"BUONA",IF(J68&lt;80,"ACCETTABILE","INSUFFICIENTE"))))</f>
        <v/>
      </c>
      <c r="N68" s="460" t="n"/>
      <c r="O68" s="460" t="n"/>
      <c r="P68" s="46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286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220" t="n"/>
      <c r="AW68" s="81" t="n"/>
      <c r="AX68" s="81" t="n"/>
      <c r="AY68" s="56" t="n"/>
      <c r="AZ68" s="56" t="n"/>
      <c r="BA68" s="47" t="n"/>
      <c r="BB68" s="47" t="n"/>
      <c r="BC68" s="212" t="n"/>
      <c r="BD68" s="81" t="n"/>
      <c r="BE68" s="81" t="n"/>
      <c r="BF68" s="56" t="n"/>
      <c r="BG68" s="56" t="n"/>
      <c r="BH68" s="47" t="n"/>
      <c r="BI68" s="47" t="n"/>
      <c r="BJ68" s="212" t="n"/>
      <c r="BK68" s="81" t="n"/>
      <c r="BL68" s="81" t="n"/>
      <c r="BM68" s="56" t="n"/>
      <c r="BN68" s="56" t="n"/>
      <c r="BO68" s="47" t="n"/>
      <c r="BP68" s="47" t="n"/>
      <c r="BQ68" s="211" t="n"/>
      <c r="BR68" s="81" t="n"/>
      <c r="BS68" s="81" t="n"/>
      <c r="BT68" s="56" t="n"/>
      <c r="BU68" s="56" t="n"/>
      <c r="BV68" s="47" t="n"/>
      <c r="BW68" s="47" t="n"/>
      <c r="BX68" s="213" t="n"/>
      <c r="BY68" s="81" t="n"/>
      <c r="BZ68" s="81" t="n"/>
      <c r="CA68" s="56" t="n"/>
      <c r="CB68" s="56" t="n"/>
      <c r="CC68" s="47" t="n"/>
      <c r="CD68" s="47" t="n"/>
      <c r="CE68" s="213" t="n"/>
      <c r="CF68" s="81" t="n"/>
      <c r="CG68" s="81" t="n"/>
      <c r="CH68" s="56" t="n"/>
      <c r="CI68" s="56" t="n"/>
      <c r="CJ68" s="47" t="n"/>
      <c r="CK68" s="47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</row>
    <row r="69" ht="27" customFormat="1" customHeight="1" s="167" thickBot="1">
      <c r="B69" s="48" t="n"/>
      <c r="C69" s="48" t="n"/>
      <c r="D69" s="48" t="n"/>
      <c r="E69" s="367" t="inlineStr">
        <is>
          <t>IN DOTAZIONE</t>
        </is>
      </c>
      <c r="F69" s="484" t="n"/>
      <c r="G69" s="463" t="n"/>
      <c r="H69" s="113" t="inlineStr">
        <is>
          <t>PPeak</t>
        </is>
      </c>
      <c r="I69" s="112" t="inlineStr">
        <is>
          <t>dm</t>
        </is>
      </c>
      <c r="J69" s="112">
        <f>M66-5</f>
        <v/>
      </c>
      <c r="K69" s="112" t="inlineStr">
        <is>
          <t xml:space="preserve">Lact </t>
        </is>
      </c>
      <c r="L69" s="112" t="n">
        <v>135</v>
      </c>
      <c r="M69" s="368">
        <f>IF($O$48&lt;135,"VERIFICA NON NECESSARIA",IF(($O$48-J69)&lt;135,"IDONEO","INSUFFICIENTE"))</f>
        <v/>
      </c>
      <c r="N69" s="485" t="n"/>
      <c r="O69" s="485" t="n"/>
      <c r="P69" s="484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286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220" t="n"/>
      <c r="AW69" s="81" t="n"/>
      <c r="AX69" s="81" t="n"/>
      <c r="AY69" s="56" t="n"/>
      <c r="AZ69" s="56" t="n"/>
      <c r="BA69" s="47" t="n"/>
      <c r="BB69" s="47" t="n"/>
      <c r="BC69" s="212" t="n"/>
      <c r="BD69" s="81" t="n"/>
      <c r="BE69" s="81" t="n"/>
      <c r="BF69" s="56" t="n"/>
      <c r="BG69" s="56" t="n"/>
      <c r="BH69" s="47" t="n"/>
      <c r="BI69" s="47" t="n"/>
      <c r="BJ69" s="212" t="n"/>
      <c r="BK69" s="81" t="n"/>
      <c r="BL69" s="81" t="n"/>
      <c r="BM69" s="56" t="n"/>
      <c r="BN69" s="56" t="n"/>
      <c r="BO69" s="47" t="n"/>
      <c r="BP69" s="47" t="n"/>
      <c r="BQ69" s="211" t="n"/>
      <c r="BR69" s="81" t="n"/>
      <c r="BS69" s="81" t="n"/>
      <c r="BT69" s="56" t="n"/>
      <c r="BU69" s="56" t="n"/>
      <c r="BV69" s="47" t="n"/>
      <c r="BW69" s="47" t="n"/>
      <c r="BX69" s="213" t="n"/>
      <c r="BY69" s="81" t="n"/>
      <c r="BZ69" s="81" t="n"/>
      <c r="CA69" s="56" t="n"/>
      <c r="CB69" s="56" t="n"/>
      <c r="CC69" s="47" t="n"/>
      <c r="CD69" s="47" t="n"/>
      <c r="CE69" s="213" t="n"/>
      <c r="CF69" s="81" t="n"/>
      <c r="CG69" s="81" t="n"/>
      <c r="CH69" s="56" t="n"/>
      <c r="CI69" s="56" t="n"/>
      <c r="CJ69" s="47" t="n"/>
      <c r="CK69" s="47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</row>
    <row r="70" ht="12.6" customFormat="1" customHeight="1" s="167">
      <c r="B70" s="48" t="n"/>
      <c r="C70" s="48" t="n"/>
      <c r="D70" s="48" t="n"/>
      <c r="E70" s="81" t="n"/>
      <c r="F70" s="81" t="n"/>
      <c r="G70" s="81" t="n"/>
      <c r="H70" s="81" t="n"/>
      <c r="I70" s="61" t="n"/>
      <c r="J70" s="61" t="n"/>
      <c r="K70" s="50" t="n"/>
      <c r="L70" s="51" t="n"/>
      <c r="M70" s="51" t="n"/>
      <c r="N70" s="52" t="n"/>
      <c r="O70" s="53" t="n"/>
      <c r="P70" s="53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286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221" t="n"/>
      <c r="AW70" s="81" t="n"/>
      <c r="AX70" s="81" t="n"/>
      <c r="AY70" s="56" t="n"/>
      <c r="AZ70" s="56" t="n"/>
      <c r="BA70" s="47" t="n"/>
      <c r="BB70" s="47" t="n"/>
      <c r="BC70" s="212" t="n"/>
      <c r="BD70" s="81" t="n"/>
      <c r="BE70" s="81" t="n"/>
      <c r="BF70" s="56" t="n"/>
      <c r="BG70" s="56" t="n"/>
      <c r="BH70" s="47" t="n"/>
      <c r="BI70" s="47" t="n"/>
      <c r="BJ70" s="212" t="n"/>
      <c r="BK70" s="81" t="n"/>
      <c r="BL70" s="81" t="n"/>
      <c r="BM70" s="56" t="n"/>
      <c r="BN70" s="56" t="n"/>
      <c r="BO70" s="47" t="n"/>
      <c r="BP70" s="47" t="n"/>
      <c r="BQ70" s="211" t="n"/>
      <c r="BR70" s="81" t="n"/>
      <c r="BS70" s="81" t="n"/>
      <c r="BT70" s="56" t="n"/>
      <c r="BU70" s="56" t="n"/>
      <c r="BV70" s="47" t="n"/>
      <c r="BW70" s="47" t="n"/>
      <c r="BX70" s="213" t="n"/>
      <c r="BY70" s="81" t="n"/>
      <c r="BZ70" s="81" t="n"/>
      <c r="CA70" s="56" t="n"/>
      <c r="CB70" s="56" t="n"/>
      <c r="CC70" s="47" t="n"/>
      <c r="CD70" s="47" t="n"/>
      <c r="CE70" s="213" t="n"/>
      <c r="CF70" s="81" t="n"/>
      <c r="CG70" s="81" t="n"/>
      <c r="CH70" s="56" t="n"/>
      <c r="CI70" s="56" t="n"/>
      <c r="CJ70" s="47" t="n"/>
      <c r="CK70" s="47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</row>
    <row r="71" ht="12.6" customFormat="1" customHeight="1" s="167" thickBot="1">
      <c r="B71" s="48" t="n"/>
      <c r="C71" s="48" t="n"/>
      <c r="D71" s="48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2" t="n"/>
      <c r="O71" s="53" t="n"/>
      <c r="P71" s="53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286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221" t="n"/>
      <c r="AW71" s="81" t="n"/>
      <c r="AX71" s="81" t="n"/>
      <c r="AY71" s="56" t="n"/>
      <c r="AZ71" s="56" t="n"/>
      <c r="BA71" s="47" t="n"/>
      <c r="BB71" s="47" t="n"/>
      <c r="BC71" s="212" t="n"/>
      <c r="BD71" s="81" t="n"/>
      <c r="BE71" s="81" t="n"/>
      <c r="BF71" s="56" t="n"/>
      <c r="BG71" s="56" t="n"/>
      <c r="BH71" s="47" t="n"/>
      <c r="BI71" s="47" t="n"/>
      <c r="BJ71" s="212" t="n"/>
      <c r="BK71" s="81" t="n"/>
      <c r="BL71" s="81" t="n"/>
      <c r="BM71" s="56" t="n"/>
      <c r="BN71" s="56" t="n"/>
      <c r="BO71" s="47" t="n"/>
      <c r="BP71" s="47" t="n"/>
      <c r="BQ71" s="211" t="n"/>
      <c r="BR71" s="81" t="n"/>
      <c r="BS71" s="81" t="n"/>
      <c r="BT71" s="56" t="n"/>
      <c r="BU71" s="56" t="n"/>
      <c r="BV71" s="47" t="n"/>
      <c r="BW71" s="47" t="n"/>
      <c r="BX71" s="213" t="n"/>
      <c r="BY71" s="81" t="n"/>
      <c r="BZ71" s="81" t="n"/>
      <c r="CA71" s="56" t="n"/>
      <c r="CB71" s="56" t="n"/>
      <c r="CC71" s="47" t="n"/>
      <c r="CD71" s="47" t="n"/>
      <c r="CE71" s="213" t="n"/>
      <c r="CF71" s="81" t="n"/>
      <c r="CG71" s="81" t="n"/>
      <c r="CH71" s="56" t="n"/>
      <c r="CI71" s="56" t="n"/>
      <c r="CJ71" s="47" t="n"/>
      <c r="CK71" s="47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</row>
    <row r="72" ht="27" customFormat="1" customHeight="1" s="167">
      <c r="B72" s="48" t="n"/>
      <c r="C72" s="48" t="n"/>
      <c r="D72" s="48" t="n"/>
      <c r="E72" s="486" t="inlineStr">
        <is>
          <t>VERIFICA E GIUDIZIO IDONEITA' DEL D.P.I. CON CALCOLO DEL PNR GLOBALE PER LAeq,F</t>
        </is>
      </c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7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286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221" t="n"/>
      <c r="AW72" s="81" t="n"/>
      <c r="AX72" s="81" t="n"/>
      <c r="AY72" s="56" t="n"/>
      <c r="AZ72" s="56" t="n"/>
      <c r="BA72" s="47" t="n"/>
      <c r="BB72" s="47" t="n"/>
      <c r="BC72" s="212" t="n"/>
      <c r="BD72" s="81" t="n"/>
      <c r="BE72" s="81" t="n"/>
      <c r="BF72" s="56" t="n"/>
      <c r="BG72" s="56" t="n"/>
      <c r="BH72" s="47" t="n"/>
      <c r="BI72" s="47" t="n"/>
      <c r="BJ72" s="212" t="n"/>
      <c r="BK72" s="81" t="n"/>
      <c r="BL72" s="81" t="n"/>
      <c r="BM72" s="56" t="n"/>
      <c r="BN72" s="56" t="n"/>
      <c r="BO72" s="47" t="n"/>
      <c r="BP72" s="47" t="n"/>
      <c r="BQ72" s="211" t="n"/>
      <c r="BR72" s="81" t="n"/>
      <c r="BS72" s="81" t="n"/>
      <c r="BT72" s="56" t="n"/>
      <c r="BU72" s="56" t="n"/>
      <c r="BV72" s="47" t="n"/>
      <c r="BW72" s="47" t="n"/>
      <c r="BX72" s="213" t="n"/>
      <c r="BY72" s="81" t="n"/>
      <c r="BZ72" s="81" t="n"/>
      <c r="CA72" s="56" t="n"/>
      <c r="CB72" s="56" t="n"/>
      <c r="CC72" s="47" t="n"/>
      <c r="CD72" s="47" t="n"/>
      <c r="CE72" s="213" t="n"/>
      <c r="CF72" s="81" t="n"/>
      <c r="CG72" s="81" t="n"/>
      <c r="CH72" s="56" t="n"/>
      <c r="CI72" s="56" t="n"/>
      <c r="CJ72" s="47" t="n"/>
      <c r="CK72" s="47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</row>
    <row r="73" ht="21" customFormat="1" customHeight="1" s="167">
      <c r="B73" s="48" t="n"/>
      <c r="C73" s="48" t="n"/>
      <c r="D73" s="48" t="n"/>
      <c r="E73" s="193" t="inlineStr">
        <is>
          <t>COD.</t>
        </is>
      </c>
      <c r="F73" s="373" t="inlineStr">
        <is>
          <t>Tipologia:</t>
        </is>
      </c>
      <c r="G73" s="373" t="inlineStr">
        <is>
          <t>Marca:</t>
        </is>
      </c>
      <c r="H73" s="373" t="inlineStr">
        <is>
          <t>Modello:</t>
        </is>
      </c>
      <c r="I73" s="461" t="n"/>
      <c r="J73" s="114" t="inlineStr">
        <is>
          <t>SNR</t>
        </is>
      </c>
      <c r="K73" s="115" t="inlineStr">
        <is>
          <t>H</t>
        </is>
      </c>
      <c r="L73" s="116" t="inlineStr">
        <is>
          <t>M</t>
        </is>
      </c>
      <c r="M73" s="116" t="inlineStr">
        <is>
          <t>L</t>
        </is>
      </c>
      <c r="N73" s="388" t="inlineStr">
        <is>
          <t>LEQ(A)F</t>
        </is>
      </c>
      <c r="O73" s="388" t="inlineStr">
        <is>
          <t>LEQ(C)F</t>
        </is>
      </c>
      <c r="P73" s="132" t="inlineStr">
        <is>
          <t>PNR</t>
        </is>
      </c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286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218" t="n"/>
      <c r="AW73" s="81" t="n"/>
      <c r="AX73" s="81" t="n"/>
      <c r="AY73" s="56" t="n"/>
      <c r="AZ73" s="52" t="n"/>
      <c r="BA73" s="47" t="n"/>
      <c r="BB73" s="47" t="n"/>
      <c r="BC73" s="212" t="n"/>
      <c r="BD73" s="81" t="n"/>
      <c r="BE73" s="81" t="n"/>
      <c r="BF73" s="56" t="n"/>
      <c r="BG73" s="52" t="n"/>
      <c r="BH73" s="47" t="n"/>
      <c r="BI73" s="47" t="n"/>
      <c r="BJ73" s="212" t="n"/>
      <c r="BK73" s="81" t="n"/>
      <c r="BL73" s="81" t="n"/>
      <c r="BM73" s="56" t="n"/>
      <c r="BN73" s="52" t="n"/>
      <c r="BO73" s="47" t="n"/>
      <c r="BP73" s="47" t="n"/>
      <c r="BQ73" s="211" t="n"/>
      <c r="BR73" s="81" t="n"/>
      <c r="BS73" s="81" t="n"/>
      <c r="BT73" s="56" t="n"/>
      <c r="BU73" s="52" t="n"/>
      <c r="BV73" s="47" t="n"/>
      <c r="BW73" s="47" t="n"/>
      <c r="BX73" s="213" t="n"/>
      <c r="BY73" s="81" t="n"/>
      <c r="BZ73" s="81" t="n"/>
      <c r="CA73" s="56" t="n"/>
      <c r="CB73" s="52" t="n"/>
      <c r="CC73" s="47" t="n"/>
      <c r="CD73" s="47" t="n"/>
      <c r="CE73" s="213" t="n"/>
      <c r="CF73" s="81" t="n"/>
      <c r="CG73" s="81" t="n"/>
      <c r="CH73" s="56" t="n"/>
      <c r="CI73" s="52" t="n"/>
      <c r="CJ73" s="47" t="n"/>
      <c r="CK73" s="47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</row>
    <row r="74" ht="21" customFormat="1" customHeight="1" s="167">
      <c r="B74" s="48" t="n"/>
      <c r="C74" s="48" t="n"/>
      <c r="D74" s="48" t="n"/>
      <c r="E74" s="374" t="inlineStr">
        <is>
          <t>A2</t>
        </is>
      </c>
      <c r="F74" s="374">
        <f>VLOOKUP(E74,$E$115:$L$246,2,FALSE)</f>
        <v/>
      </c>
      <c r="G74" s="374">
        <f>VLOOKUP($E$74,$E$115:$L$246,3,FALSE)</f>
        <v/>
      </c>
      <c r="H74" s="374">
        <f>VLOOKUP($E$74,$E$115:$L$246,4,FALSE)</f>
        <v/>
      </c>
      <c r="I74" s="461" t="n"/>
      <c r="J74" s="46">
        <f>VLOOKUP(E74,$E$115:$L$246,5,FALSE)</f>
        <v/>
      </c>
      <c r="K74" s="46">
        <f>VLOOKUP($E$74,$E$115:$L$246,6,FALSE)</f>
        <v/>
      </c>
      <c r="L74" s="46">
        <f>VLOOKUP($E$74,$E$115:$L$246,7,FALSE)</f>
        <v/>
      </c>
      <c r="M74" s="46">
        <f>VLOOKUP($E$74,$E$115:$L$246,8,FALSE)</f>
        <v/>
      </c>
      <c r="N74" s="375">
        <f>$DE$11</f>
        <v/>
      </c>
      <c r="O74" s="375">
        <f>$DF$11</f>
        <v/>
      </c>
      <c r="P74" s="376">
        <f>IF(($DF$11-$DE$11)&lt;=2,(L75-((K75-L75)/4)*($DF$11-$DE$11-2)),(L75-((L75-M75)/8)*($DF$11-$DE$11-2)))</f>
        <v/>
      </c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286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219" t="n"/>
      <c r="AW74" s="81" t="n"/>
      <c r="AX74" s="81" t="n"/>
      <c r="AY74" s="56" t="n"/>
      <c r="AZ74" s="56" t="n"/>
      <c r="BA74" s="47" t="n"/>
      <c r="BB74" s="47" t="n"/>
      <c r="BC74" s="212" t="n"/>
      <c r="BD74" s="81" t="n"/>
      <c r="BE74" s="81" t="n"/>
      <c r="BF74" s="56" t="n"/>
      <c r="BG74" s="56" t="n"/>
      <c r="BH74" s="47" t="n"/>
      <c r="BI74" s="47" t="n"/>
      <c r="BJ74" s="212" t="n"/>
      <c r="BK74" s="81" t="n"/>
      <c r="BL74" s="81" t="n"/>
      <c r="BM74" s="56" t="n"/>
      <c r="BN74" s="56" t="n"/>
      <c r="BO74" s="47" t="n"/>
      <c r="BP74" s="47" t="n"/>
      <c r="BQ74" s="211" t="n"/>
      <c r="BR74" s="81" t="n"/>
      <c r="BS74" s="81" t="n"/>
      <c r="BT74" s="56" t="n"/>
      <c r="BU74" s="56" t="n"/>
      <c r="BV74" s="47" t="n"/>
      <c r="BW74" s="47" t="n"/>
      <c r="BX74" s="213" t="n"/>
      <c r="BY74" s="81" t="n"/>
      <c r="BZ74" s="81" t="n"/>
      <c r="CA74" s="56" t="n"/>
      <c r="CB74" s="56" t="n"/>
      <c r="CC74" s="47" t="n"/>
      <c r="CD74" s="47" t="n"/>
      <c r="CE74" s="213" t="n"/>
      <c r="CF74" s="81" t="n"/>
      <c r="CG74" s="81" t="n"/>
      <c r="CH74" s="56" t="n"/>
      <c r="CI74" s="56" t="n"/>
      <c r="CJ74" s="47" t="n"/>
      <c r="CK74" s="47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</row>
    <row r="75" ht="21" customFormat="1" customHeight="1" s="167">
      <c r="B75" s="48" t="n"/>
      <c r="C75" s="48" t="n"/>
      <c r="D75" s="48" t="n"/>
      <c r="E75" s="191" t="n"/>
      <c r="F75" s="127" t="n"/>
      <c r="G75" s="128" t="inlineStr">
        <is>
          <t xml:space="preserve">Coeffciente correttivo β = </t>
        </is>
      </c>
      <c r="H75" s="378" t="n">
        <v>0.65</v>
      </c>
      <c r="I75" s="461" t="n"/>
      <c r="J75" s="117">
        <f>H75*J74</f>
        <v/>
      </c>
      <c r="K75" s="118">
        <f>K74*$H$75</f>
        <v/>
      </c>
      <c r="L75" s="118">
        <f>L74*$H$75</f>
        <v/>
      </c>
      <c r="M75" s="118">
        <f>M74*$H$75</f>
        <v/>
      </c>
      <c r="N75" s="463" t="n"/>
      <c r="O75" s="463" t="n"/>
      <c r="P75" s="488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286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211" t="n"/>
      <c r="AW75" s="81" t="n"/>
      <c r="AX75" s="81" t="n"/>
      <c r="AY75" s="56" t="n"/>
      <c r="AZ75" s="56" t="n"/>
      <c r="BA75" s="47" t="n"/>
      <c r="BB75" s="47" t="n"/>
      <c r="BC75" s="212" t="n"/>
      <c r="BD75" s="81" t="n"/>
      <c r="BE75" s="81" t="n"/>
      <c r="BF75" s="56" t="n"/>
      <c r="BG75" s="56" t="n"/>
      <c r="BH75" s="47" t="n"/>
      <c r="BI75" s="47" t="n"/>
      <c r="BJ75" s="212" t="n"/>
      <c r="BK75" s="81" t="n"/>
      <c r="BL75" s="81" t="n"/>
      <c r="BM75" s="56" t="n"/>
      <c r="BN75" s="56" t="n"/>
      <c r="BO75" s="47" t="n"/>
      <c r="BP75" s="47" t="n"/>
      <c r="BQ75" s="211" t="n"/>
      <c r="BR75" s="81" t="n"/>
      <c r="BS75" s="81" t="n"/>
      <c r="BT75" s="56" t="n"/>
      <c r="BU75" s="56" t="n"/>
      <c r="BV75" s="47" t="n"/>
      <c r="BW75" s="47" t="n"/>
      <c r="BX75" s="213" t="n"/>
      <c r="BY75" s="81" t="n"/>
      <c r="BZ75" s="81" t="n"/>
      <c r="CA75" s="56" t="n"/>
      <c r="CB75" s="56" t="n"/>
      <c r="CC75" s="47" t="n"/>
      <c r="CD75" s="47" t="n"/>
      <c r="CE75" s="213" t="n"/>
      <c r="CF75" s="81" t="n"/>
      <c r="CG75" s="81" t="n"/>
      <c r="CH75" s="56" t="n"/>
      <c r="CI75" s="56" t="n"/>
      <c r="CJ75" s="47" t="n"/>
      <c r="CK75" s="47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</row>
    <row r="76" ht="9" customFormat="1" customHeight="1" s="167">
      <c r="B76" s="48" t="n"/>
      <c r="C76" s="48" t="n"/>
      <c r="D76" s="48" t="n"/>
      <c r="E76" s="489" t="n"/>
      <c r="F76" s="457" t="n"/>
      <c r="G76" s="457" t="n"/>
      <c r="H76" s="457" t="n"/>
      <c r="I76" s="457" t="n"/>
      <c r="J76" s="457" t="n"/>
      <c r="K76" s="457" t="n"/>
      <c r="L76" s="457" t="n"/>
      <c r="M76" s="457" t="n"/>
      <c r="N76" s="457" t="n"/>
      <c r="O76" s="457" t="n"/>
      <c r="P76" s="490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286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211" t="n"/>
      <c r="AW76" s="81" t="n"/>
      <c r="AX76" s="81" t="n"/>
      <c r="AY76" s="56" t="n"/>
      <c r="AZ76" s="56" t="n"/>
      <c r="BA76" s="47" t="n"/>
      <c r="BB76" s="47" t="n"/>
      <c r="BC76" s="212" t="n"/>
      <c r="BD76" s="81" t="n"/>
      <c r="BE76" s="81" t="n"/>
      <c r="BF76" s="56" t="n"/>
      <c r="BG76" s="56" t="n"/>
      <c r="BH76" s="47" t="n"/>
      <c r="BI76" s="47" t="n"/>
      <c r="BJ76" s="212" t="n"/>
      <c r="BK76" s="81" t="n"/>
      <c r="BL76" s="81" t="n"/>
      <c r="BM76" s="56" t="n"/>
      <c r="BN76" s="56" t="n"/>
      <c r="BO76" s="47" t="n"/>
      <c r="BP76" s="47" t="n"/>
      <c r="BQ76" s="211" t="n"/>
      <c r="BR76" s="81" t="n"/>
      <c r="BS76" s="81" t="n"/>
      <c r="BT76" s="56" t="n"/>
      <c r="BU76" s="56" t="n"/>
      <c r="BV76" s="47" t="n"/>
      <c r="BW76" s="47" t="n"/>
      <c r="BX76" s="213" t="n"/>
      <c r="BY76" s="81" t="n"/>
      <c r="BZ76" s="81" t="n"/>
      <c r="CA76" s="56" t="n"/>
      <c r="CB76" s="56" t="n"/>
      <c r="CC76" s="47" t="n"/>
      <c r="CD76" s="47" t="n"/>
      <c r="CE76" s="213" t="n"/>
      <c r="CF76" s="81" t="n"/>
      <c r="CG76" s="81" t="n"/>
      <c r="CH76" s="56" t="n"/>
      <c r="CI76" s="56" t="n"/>
      <c r="CJ76" s="47" t="n"/>
      <c r="CK76" s="47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</row>
    <row r="77" ht="21" customFormat="1" customHeight="1" s="167">
      <c r="B77" s="48" t="n"/>
      <c r="C77" s="48" t="n"/>
      <c r="D77" s="48" t="n"/>
      <c r="E77" s="361" t="inlineStr">
        <is>
          <t>STATO</t>
        </is>
      </c>
      <c r="F77" s="461" t="n"/>
      <c r="G77" s="363" t="inlineStr">
        <is>
          <t>Medoto HML</t>
        </is>
      </c>
      <c r="H77" s="130" t="inlineStr">
        <is>
          <t>LEQ</t>
        </is>
      </c>
      <c r="I77" s="131" t="inlineStr">
        <is>
          <t>Leq(A)'</t>
        </is>
      </c>
      <c r="J77" s="133">
        <f>$DE$11-P74</f>
        <v/>
      </c>
      <c r="K77" s="131" t="inlineStr">
        <is>
          <t xml:space="preserve">Lact </t>
        </is>
      </c>
      <c r="L77" s="131" t="n">
        <v>80</v>
      </c>
      <c r="M77" s="365">
        <f>IF(J77&lt;65,"IPERPROTEZIONE",IF(J77&lt;70,"ACCETTABILE",IF(J77&lt;75,"BUONA",IF(J77&lt;80,"ACCETTABILE","INSUFFICIENTE"))))</f>
        <v/>
      </c>
      <c r="N77" s="460" t="n"/>
      <c r="O77" s="460" t="n"/>
      <c r="P77" s="46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286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220" t="n"/>
      <c r="AW77" s="81" t="n"/>
      <c r="AX77" s="81" t="n"/>
      <c r="AY77" s="56" t="n"/>
      <c r="AZ77" s="56" t="n"/>
      <c r="BA77" s="47" t="n"/>
      <c r="BB77" s="47" t="n"/>
      <c r="BC77" s="212" t="n"/>
      <c r="BD77" s="81" t="n"/>
      <c r="BE77" s="81" t="n"/>
      <c r="BF77" s="56" t="n"/>
      <c r="BG77" s="56" t="n"/>
      <c r="BH77" s="47" t="n"/>
      <c r="BI77" s="47" t="n"/>
      <c r="BJ77" s="212" t="n"/>
      <c r="BK77" s="81" t="n"/>
      <c r="BL77" s="81" t="n"/>
      <c r="BM77" s="56" t="n"/>
      <c r="BN77" s="56" t="n"/>
      <c r="BO77" s="47" t="n"/>
      <c r="BP77" s="47" t="n"/>
      <c r="BQ77" s="211" t="n"/>
      <c r="BR77" s="81" t="n"/>
      <c r="BS77" s="81" t="n"/>
      <c r="BT77" s="56" t="n"/>
      <c r="BU77" s="56" t="n"/>
      <c r="BV77" s="47" t="n"/>
      <c r="BW77" s="47" t="n"/>
      <c r="BX77" s="213" t="n"/>
      <c r="BY77" s="81" t="n"/>
      <c r="BZ77" s="81" t="n"/>
      <c r="CA77" s="56" t="n"/>
      <c r="CB77" s="56" t="n"/>
      <c r="CC77" s="47" t="n"/>
      <c r="CD77" s="47" t="n"/>
      <c r="CE77" s="213" t="n"/>
      <c r="CF77" s="81" t="n"/>
      <c r="CG77" s="81" t="n"/>
      <c r="CH77" s="56" t="n"/>
      <c r="CI77" s="56" t="n"/>
      <c r="CJ77" s="47" t="n"/>
      <c r="CK77" s="47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</row>
    <row r="78" ht="29.25" customFormat="1" customHeight="1" s="167" thickBot="1">
      <c r="B78" s="48" t="n"/>
      <c r="C78" s="48" t="n"/>
      <c r="D78" s="48" t="n"/>
      <c r="E78" s="367" t="inlineStr">
        <is>
          <t>DA ACQUISTARE</t>
        </is>
      </c>
      <c r="F78" s="484" t="n"/>
      <c r="G78" s="463" t="n"/>
      <c r="H78" s="59" t="inlineStr">
        <is>
          <t>PPeak</t>
        </is>
      </c>
      <c r="I78" s="60" t="inlineStr">
        <is>
          <t>dm</t>
        </is>
      </c>
      <c r="J78" s="60">
        <f>M75-5</f>
        <v/>
      </c>
      <c r="K78" s="60" t="inlineStr">
        <is>
          <t xml:space="preserve">Lact </t>
        </is>
      </c>
      <c r="L78" s="60" t="n">
        <v>135</v>
      </c>
      <c r="M78" s="368">
        <f>IF($O$48&lt;135,"VERIFICA NON NECESSARIA",IF(($O$48-J78)&lt;135,"IDONEO","INSUFFICIENTE"))</f>
        <v/>
      </c>
      <c r="N78" s="485" t="n"/>
      <c r="O78" s="485" t="n"/>
      <c r="P78" s="484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286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220" t="n"/>
      <c r="AW78" s="81" t="n"/>
      <c r="AX78" s="81" t="n"/>
      <c r="AY78" s="56" t="n"/>
      <c r="AZ78" s="56" t="n"/>
      <c r="BA78" s="47" t="n"/>
      <c r="BB78" s="47" t="n"/>
      <c r="BC78" s="212" t="n"/>
      <c r="BD78" s="81" t="n"/>
      <c r="BE78" s="81" t="n"/>
      <c r="BF78" s="56" t="n"/>
      <c r="BG78" s="56" t="n"/>
      <c r="BH78" s="47" t="n"/>
      <c r="BI78" s="47" t="n"/>
      <c r="BJ78" s="212" t="n"/>
      <c r="BK78" s="81" t="n"/>
      <c r="BL78" s="81" t="n"/>
      <c r="BM78" s="56" t="n"/>
      <c r="BN78" s="56" t="n"/>
      <c r="BO78" s="47" t="n"/>
      <c r="BP78" s="47" t="n"/>
      <c r="BQ78" s="211" t="n"/>
      <c r="BR78" s="81" t="n"/>
      <c r="BS78" s="81" t="n"/>
      <c r="BT78" s="56" t="n"/>
      <c r="BU78" s="56" t="n"/>
      <c r="BV78" s="47" t="n"/>
      <c r="BW78" s="47" t="n"/>
      <c r="BX78" s="213" t="n"/>
      <c r="BY78" s="81" t="n"/>
      <c r="BZ78" s="81" t="n"/>
      <c r="CA78" s="56" t="n"/>
      <c r="CB78" s="56" t="n"/>
      <c r="CC78" s="47" t="n"/>
      <c r="CD78" s="47" t="n"/>
      <c r="CE78" s="213" t="n"/>
      <c r="CF78" s="81" t="n"/>
      <c r="CG78" s="81" t="n"/>
      <c r="CH78" s="56" t="n"/>
      <c r="CI78" s="56" t="n"/>
      <c r="CJ78" s="47" t="n"/>
      <c r="CK78" s="47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</row>
    <row r="79" ht="25.5" customFormat="1" customHeight="1" s="167" thickBot="1">
      <c r="B79" s="81" t="n"/>
      <c r="C79" s="81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286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213" t="n"/>
      <c r="AW79" s="81" t="n"/>
      <c r="AX79" s="81" t="n"/>
      <c r="AY79" s="56" t="n"/>
      <c r="AZ79" s="52" t="n"/>
      <c r="BA79" s="47" t="n"/>
      <c r="BB79" s="47" t="n"/>
      <c r="BC79" s="212" t="n"/>
      <c r="BD79" s="81" t="n"/>
      <c r="BE79" s="81" t="n"/>
      <c r="BF79" s="56" t="n"/>
      <c r="BG79" s="52" t="n"/>
      <c r="BH79" s="47" t="n"/>
      <c r="BI79" s="47" t="n"/>
      <c r="BJ79" s="212" t="n"/>
      <c r="BK79" s="81" t="n"/>
      <c r="BL79" s="81" t="n"/>
      <c r="BM79" s="56" t="n"/>
      <c r="BN79" s="52" t="n"/>
      <c r="BO79" s="47" t="n"/>
      <c r="BP79" s="47" t="n"/>
      <c r="BQ79" s="211" t="n"/>
      <c r="BR79" s="81" t="n"/>
      <c r="BS79" s="81" t="n"/>
      <c r="BT79" s="56" t="n"/>
      <c r="BU79" s="52" t="n"/>
      <c r="BV79" s="47" t="n"/>
      <c r="BW79" s="47" t="n"/>
      <c r="BX79" s="213" t="n"/>
      <c r="BY79" s="81" t="n"/>
      <c r="BZ79" s="81" t="n"/>
      <c r="CA79" s="56" t="n"/>
      <c r="CB79" s="52" t="n"/>
      <c r="CC79" s="47" t="n"/>
      <c r="CD79" s="47" t="n"/>
      <c r="CE79" s="213" t="n"/>
      <c r="CF79" s="81" t="n"/>
      <c r="CG79" s="81" t="n"/>
      <c r="CH79" s="56" t="n"/>
      <c r="CI79" s="52" t="n"/>
      <c r="CJ79" s="47" t="n"/>
      <c r="CK79" s="47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</row>
    <row r="80" ht="27" customFormat="1" customHeight="1" s="167">
      <c r="B80" s="48" t="n"/>
      <c r="C80" s="48" t="n"/>
      <c r="D80" s="48" t="n"/>
      <c r="E80" s="486" t="inlineStr">
        <is>
          <t>VERIFICA E GIUDIZIO IDONEITA' DEL D.P.I. CON CALCOLO DEL PNR GLOBALE PER LAeq,F</t>
        </is>
      </c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7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286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221" t="n"/>
      <c r="AW80" s="81" t="n"/>
      <c r="AX80" s="81" t="n"/>
      <c r="AY80" s="56" t="n"/>
      <c r="AZ80" s="56" t="n"/>
      <c r="BA80" s="47" t="n"/>
      <c r="BB80" s="47" t="n"/>
      <c r="BC80" s="212" t="n"/>
      <c r="BD80" s="81" t="n"/>
      <c r="BE80" s="81" t="n"/>
      <c r="BF80" s="56" t="n"/>
      <c r="BG80" s="56" t="n"/>
      <c r="BH80" s="47" t="n"/>
      <c r="BI80" s="47" t="n"/>
      <c r="BJ80" s="212" t="n"/>
      <c r="BK80" s="81" t="n"/>
      <c r="BL80" s="81" t="n"/>
      <c r="BM80" s="56" t="n"/>
      <c r="BN80" s="56" t="n"/>
      <c r="BO80" s="47" t="n"/>
      <c r="BP80" s="47" t="n"/>
      <c r="BQ80" s="211" t="n"/>
      <c r="BR80" s="81" t="n"/>
      <c r="BS80" s="81" t="n"/>
      <c r="BT80" s="56" t="n"/>
      <c r="BU80" s="56" t="n"/>
      <c r="BV80" s="47" t="n"/>
      <c r="BW80" s="47" t="n"/>
      <c r="BX80" s="213" t="n"/>
      <c r="BY80" s="81" t="n"/>
      <c r="BZ80" s="81" t="n"/>
      <c r="CA80" s="56" t="n"/>
      <c r="CB80" s="56" t="n"/>
      <c r="CC80" s="47" t="n"/>
      <c r="CD80" s="47" t="n"/>
      <c r="CE80" s="213" t="n"/>
      <c r="CF80" s="81" t="n"/>
      <c r="CG80" s="81" t="n"/>
      <c r="CH80" s="56" t="n"/>
      <c r="CI80" s="56" t="n"/>
      <c r="CJ80" s="47" t="n"/>
      <c r="CK80" s="47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</row>
    <row r="81" ht="21" customFormat="1" customHeight="1" s="167">
      <c r="B81" s="48" t="n"/>
      <c r="C81" s="48" t="n"/>
      <c r="D81" s="48" t="n"/>
      <c r="E81" s="193" t="inlineStr">
        <is>
          <t>COD.</t>
        </is>
      </c>
      <c r="F81" s="373" t="inlineStr">
        <is>
          <t>Tipologia:</t>
        </is>
      </c>
      <c r="G81" s="373" t="inlineStr">
        <is>
          <t>Marca:</t>
        </is>
      </c>
      <c r="H81" s="373" t="inlineStr">
        <is>
          <t>Modello:</t>
        </is>
      </c>
      <c r="I81" s="461" t="n"/>
      <c r="J81" s="114" t="inlineStr">
        <is>
          <t>SNR</t>
        </is>
      </c>
      <c r="K81" s="115" t="inlineStr">
        <is>
          <t>H</t>
        </is>
      </c>
      <c r="L81" s="116" t="inlineStr">
        <is>
          <t>M</t>
        </is>
      </c>
      <c r="M81" s="116" t="inlineStr">
        <is>
          <t>L</t>
        </is>
      </c>
      <c r="N81" s="388" t="inlineStr">
        <is>
          <t>LEQ(A)F</t>
        </is>
      </c>
      <c r="O81" s="388" t="inlineStr">
        <is>
          <t>LEQ(C)F</t>
        </is>
      </c>
      <c r="P81" s="132" t="inlineStr">
        <is>
          <t>PNR</t>
        </is>
      </c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286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218" t="n"/>
      <c r="AW81" s="81" t="n"/>
      <c r="AX81" s="81" t="n"/>
      <c r="AY81" s="56" t="n"/>
      <c r="AZ81" s="52" t="n"/>
      <c r="BA81" s="47" t="n"/>
      <c r="BB81" s="47" t="n"/>
      <c r="BC81" s="212" t="n"/>
      <c r="BD81" s="81" t="n"/>
      <c r="BE81" s="81" t="n"/>
      <c r="BF81" s="56" t="n"/>
      <c r="BG81" s="52" t="n"/>
      <c r="BH81" s="47" t="n"/>
      <c r="BI81" s="47" t="n"/>
      <c r="BJ81" s="212" t="n"/>
      <c r="BK81" s="81" t="n"/>
      <c r="BL81" s="81" t="n"/>
      <c r="BM81" s="56" t="n"/>
      <c r="BN81" s="52" t="n"/>
      <c r="BO81" s="47" t="n"/>
      <c r="BP81" s="47" t="n"/>
      <c r="BQ81" s="211" t="n"/>
      <c r="BR81" s="81" t="n"/>
      <c r="BS81" s="81" t="n"/>
      <c r="BT81" s="56" t="n"/>
      <c r="BU81" s="52" t="n"/>
      <c r="BV81" s="47" t="n"/>
      <c r="BW81" s="47" t="n"/>
      <c r="BX81" s="213" t="n"/>
      <c r="BY81" s="81" t="n"/>
      <c r="BZ81" s="81" t="n"/>
      <c r="CA81" s="56" t="n"/>
      <c r="CB81" s="52" t="n"/>
      <c r="CC81" s="47" t="n"/>
      <c r="CD81" s="47" t="n"/>
      <c r="CE81" s="213" t="n"/>
      <c r="CF81" s="81" t="n"/>
      <c r="CG81" s="81" t="n"/>
      <c r="CH81" s="56" t="n"/>
      <c r="CI81" s="52" t="n"/>
      <c r="CJ81" s="47" t="n"/>
      <c r="CK81" s="47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</row>
    <row r="82" ht="21" customFormat="1" customHeight="1" s="167">
      <c r="B82" s="48" t="n"/>
      <c r="C82" s="48" t="n"/>
      <c r="D82" s="48" t="n"/>
      <c r="E82" s="129" t="inlineStr">
        <is>
          <t>A3</t>
        </is>
      </c>
      <c r="F82" s="126">
        <f>VLOOKUP(E82,$E$115:$L$246,2,FALSE)</f>
        <v/>
      </c>
      <c r="G82" s="126">
        <f>VLOOKUP($E$82,$E$115:$L$246,3,FALSE)</f>
        <v/>
      </c>
      <c r="H82" s="374">
        <f>VLOOKUP($E$82,$E$115:$L$246,4,FALSE)</f>
        <v/>
      </c>
      <c r="I82" s="461" t="n"/>
      <c r="J82" s="46">
        <f>VLOOKUP(E82,$E$115:$L$246,5,FALSE)</f>
        <v/>
      </c>
      <c r="K82" s="46">
        <f>VLOOKUP($E$82,$E$115:$L$246,6,FALSE)</f>
        <v/>
      </c>
      <c r="L82" s="46">
        <f>VLOOKUP($E$82,$E$115:$L$246,7,FALSE)</f>
        <v/>
      </c>
      <c r="M82" s="46">
        <f>VLOOKUP($E$82,$E$115:$L$246,8,FALSE)</f>
        <v/>
      </c>
      <c r="N82" s="375">
        <f>$DE$11</f>
        <v/>
      </c>
      <c r="O82" s="375">
        <f>$DF$11</f>
        <v/>
      </c>
      <c r="P82" s="376">
        <f>IF(($DF$11-$DE$11)&lt;=2,(L83-((K83-L83)/4)*($DF$11-$DE$11-2)),(L83-((L83-M83)/8)*($DF$11-$DE$11-2)))</f>
        <v/>
      </c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286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219" t="n"/>
      <c r="AW82" s="81" t="n"/>
      <c r="AX82" s="81" t="n"/>
      <c r="AY82" s="56" t="n"/>
      <c r="AZ82" s="56" t="n"/>
      <c r="BA82" s="47" t="n"/>
      <c r="BB82" s="47" t="n"/>
      <c r="BC82" s="212" t="n"/>
      <c r="BD82" s="81" t="n"/>
      <c r="BE82" s="81" t="n"/>
      <c r="BF82" s="56" t="n"/>
      <c r="BG82" s="56" t="n"/>
      <c r="BH82" s="47" t="n"/>
      <c r="BI82" s="47" t="n"/>
      <c r="BJ82" s="212" t="n"/>
      <c r="BK82" s="81" t="n"/>
      <c r="BL82" s="81" t="n"/>
      <c r="BM82" s="56" t="n"/>
      <c r="BN82" s="56" t="n"/>
      <c r="BO82" s="47" t="n"/>
      <c r="BP82" s="47" t="n"/>
      <c r="BQ82" s="211" t="n"/>
      <c r="BR82" s="81" t="n"/>
      <c r="BS82" s="81" t="n"/>
      <c r="BT82" s="56" t="n"/>
      <c r="BU82" s="56" t="n"/>
      <c r="BV82" s="47" t="n"/>
      <c r="BW82" s="47" t="n"/>
      <c r="BX82" s="213" t="n"/>
      <c r="BY82" s="81" t="n"/>
      <c r="BZ82" s="81" t="n"/>
      <c r="CA82" s="56" t="n"/>
      <c r="CB82" s="56" t="n"/>
      <c r="CC82" s="47" t="n"/>
      <c r="CD82" s="47" t="n"/>
      <c r="CE82" s="213" t="n"/>
      <c r="CF82" s="81" t="n"/>
      <c r="CG82" s="81" t="n"/>
      <c r="CH82" s="56" t="n"/>
      <c r="CI82" s="56" t="n"/>
      <c r="CJ82" s="47" t="n"/>
      <c r="CK82" s="47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</row>
    <row r="83" ht="21" customFormat="1" customHeight="1" s="167">
      <c r="B83" s="48" t="n"/>
      <c r="C83" s="48" t="n"/>
      <c r="D83" s="48" t="n"/>
      <c r="E83" s="191" t="n"/>
      <c r="F83" s="127" t="n"/>
      <c r="G83" s="128" t="inlineStr">
        <is>
          <t xml:space="preserve">Coeffciente correttivo β = </t>
        </is>
      </c>
      <c r="H83" s="378" t="n">
        <v>0.85</v>
      </c>
      <c r="I83" s="461" t="n"/>
      <c r="J83" s="117">
        <f>H83*J82</f>
        <v/>
      </c>
      <c r="K83" s="118">
        <f>K82*$H$83</f>
        <v/>
      </c>
      <c r="L83" s="118">
        <f>L82*$H$83</f>
        <v/>
      </c>
      <c r="M83" s="118">
        <f>M82*$H$83</f>
        <v/>
      </c>
      <c r="N83" s="463" t="n"/>
      <c r="O83" s="463" t="n"/>
      <c r="P83" s="488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286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211" t="n"/>
      <c r="AW83" s="81" t="n"/>
      <c r="AX83" s="81" t="n"/>
      <c r="AY83" s="56" t="n"/>
      <c r="AZ83" s="56" t="n"/>
      <c r="BA83" s="47" t="n"/>
      <c r="BB83" s="47" t="n"/>
      <c r="BC83" s="212" t="n"/>
      <c r="BD83" s="81" t="n"/>
      <c r="BE83" s="81" t="n"/>
      <c r="BF83" s="56" t="n"/>
      <c r="BG83" s="56" t="n"/>
      <c r="BH83" s="47" t="n"/>
      <c r="BI83" s="47" t="n"/>
      <c r="BJ83" s="212" t="n"/>
      <c r="BK83" s="81" t="n"/>
      <c r="BL83" s="81" t="n"/>
      <c r="BM83" s="56" t="n"/>
      <c r="BN83" s="56" t="n"/>
      <c r="BO83" s="47" t="n"/>
      <c r="BP83" s="47" t="n"/>
      <c r="BQ83" s="211" t="n"/>
      <c r="BR83" s="81" t="n"/>
      <c r="BS83" s="81" t="n"/>
      <c r="BT83" s="56" t="n"/>
      <c r="BU83" s="56" t="n"/>
      <c r="BV83" s="47" t="n"/>
      <c r="BW83" s="47" t="n"/>
      <c r="BX83" s="213" t="n"/>
      <c r="BY83" s="81" t="n"/>
      <c r="BZ83" s="81" t="n"/>
      <c r="CA83" s="56" t="n"/>
      <c r="CB83" s="56" t="n"/>
      <c r="CC83" s="47" t="n"/>
      <c r="CD83" s="47" t="n"/>
      <c r="CE83" s="213" t="n"/>
      <c r="CF83" s="81" t="n"/>
      <c r="CG83" s="81" t="n"/>
      <c r="CH83" s="56" t="n"/>
      <c r="CI83" s="56" t="n"/>
      <c r="CJ83" s="47" t="n"/>
      <c r="CK83" s="47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</row>
    <row r="84" ht="9" customFormat="1" customHeight="1" s="167">
      <c r="B84" s="48" t="n"/>
      <c r="C84" s="48" t="n"/>
      <c r="D84" s="48" t="n"/>
      <c r="E84" s="489" t="n"/>
      <c r="F84" s="457" t="n"/>
      <c r="G84" s="457" t="n"/>
      <c r="H84" s="457" t="n"/>
      <c r="I84" s="457" t="n"/>
      <c r="J84" s="457" t="n"/>
      <c r="K84" s="457" t="n"/>
      <c r="L84" s="457" t="n"/>
      <c r="M84" s="457" t="n"/>
      <c r="N84" s="457" t="n"/>
      <c r="O84" s="457" t="n"/>
      <c r="P84" s="490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286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211" t="n"/>
      <c r="AW84" s="81" t="n"/>
      <c r="AX84" s="81" t="n"/>
      <c r="AY84" s="56" t="n"/>
      <c r="AZ84" s="56" t="n"/>
      <c r="BA84" s="47" t="n"/>
      <c r="BB84" s="47" t="n"/>
      <c r="BC84" s="212" t="n"/>
      <c r="BD84" s="81" t="n"/>
      <c r="BE84" s="81" t="n"/>
      <c r="BF84" s="56" t="n"/>
      <c r="BG84" s="56" t="n"/>
      <c r="BH84" s="47" t="n"/>
      <c r="BI84" s="47" t="n"/>
      <c r="BJ84" s="212" t="n"/>
      <c r="BK84" s="81" t="n"/>
      <c r="BL84" s="81" t="n"/>
      <c r="BM84" s="56" t="n"/>
      <c r="BN84" s="56" t="n"/>
      <c r="BO84" s="47" t="n"/>
      <c r="BP84" s="47" t="n"/>
      <c r="BQ84" s="211" t="n"/>
      <c r="BR84" s="81" t="n"/>
      <c r="BS84" s="81" t="n"/>
      <c r="BT84" s="56" t="n"/>
      <c r="BU84" s="56" t="n"/>
      <c r="BV84" s="47" t="n"/>
      <c r="BW84" s="47" t="n"/>
      <c r="BX84" s="213" t="n"/>
      <c r="BY84" s="81" t="n"/>
      <c r="BZ84" s="81" t="n"/>
      <c r="CA84" s="56" t="n"/>
      <c r="CB84" s="56" t="n"/>
      <c r="CC84" s="47" t="n"/>
      <c r="CD84" s="47" t="n"/>
      <c r="CE84" s="213" t="n"/>
      <c r="CF84" s="81" t="n"/>
      <c r="CG84" s="81" t="n"/>
      <c r="CH84" s="56" t="n"/>
      <c r="CI84" s="56" t="n"/>
      <c r="CJ84" s="47" t="n"/>
      <c r="CK84" s="47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</row>
    <row r="85" ht="21" customFormat="1" customHeight="1" s="167">
      <c r="B85" s="48" t="n"/>
      <c r="C85" s="48" t="n"/>
      <c r="D85" s="48" t="n"/>
      <c r="E85" s="361" t="inlineStr">
        <is>
          <t>STATO</t>
        </is>
      </c>
      <c r="F85" s="461" t="n"/>
      <c r="G85" s="363" t="inlineStr">
        <is>
          <t>Medoto HML</t>
        </is>
      </c>
      <c r="H85" s="130" t="inlineStr">
        <is>
          <t>LEQ</t>
        </is>
      </c>
      <c r="I85" s="131" t="inlineStr">
        <is>
          <t>Leq(A)'</t>
        </is>
      </c>
      <c r="J85" s="133">
        <f>$DE$11-P82</f>
        <v/>
      </c>
      <c r="K85" s="131" t="inlineStr">
        <is>
          <t xml:space="preserve">Lact </t>
        </is>
      </c>
      <c r="L85" s="131" t="n">
        <v>80</v>
      </c>
      <c r="M85" s="365">
        <f>IF(J85&lt;65,"IPERPROTEZIONE",IF(J85&lt;70,"ACCETTABILE",IF(J85&lt;75,"BUONA",IF(J85&lt;80,"ACCETTABILE","INSUFFICIENTE"))))</f>
        <v/>
      </c>
      <c r="N85" s="460" t="n"/>
      <c r="O85" s="460" t="n"/>
      <c r="P85" s="46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286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220" t="n"/>
      <c r="AW85" s="81" t="n"/>
      <c r="AX85" s="81" t="n"/>
      <c r="AY85" s="56" t="n"/>
      <c r="AZ85" s="56" t="n"/>
      <c r="BA85" s="47" t="n"/>
      <c r="BB85" s="47" t="n"/>
      <c r="BC85" s="212" t="n"/>
      <c r="BD85" s="81" t="n"/>
      <c r="BE85" s="81" t="n"/>
      <c r="BF85" s="56" t="n"/>
      <c r="BG85" s="56" t="n"/>
      <c r="BH85" s="47" t="n"/>
      <c r="BI85" s="47" t="n"/>
      <c r="BJ85" s="212" t="n"/>
      <c r="BK85" s="81" t="n"/>
      <c r="BL85" s="81" t="n"/>
      <c r="BM85" s="56" t="n"/>
      <c r="BN85" s="56" t="n"/>
      <c r="BO85" s="47" t="n"/>
      <c r="BP85" s="47" t="n"/>
      <c r="BQ85" s="211" t="n"/>
      <c r="BR85" s="81" t="n"/>
      <c r="BS85" s="81" t="n"/>
      <c r="BT85" s="56" t="n"/>
      <c r="BU85" s="56" t="n"/>
      <c r="BV85" s="47" t="n"/>
      <c r="BW85" s="47" t="n"/>
      <c r="BX85" s="213" t="n"/>
      <c r="BY85" s="81" t="n"/>
      <c r="BZ85" s="81" t="n"/>
      <c r="CA85" s="56" t="n"/>
      <c r="CB85" s="56" t="n"/>
      <c r="CC85" s="47" t="n"/>
      <c r="CD85" s="47" t="n"/>
      <c r="CE85" s="213" t="n"/>
      <c r="CF85" s="81" t="n"/>
      <c r="CG85" s="81" t="n"/>
      <c r="CH85" s="56" t="n"/>
      <c r="CI85" s="56" t="n"/>
      <c r="CJ85" s="47" t="n"/>
      <c r="CK85" s="47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</row>
    <row r="86" ht="29.25" customFormat="1" customHeight="1" s="167" thickBot="1">
      <c r="B86" s="48" t="n"/>
      <c r="C86" s="48" t="n"/>
      <c r="D86" s="48" t="n"/>
      <c r="E86" s="367" t="inlineStr">
        <is>
          <t>IN DOTAZIONE</t>
        </is>
      </c>
      <c r="F86" s="484" t="n"/>
      <c r="G86" s="463" t="n"/>
      <c r="H86" s="59" t="inlineStr">
        <is>
          <t>PPeak</t>
        </is>
      </c>
      <c r="I86" s="60" t="inlineStr">
        <is>
          <t>dm</t>
        </is>
      </c>
      <c r="J86" s="60">
        <f>M83-5</f>
        <v/>
      </c>
      <c r="K86" s="60" t="inlineStr">
        <is>
          <t xml:space="preserve">Lact </t>
        </is>
      </c>
      <c r="L86" s="60" t="n">
        <v>135</v>
      </c>
      <c r="M86" s="368">
        <f>IF($O$48&lt;135,"VERIFICA NON NECESSARIA",IF(($O$48-J86)&lt;135,"IDONEO","INSUFFICIENTE"))</f>
        <v/>
      </c>
      <c r="N86" s="485" t="n"/>
      <c r="O86" s="485" t="n"/>
      <c r="P86" s="484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286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220" t="n"/>
      <c r="AW86" s="81" t="n"/>
      <c r="AX86" s="81" t="n"/>
      <c r="AY86" s="56" t="n"/>
      <c r="AZ86" s="56" t="n"/>
      <c r="BA86" s="47" t="n"/>
      <c r="BB86" s="47" t="n"/>
      <c r="BC86" s="212" t="n"/>
      <c r="BD86" s="81" t="n"/>
      <c r="BE86" s="81" t="n"/>
      <c r="BF86" s="56" t="n"/>
      <c r="BG86" s="56" t="n"/>
      <c r="BH86" s="47" t="n"/>
      <c r="BI86" s="47" t="n"/>
      <c r="BJ86" s="212" t="n"/>
      <c r="BK86" s="81" t="n"/>
      <c r="BL86" s="81" t="n"/>
      <c r="BM86" s="56" t="n"/>
      <c r="BN86" s="56" t="n"/>
      <c r="BO86" s="47" t="n"/>
      <c r="BP86" s="47" t="n"/>
      <c r="BQ86" s="211" t="n"/>
      <c r="BR86" s="81" t="n"/>
      <c r="BS86" s="81" t="n"/>
      <c r="BT86" s="56" t="n"/>
      <c r="BU86" s="56" t="n"/>
      <c r="BV86" s="47" t="n"/>
      <c r="BW86" s="47" t="n"/>
      <c r="BX86" s="213" t="n"/>
      <c r="BY86" s="81" t="n"/>
      <c r="BZ86" s="81" t="n"/>
      <c r="CA86" s="56" t="n"/>
      <c r="CB86" s="56" t="n"/>
      <c r="CC86" s="47" t="n"/>
      <c r="CD86" s="47" t="n"/>
      <c r="CE86" s="213" t="n"/>
      <c r="CF86" s="81" t="n"/>
      <c r="CG86" s="81" t="n"/>
      <c r="CH86" s="56" t="n"/>
      <c r="CI86" s="56" t="n"/>
      <c r="CJ86" s="47" t="n"/>
      <c r="CK86" s="47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</row>
    <row r="87" ht="24" customFormat="1" customHeight="1" s="167" thickBot="1">
      <c r="B87" s="81" t="n"/>
      <c r="C87" s="81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286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213" t="n"/>
      <c r="AW87" s="81" t="n"/>
      <c r="AX87" s="81" t="n"/>
      <c r="AY87" s="81" t="n"/>
      <c r="BC87" s="211" t="n"/>
      <c r="BD87" s="81" t="n"/>
      <c r="BE87" s="81" t="n"/>
      <c r="BF87" s="81" t="n"/>
      <c r="BJ87" s="211" t="n"/>
      <c r="BK87" s="81" t="n"/>
      <c r="BL87" s="81" t="n"/>
      <c r="BM87" s="81" t="n"/>
      <c r="BQ87" s="211" t="n"/>
      <c r="BR87" s="81" t="n"/>
      <c r="BS87" s="81" t="n"/>
      <c r="BT87" s="81" t="n"/>
      <c r="BX87" s="213" t="n"/>
      <c r="BY87" s="81" t="n"/>
      <c r="BZ87" s="81" t="n"/>
      <c r="CA87" s="81" t="n"/>
      <c r="CE87" s="213" t="n"/>
      <c r="CF87" s="81" t="n"/>
      <c r="CG87" s="81" t="n"/>
      <c r="CH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</row>
    <row r="88" ht="27" customFormat="1" customHeight="1" s="167">
      <c r="B88" s="48" t="n"/>
      <c r="C88" s="48" t="n"/>
      <c r="D88" s="48" t="n"/>
      <c r="E88" s="486" t="inlineStr">
        <is>
          <t>VERIFICA E GIUDIZIO IDONEITA' DEL D.P.I. CON CALCOLO DEL PNR GLOBALE PER LAeq,F</t>
        </is>
      </c>
      <c r="F88" s="482" t="n"/>
      <c r="G88" s="482" t="n"/>
      <c r="H88" s="482" t="n"/>
      <c r="I88" s="482" t="n"/>
      <c r="J88" s="482" t="n"/>
      <c r="K88" s="482" t="n"/>
      <c r="L88" s="482" t="n"/>
      <c r="M88" s="482" t="n"/>
      <c r="N88" s="482" t="n"/>
      <c r="O88" s="482" t="n"/>
      <c r="P88" s="487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286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221" t="n"/>
      <c r="AW88" s="81" t="n"/>
      <c r="AX88" s="81" t="n"/>
      <c r="AY88" s="56" t="n"/>
      <c r="AZ88" s="56" t="n"/>
      <c r="BA88" s="47" t="n"/>
      <c r="BB88" s="47" t="n"/>
      <c r="BC88" s="212" t="n"/>
      <c r="BD88" s="81" t="n"/>
      <c r="BE88" s="81" t="n"/>
      <c r="BF88" s="56" t="n"/>
      <c r="BG88" s="56" t="n"/>
      <c r="BH88" s="47" t="n"/>
      <c r="BI88" s="47" t="n"/>
      <c r="BJ88" s="212" t="n"/>
      <c r="BK88" s="81" t="n"/>
      <c r="BL88" s="81" t="n"/>
      <c r="BM88" s="56" t="n"/>
      <c r="BN88" s="56" t="n"/>
      <c r="BO88" s="47" t="n"/>
      <c r="BP88" s="47" t="n"/>
      <c r="BQ88" s="211" t="n"/>
      <c r="BR88" s="81" t="n"/>
      <c r="BS88" s="81" t="n"/>
      <c r="BT88" s="56" t="n"/>
      <c r="BU88" s="56" t="n"/>
      <c r="BV88" s="47" t="n"/>
      <c r="BW88" s="47" t="n"/>
      <c r="BX88" s="213" t="n"/>
      <c r="BY88" s="81" t="n"/>
      <c r="BZ88" s="81" t="n"/>
      <c r="CA88" s="56" t="n"/>
      <c r="CB88" s="56" t="n"/>
      <c r="CC88" s="47" t="n"/>
      <c r="CD88" s="47" t="n"/>
      <c r="CE88" s="213" t="n"/>
      <c r="CF88" s="81" t="n"/>
      <c r="CG88" s="81" t="n"/>
      <c r="CH88" s="56" t="n"/>
      <c r="CI88" s="56" t="n"/>
      <c r="CJ88" s="47" t="n"/>
      <c r="CK88" s="47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</row>
    <row r="89" ht="21" customFormat="1" customHeight="1" s="167">
      <c r="B89" s="48" t="n"/>
      <c r="C89" s="48" t="n"/>
      <c r="D89" s="48" t="n"/>
      <c r="E89" s="193" t="inlineStr">
        <is>
          <t>COD.</t>
        </is>
      </c>
      <c r="F89" s="373" t="inlineStr">
        <is>
          <t>Tipologia:</t>
        </is>
      </c>
      <c r="G89" s="373" t="inlineStr">
        <is>
          <t>Marca:</t>
        </is>
      </c>
      <c r="H89" s="373" t="inlineStr">
        <is>
          <t>Modello:</t>
        </is>
      </c>
      <c r="I89" s="461" t="n"/>
      <c r="J89" s="114" t="inlineStr">
        <is>
          <t>SNR</t>
        </is>
      </c>
      <c r="K89" s="115" t="inlineStr">
        <is>
          <t>H</t>
        </is>
      </c>
      <c r="L89" s="116" t="inlineStr">
        <is>
          <t>M</t>
        </is>
      </c>
      <c r="M89" s="116" t="inlineStr">
        <is>
          <t>L</t>
        </is>
      </c>
      <c r="N89" s="388" t="inlineStr">
        <is>
          <t>LEQ(A)F</t>
        </is>
      </c>
      <c r="O89" s="388" t="inlineStr">
        <is>
          <t>LEQ(C)F</t>
        </is>
      </c>
      <c r="P89" s="132" t="inlineStr">
        <is>
          <t>PNR</t>
        </is>
      </c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286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218" t="n"/>
      <c r="AW89" s="81" t="n"/>
      <c r="AX89" s="81" t="n"/>
      <c r="AY89" s="56" t="n"/>
      <c r="AZ89" s="52" t="n"/>
      <c r="BA89" s="47" t="n"/>
      <c r="BB89" s="47" t="n"/>
      <c r="BC89" s="212" t="n"/>
      <c r="BD89" s="81" t="n"/>
      <c r="BE89" s="81" t="n"/>
      <c r="BF89" s="56" t="n"/>
      <c r="BG89" s="52" t="n"/>
      <c r="BH89" s="47" t="n"/>
      <c r="BI89" s="47" t="n"/>
      <c r="BJ89" s="212" t="n"/>
      <c r="BK89" s="81" t="n"/>
      <c r="BL89" s="81" t="n"/>
      <c r="BM89" s="56" t="n"/>
      <c r="BN89" s="52" t="n"/>
      <c r="BO89" s="47" t="n"/>
      <c r="BP89" s="47" t="n"/>
      <c r="BQ89" s="211" t="n"/>
      <c r="BR89" s="81" t="n"/>
      <c r="BS89" s="81" t="n"/>
      <c r="BT89" s="56" t="n"/>
      <c r="BU89" s="52" t="n"/>
      <c r="BV89" s="47" t="n"/>
      <c r="BW89" s="47" t="n"/>
      <c r="BX89" s="213" t="n"/>
      <c r="BY89" s="81" t="n"/>
      <c r="BZ89" s="81" t="n"/>
      <c r="CA89" s="56" t="n"/>
      <c r="CB89" s="52" t="n"/>
      <c r="CC89" s="47" t="n"/>
      <c r="CD89" s="47" t="n"/>
      <c r="CE89" s="213" t="n"/>
      <c r="CF89" s="81" t="n"/>
      <c r="CG89" s="81" t="n"/>
      <c r="CH89" s="56" t="n"/>
      <c r="CI89" s="52" t="n"/>
      <c r="CJ89" s="47" t="n"/>
      <c r="CK89" s="47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</row>
    <row r="90" ht="21" customFormat="1" customHeight="1" s="167">
      <c r="B90" s="48" t="n"/>
      <c r="C90" s="48" t="n"/>
      <c r="D90" s="48" t="n"/>
      <c r="E90" s="129" t="inlineStr">
        <is>
          <t>A3</t>
        </is>
      </c>
      <c r="F90" s="126">
        <f>VLOOKUP(E90,$E$115:$L$246,2,FALSE)</f>
        <v/>
      </c>
      <c r="G90" s="126">
        <f>VLOOKUP($E$90,$E$115:$L$246,3,FALSE)</f>
        <v/>
      </c>
      <c r="H90" s="374">
        <f>VLOOKUP($E$90,$E$115:$L$246,4,FALSE)</f>
        <v/>
      </c>
      <c r="I90" s="461" t="n"/>
      <c r="J90" s="46">
        <f>VLOOKUP(E90,$E$115:$L$246,5,FALSE)</f>
        <v/>
      </c>
      <c r="K90" s="46">
        <f>VLOOKUP($E$90,$E$115:$L$246,6,FALSE)</f>
        <v/>
      </c>
      <c r="L90" s="46">
        <f>VLOOKUP($E$90,$E$115:$L$246,7,FALSE)</f>
        <v/>
      </c>
      <c r="M90" s="46">
        <f>VLOOKUP($E$90,$E$115:$L$246,8,FALSE)</f>
        <v/>
      </c>
      <c r="N90" s="375">
        <f>$DE$11</f>
        <v/>
      </c>
      <c r="O90" s="375">
        <f>$DF$11</f>
        <v/>
      </c>
      <c r="P90" s="376">
        <f>IF(($DF$11-$DE$11)&lt;=2,(L91-((K91-L91)/4)*($DF$11-$DE$11-2)),(L91-((L91-M91)/8)*($DF$11-$DE$11-2)))</f>
        <v/>
      </c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286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219" t="n"/>
      <c r="AW90" s="81" t="n"/>
      <c r="AX90" s="81" t="n"/>
      <c r="AY90" s="56" t="n"/>
      <c r="AZ90" s="56" t="n"/>
      <c r="BA90" s="47" t="n"/>
      <c r="BB90" s="47" t="n"/>
      <c r="BC90" s="212" t="n"/>
      <c r="BD90" s="81" t="n"/>
      <c r="BE90" s="81" t="n"/>
      <c r="BF90" s="56" t="n"/>
      <c r="BG90" s="56" t="n"/>
      <c r="BH90" s="47" t="n"/>
      <c r="BI90" s="47" t="n"/>
      <c r="BJ90" s="212" t="n"/>
      <c r="BK90" s="81" t="n"/>
      <c r="BL90" s="81" t="n"/>
      <c r="BM90" s="56" t="n"/>
      <c r="BN90" s="56" t="n"/>
      <c r="BO90" s="47" t="n"/>
      <c r="BP90" s="47" t="n"/>
      <c r="BQ90" s="211" t="n"/>
      <c r="BR90" s="81" t="n"/>
      <c r="BS90" s="81" t="n"/>
      <c r="BT90" s="56" t="n"/>
      <c r="BU90" s="56" t="n"/>
      <c r="BV90" s="47" t="n"/>
      <c r="BW90" s="47" t="n"/>
      <c r="BX90" s="213" t="n"/>
      <c r="BY90" s="81" t="n"/>
      <c r="BZ90" s="81" t="n"/>
      <c r="CA90" s="56" t="n"/>
      <c r="CB90" s="56" t="n"/>
      <c r="CC90" s="47" t="n"/>
      <c r="CD90" s="47" t="n"/>
      <c r="CE90" s="213" t="n"/>
      <c r="CF90" s="81" t="n"/>
      <c r="CG90" s="81" t="n"/>
      <c r="CH90" s="56" t="n"/>
      <c r="CI90" s="56" t="n"/>
      <c r="CJ90" s="47" t="n"/>
      <c r="CK90" s="47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</row>
    <row r="91" ht="21" customFormat="1" customHeight="1" s="167">
      <c r="B91" s="48" t="n"/>
      <c r="C91" s="48" t="n"/>
      <c r="D91" s="48" t="n"/>
      <c r="E91" s="191" t="n"/>
      <c r="F91" s="127" t="n"/>
      <c r="G91" s="128" t="inlineStr">
        <is>
          <t xml:space="preserve">Coeffciente correttivo β = </t>
        </is>
      </c>
      <c r="H91" s="378" t="n">
        <v>0.85</v>
      </c>
      <c r="I91" s="461" t="n"/>
      <c r="J91" s="117">
        <f>H91*J90</f>
        <v/>
      </c>
      <c r="K91" s="118">
        <f>K90*$H$91</f>
        <v/>
      </c>
      <c r="L91" s="118">
        <f>L90*$H$91</f>
        <v/>
      </c>
      <c r="M91" s="118">
        <f>M90*$H$91</f>
        <v/>
      </c>
      <c r="N91" s="463" t="n"/>
      <c r="O91" s="463" t="n"/>
      <c r="P91" s="488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286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211" t="n"/>
      <c r="AW91" s="81" t="n"/>
      <c r="AX91" s="81" t="n"/>
      <c r="AY91" s="56" t="n"/>
      <c r="AZ91" s="56" t="n"/>
      <c r="BA91" s="47" t="n"/>
      <c r="BB91" s="47" t="n"/>
      <c r="BC91" s="212" t="n"/>
      <c r="BD91" s="81" t="n"/>
      <c r="BE91" s="81" t="n"/>
      <c r="BF91" s="56" t="n"/>
      <c r="BG91" s="56" t="n"/>
      <c r="BH91" s="47" t="n"/>
      <c r="BI91" s="47" t="n"/>
      <c r="BJ91" s="212" t="n"/>
      <c r="BK91" s="81" t="n"/>
      <c r="BL91" s="81" t="n"/>
      <c r="BM91" s="56" t="n"/>
      <c r="BN91" s="56" t="n"/>
      <c r="BO91" s="47" t="n"/>
      <c r="BP91" s="47" t="n"/>
      <c r="BQ91" s="211" t="n"/>
      <c r="BR91" s="81" t="n"/>
      <c r="BS91" s="81" t="n"/>
      <c r="BT91" s="56" t="n"/>
      <c r="BU91" s="56" t="n"/>
      <c r="BV91" s="47" t="n"/>
      <c r="BW91" s="47" t="n"/>
      <c r="BX91" s="213" t="n"/>
      <c r="BY91" s="81" t="n"/>
      <c r="BZ91" s="81" t="n"/>
      <c r="CA91" s="56" t="n"/>
      <c r="CB91" s="56" t="n"/>
      <c r="CC91" s="47" t="n"/>
      <c r="CD91" s="47" t="n"/>
      <c r="CE91" s="213" t="n"/>
      <c r="CF91" s="81" t="n"/>
      <c r="CG91" s="81" t="n"/>
      <c r="CH91" s="56" t="n"/>
      <c r="CI91" s="56" t="n"/>
      <c r="CJ91" s="47" t="n"/>
      <c r="CK91" s="47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</row>
    <row r="92" ht="9" customFormat="1" customHeight="1" s="167">
      <c r="B92" s="48" t="n"/>
      <c r="C92" s="48" t="n"/>
      <c r="D92" s="48" t="n"/>
      <c r="E92" s="489" t="n"/>
      <c r="F92" s="457" t="n"/>
      <c r="G92" s="457" t="n"/>
      <c r="H92" s="457" t="n"/>
      <c r="I92" s="457" t="n"/>
      <c r="J92" s="457" t="n"/>
      <c r="K92" s="457" t="n"/>
      <c r="L92" s="457" t="n"/>
      <c r="M92" s="457" t="n"/>
      <c r="N92" s="457" t="n"/>
      <c r="O92" s="457" t="n"/>
      <c r="P92" s="490" t="n"/>
      <c r="Q92" s="81" t="n"/>
      <c r="R92" s="81" t="n"/>
      <c r="S92" s="81" t="n"/>
      <c r="T92" s="81" t="n"/>
      <c r="U92" s="81" t="n"/>
      <c r="V92" s="81" t="n"/>
      <c r="W92" s="81" t="n"/>
      <c r="X92" s="81" t="n"/>
      <c r="Y92" s="81" t="n"/>
      <c r="Z92" s="81" t="n"/>
      <c r="AA92" s="81" t="n"/>
      <c r="AB92" s="81" t="n"/>
      <c r="AC92" s="81" t="n"/>
      <c r="AD92" s="81" t="n"/>
      <c r="AE92" s="81" t="n"/>
      <c r="AF92" s="81" t="n"/>
      <c r="AG92" s="81" t="n"/>
      <c r="AH92" s="81" t="n"/>
      <c r="AI92" s="81" t="n"/>
      <c r="AJ92" s="286" t="n"/>
      <c r="AK92" s="81" t="n"/>
      <c r="AL92" s="81" t="n"/>
      <c r="AM92" s="81" t="n"/>
      <c r="AN92" s="81" t="n"/>
      <c r="AO92" s="81" t="n"/>
      <c r="AP92" s="81" t="n"/>
      <c r="AQ92" s="81" t="n"/>
      <c r="AR92" s="81" t="n"/>
      <c r="AS92" s="81" t="n"/>
      <c r="AT92" s="81" t="n"/>
      <c r="AU92" s="81" t="n"/>
      <c r="AV92" s="211" t="n"/>
      <c r="AW92" s="81" t="n"/>
      <c r="AX92" s="81" t="n"/>
      <c r="AY92" s="56" t="n"/>
      <c r="AZ92" s="56" t="n"/>
      <c r="BA92" s="47" t="n"/>
      <c r="BB92" s="47" t="n"/>
      <c r="BC92" s="212" t="n"/>
      <c r="BD92" s="81" t="n"/>
      <c r="BE92" s="81" t="n"/>
      <c r="BF92" s="56" t="n"/>
      <c r="BG92" s="56" t="n"/>
      <c r="BH92" s="47" t="n"/>
      <c r="BI92" s="47" t="n"/>
      <c r="BJ92" s="212" t="n"/>
      <c r="BK92" s="81" t="n"/>
      <c r="BL92" s="81" t="n"/>
      <c r="BM92" s="56" t="n"/>
      <c r="BN92" s="56" t="n"/>
      <c r="BO92" s="47" t="n"/>
      <c r="BP92" s="47" t="n"/>
      <c r="BQ92" s="211" t="n"/>
      <c r="BR92" s="81" t="n"/>
      <c r="BS92" s="81" t="n"/>
      <c r="BT92" s="56" t="n"/>
      <c r="BU92" s="56" t="n"/>
      <c r="BV92" s="47" t="n"/>
      <c r="BW92" s="47" t="n"/>
      <c r="BX92" s="213" t="n"/>
      <c r="BY92" s="81" t="n"/>
      <c r="BZ92" s="81" t="n"/>
      <c r="CA92" s="56" t="n"/>
      <c r="CB92" s="56" t="n"/>
      <c r="CC92" s="47" t="n"/>
      <c r="CD92" s="47" t="n"/>
      <c r="CE92" s="213" t="n"/>
      <c r="CF92" s="81" t="n"/>
      <c r="CG92" s="81" t="n"/>
      <c r="CH92" s="56" t="n"/>
      <c r="CI92" s="56" t="n"/>
      <c r="CJ92" s="47" t="n"/>
      <c r="CK92" s="47" t="n"/>
      <c r="CL92" s="81" t="n"/>
      <c r="CM92" s="81" t="n"/>
      <c r="CN92" s="81" t="n"/>
      <c r="CO92" s="81" t="n"/>
      <c r="CP92" s="81" t="n"/>
      <c r="CQ92" s="81" t="n"/>
      <c r="CR92" s="81" t="n"/>
      <c r="CS92" s="81" t="n"/>
      <c r="CT92" s="81" t="n"/>
      <c r="CU92" s="81" t="n"/>
      <c r="CV92" s="81" t="n"/>
      <c r="CW92" s="81" t="n"/>
      <c r="CX92" s="81" t="n"/>
      <c r="CY92" s="81" t="n"/>
      <c r="CZ92" s="81" t="n"/>
      <c r="DA92" s="81" t="n"/>
      <c r="DB92" s="81" t="n"/>
      <c r="DC92" s="81" t="n"/>
      <c r="DD92" s="81" t="n"/>
      <c r="DE92" s="81" t="n"/>
      <c r="DF92" s="81" t="n"/>
      <c r="DG92" s="81" t="n"/>
      <c r="DH92" s="81" t="n"/>
    </row>
    <row r="93" ht="21" customFormat="1" customHeight="1" s="167">
      <c r="B93" s="48" t="n"/>
      <c r="C93" s="48" t="n"/>
      <c r="D93" s="48" t="n"/>
      <c r="E93" s="361" t="inlineStr">
        <is>
          <t>STATO</t>
        </is>
      </c>
      <c r="F93" s="461" t="n"/>
      <c r="G93" s="363" t="inlineStr">
        <is>
          <t>Medoto HML</t>
        </is>
      </c>
      <c r="H93" s="130" t="inlineStr">
        <is>
          <t>LEQ</t>
        </is>
      </c>
      <c r="I93" s="131" t="inlineStr">
        <is>
          <t>Leq(A)'</t>
        </is>
      </c>
      <c r="J93" s="133">
        <f>$DE$11-P90</f>
        <v/>
      </c>
      <c r="K93" s="131" t="inlineStr">
        <is>
          <t xml:space="preserve">Lact </t>
        </is>
      </c>
      <c r="L93" s="131" t="n">
        <v>80</v>
      </c>
      <c r="M93" s="365">
        <f>IF(J93&lt;65,"IPERPROTEZIONE",IF(J93&lt;70,"ACCETTABILE",IF(J93&lt;75,"BUONA",IF(J93&lt;80,"ACCETTABILE","INSUFFICIENTE"))))</f>
        <v/>
      </c>
      <c r="N93" s="460" t="n"/>
      <c r="O93" s="460" t="n"/>
      <c r="P93" s="46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286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220" t="n"/>
      <c r="AW93" s="81" t="n"/>
      <c r="AX93" s="81" t="n"/>
      <c r="AY93" s="56" t="n"/>
      <c r="AZ93" s="56" t="n"/>
      <c r="BA93" s="47" t="n"/>
      <c r="BB93" s="47" t="n"/>
      <c r="BC93" s="212" t="n"/>
      <c r="BD93" s="81" t="n"/>
      <c r="BE93" s="81" t="n"/>
      <c r="BF93" s="56" t="n"/>
      <c r="BG93" s="56" t="n"/>
      <c r="BH93" s="47" t="n"/>
      <c r="BI93" s="47" t="n"/>
      <c r="BJ93" s="212" t="n"/>
      <c r="BK93" s="81" t="n"/>
      <c r="BL93" s="81" t="n"/>
      <c r="BM93" s="56" t="n"/>
      <c r="BN93" s="56" t="n"/>
      <c r="BO93" s="47" t="n"/>
      <c r="BP93" s="47" t="n"/>
      <c r="BQ93" s="211" t="n"/>
      <c r="BR93" s="81" t="n"/>
      <c r="BS93" s="81" t="n"/>
      <c r="BT93" s="56" t="n"/>
      <c r="BU93" s="56" t="n"/>
      <c r="BV93" s="47" t="n"/>
      <c r="BW93" s="47" t="n"/>
      <c r="BX93" s="213" t="n"/>
      <c r="BY93" s="81" t="n"/>
      <c r="BZ93" s="81" t="n"/>
      <c r="CA93" s="56" t="n"/>
      <c r="CB93" s="56" t="n"/>
      <c r="CC93" s="47" t="n"/>
      <c r="CD93" s="47" t="n"/>
      <c r="CE93" s="213" t="n"/>
      <c r="CF93" s="81" t="n"/>
      <c r="CG93" s="81" t="n"/>
      <c r="CH93" s="56" t="n"/>
      <c r="CI93" s="56" t="n"/>
      <c r="CJ93" s="47" t="n"/>
      <c r="CK93" s="47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</row>
    <row r="94" ht="29.25" customFormat="1" customHeight="1" s="167" thickBot="1">
      <c r="B94" s="48" t="n"/>
      <c r="C94" s="48" t="n"/>
      <c r="D94" s="48" t="n"/>
      <c r="E94" s="367" t="inlineStr">
        <is>
          <t>DA ACQUISTARE</t>
        </is>
      </c>
      <c r="F94" s="484" t="n"/>
      <c r="G94" s="463" t="n"/>
      <c r="H94" s="59" t="inlineStr">
        <is>
          <t>PPeak</t>
        </is>
      </c>
      <c r="I94" s="60" t="inlineStr">
        <is>
          <t>dm</t>
        </is>
      </c>
      <c r="J94" s="60">
        <f>M91-5</f>
        <v/>
      </c>
      <c r="K94" s="60" t="inlineStr">
        <is>
          <t xml:space="preserve">Lact </t>
        </is>
      </c>
      <c r="L94" s="60" t="n">
        <v>135</v>
      </c>
      <c r="M94" s="368">
        <f>IF($O$48&lt;135,"VERIFICA NON NECESSARIA",IF(($O$48-J94)&lt;135,"IDONEO","INSUFFICIENTE"))</f>
        <v/>
      </c>
      <c r="N94" s="485" t="n"/>
      <c r="O94" s="485" t="n"/>
      <c r="P94" s="484" t="n"/>
      <c r="Q94" s="81" t="n"/>
      <c r="R94" s="81" t="n"/>
      <c r="S94" s="81" t="n"/>
      <c r="T94" s="81" t="n"/>
      <c r="U94" s="81" t="n"/>
      <c r="V94" s="81" t="n"/>
      <c r="W94" s="81" t="n"/>
      <c r="X94" s="81" t="n"/>
      <c r="Y94" s="81" t="n"/>
      <c r="Z94" s="81" t="n"/>
      <c r="AA94" s="81" t="n"/>
      <c r="AB94" s="81" t="n"/>
      <c r="AC94" s="81" t="n"/>
      <c r="AD94" s="81" t="n"/>
      <c r="AE94" s="81" t="n"/>
      <c r="AF94" s="81" t="n"/>
      <c r="AG94" s="81" t="n"/>
      <c r="AH94" s="81" t="n"/>
      <c r="AI94" s="81" t="n"/>
      <c r="AJ94" s="286" t="n"/>
      <c r="AK94" s="81" t="n"/>
      <c r="AL94" s="81" t="n"/>
      <c r="AM94" s="81" t="n"/>
      <c r="AN94" s="81" t="n"/>
      <c r="AO94" s="81" t="n"/>
      <c r="AP94" s="81" t="n"/>
      <c r="AQ94" s="81" t="n"/>
      <c r="AR94" s="81" t="n"/>
      <c r="AS94" s="81" t="n"/>
      <c r="AT94" s="81" t="n"/>
      <c r="AU94" s="81" t="n"/>
      <c r="AV94" s="220" t="n"/>
      <c r="AW94" s="81" t="n"/>
      <c r="AX94" s="81" t="n"/>
      <c r="AY94" s="56" t="n"/>
      <c r="AZ94" s="56" t="n"/>
      <c r="BA94" s="47" t="n"/>
      <c r="BB94" s="47" t="n"/>
      <c r="BC94" s="212" t="n"/>
      <c r="BD94" s="81" t="n"/>
      <c r="BE94" s="81" t="n"/>
      <c r="BF94" s="56" t="n"/>
      <c r="BG94" s="56" t="n"/>
      <c r="BH94" s="47" t="n"/>
      <c r="BI94" s="47" t="n"/>
      <c r="BJ94" s="212" t="n"/>
      <c r="BK94" s="81" t="n"/>
      <c r="BL94" s="81" t="n"/>
      <c r="BM94" s="56" t="n"/>
      <c r="BN94" s="56" t="n"/>
      <c r="BO94" s="47" t="n"/>
      <c r="BP94" s="47" t="n"/>
      <c r="BQ94" s="211" t="n"/>
      <c r="BR94" s="81" t="n"/>
      <c r="BS94" s="81" t="n"/>
      <c r="BT94" s="56" t="n"/>
      <c r="BU94" s="56" t="n"/>
      <c r="BV94" s="47" t="n"/>
      <c r="BW94" s="47" t="n"/>
      <c r="BX94" s="213" t="n"/>
      <c r="BY94" s="81" t="n"/>
      <c r="BZ94" s="81" t="n"/>
      <c r="CA94" s="56" t="n"/>
      <c r="CB94" s="56" t="n"/>
      <c r="CC94" s="47" t="n"/>
      <c r="CD94" s="47" t="n"/>
      <c r="CE94" s="213" t="n"/>
      <c r="CF94" s="81" t="n"/>
      <c r="CG94" s="81" t="n"/>
      <c r="CH94" s="56" t="n"/>
      <c r="CI94" s="56" t="n"/>
      <c r="CJ94" s="47" t="n"/>
      <c r="CK94" s="47" t="n"/>
      <c r="CL94" s="81" t="n"/>
      <c r="CM94" s="81" t="n"/>
      <c r="CN94" s="81" t="n"/>
      <c r="CO94" s="81" t="n"/>
      <c r="CP94" s="81" t="n"/>
      <c r="CQ94" s="81" t="n"/>
      <c r="CR94" s="81" t="n"/>
      <c r="CS94" s="81" t="n"/>
      <c r="CT94" s="81" t="n"/>
      <c r="CU94" s="81" t="n"/>
      <c r="CV94" s="81" t="n"/>
      <c r="CW94" s="81" t="n"/>
      <c r="CX94" s="81" t="n"/>
      <c r="CY94" s="81" t="n"/>
      <c r="CZ94" s="81" t="n"/>
      <c r="DA94" s="81" t="n"/>
      <c r="DB94" s="81" t="n"/>
      <c r="DC94" s="81" t="n"/>
      <c r="DD94" s="81" t="n"/>
      <c r="DE94" s="81" t="n"/>
      <c r="DF94" s="81" t="n"/>
      <c r="DG94" s="81" t="n"/>
      <c r="DH94" s="81" t="n"/>
    </row>
    <row r="95" ht="13.5" customFormat="1" customHeight="1" s="167" thickBot="1">
      <c r="B95" s="81" t="n"/>
      <c r="C95" s="81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286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213" t="n"/>
      <c r="AW95" s="81" t="n"/>
      <c r="AX95" s="81" t="n"/>
      <c r="AY95" s="81" t="n"/>
      <c r="BC95" s="211" t="n"/>
      <c r="BD95" s="81" t="n"/>
      <c r="BE95" s="81" t="n"/>
      <c r="BF95" s="81" t="n"/>
      <c r="BJ95" s="211" t="n"/>
      <c r="BK95" s="81" t="n"/>
      <c r="BL95" s="81" t="n"/>
      <c r="BM95" s="81" t="n"/>
      <c r="BQ95" s="211" t="n"/>
      <c r="BR95" s="81" t="n"/>
      <c r="BS95" s="81" t="n"/>
      <c r="BT95" s="81" t="n"/>
      <c r="BX95" s="213" t="n"/>
      <c r="BY95" s="81" t="n"/>
      <c r="BZ95" s="81" t="n"/>
      <c r="CA95" s="81" t="n"/>
      <c r="CE95" s="213" t="n"/>
      <c r="CF95" s="81" t="n"/>
      <c r="CG95" s="81" t="n"/>
      <c r="CH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</row>
    <row r="96" ht="27" customFormat="1" customHeight="1" s="167">
      <c r="B96" s="48" t="n"/>
      <c r="C96" s="48" t="n"/>
      <c r="D96" s="48" t="n"/>
      <c r="E96" s="486" t="inlineStr">
        <is>
          <t>VERIFICA E GIUDIZIO IDONEITA' DEL D.P.I. CON CALCOLO DEL PNR GLOBALE PER LAeq,F</t>
        </is>
      </c>
      <c r="F96" s="482" t="n"/>
      <c r="G96" s="482" t="n"/>
      <c r="H96" s="482" t="n"/>
      <c r="I96" s="482" t="n"/>
      <c r="J96" s="482" t="n"/>
      <c r="K96" s="482" t="n"/>
      <c r="L96" s="482" t="n"/>
      <c r="M96" s="482" t="n"/>
      <c r="N96" s="482" t="n"/>
      <c r="O96" s="482" t="n"/>
      <c r="P96" s="487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286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221" t="n"/>
      <c r="AW96" s="81" t="n"/>
      <c r="AX96" s="81" t="n"/>
      <c r="AY96" s="56" t="n"/>
      <c r="AZ96" s="56" t="n"/>
      <c r="BA96" s="47" t="n"/>
      <c r="BB96" s="47" t="n"/>
      <c r="BC96" s="212" t="n"/>
      <c r="BD96" s="81" t="n"/>
      <c r="BE96" s="81" t="n"/>
      <c r="BF96" s="56" t="n"/>
      <c r="BG96" s="56" t="n"/>
      <c r="BH96" s="47" t="n"/>
      <c r="BI96" s="47" t="n"/>
      <c r="BJ96" s="212" t="n"/>
      <c r="BK96" s="81" t="n"/>
      <c r="BL96" s="81" t="n"/>
      <c r="BM96" s="56" t="n"/>
      <c r="BN96" s="56" t="n"/>
      <c r="BO96" s="47" t="n"/>
      <c r="BP96" s="47" t="n"/>
      <c r="BQ96" s="211" t="n"/>
      <c r="BR96" s="81" t="n"/>
      <c r="BS96" s="81" t="n"/>
      <c r="BT96" s="56" t="n"/>
      <c r="BU96" s="56" t="n"/>
      <c r="BV96" s="47" t="n"/>
      <c r="BW96" s="47" t="n"/>
      <c r="BX96" s="213" t="n"/>
      <c r="BY96" s="81" t="n"/>
      <c r="BZ96" s="81" t="n"/>
      <c r="CA96" s="56" t="n"/>
      <c r="CB96" s="56" t="n"/>
      <c r="CC96" s="47" t="n"/>
      <c r="CD96" s="47" t="n"/>
      <c r="CE96" s="213" t="n"/>
      <c r="CF96" s="81" t="n"/>
      <c r="CG96" s="81" t="n"/>
      <c r="CH96" s="56" t="n"/>
      <c r="CI96" s="56" t="n"/>
      <c r="CJ96" s="47" t="n"/>
      <c r="CK96" s="47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</row>
    <row r="97" ht="21" customFormat="1" customHeight="1" s="167">
      <c r="B97" s="48" t="n"/>
      <c r="C97" s="48" t="n"/>
      <c r="D97" s="48" t="n"/>
      <c r="E97" s="193" t="inlineStr">
        <is>
          <t>COD.</t>
        </is>
      </c>
      <c r="F97" s="373" t="inlineStr">
        <is>
          <t>Tipologia:</t>
        </is>
      </c>
      <c r="G97" s="373" t="inlineStr">
        <is>
          <t>Marca:</t>
        </is>
      </c>
      <c r="H97" s="373" t="inlineStr">
        <is>
          <t>Modello:</t>
        </is>
      </c>
      <c r="I97" s="461" t="n"/>
      <c r="J97" s="114" t="inlineStr">
        <is>
          <t>SNR</t>
        </is>
      </c>
      <c r="K97" s="115" t="inlineStr">
        <is>
          <t>H</t>
        </is>
      </c>
      <c r="L97" s="116" t="inlineStr">
        <is>
          <t>M</t>
        </is>
      </c>
      <c r="M97" s="116" t="inlineStr">
        <is>
          <t>L</t>
        </is>
      </c>
      <c r="N97" s="388" t="inlineStr">
        <is>
          <t>LEQ(A)F</t>
        </is>
      </c>
      <c r="O97" s="388" t="inlineStr">
        <is>
          <t>LEQ(C)F</t>
        </is>
      </c>
      <c r="P97" s="132" t="inlineStr">
        <is>
          <t>PNR</t>
        </is>
      </c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286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218" t="n"/>
      <c r="AW97" s="81" t="n"/>
      <c r="AX97" s="81" t="n"/>
      <c r="AY97" s="56" t="n"/>
      <c r="AZ97" s="52" t="n"/>
      <c r="BA97" s="47" t="n"/>
      <c r="BB97" s="47" t="n"/>
      <c r="BC97" s="212" t="n"/>
      <c r="BD97" s="81" t="n"/>
      <c r="BE97" s="81" t="n"/>
      <c r="BF97" s="56" t="n"/>
      <c r="BG97" s="52" t="n"/>
      <c r="BH97" s="47" t="n"/>
      <c r="BI97" s="47" t="n"/>
      <c r="BJ97" s="212" t="n"/>
      <c r="BK97" s="81" t="n"/>
      <c r="BL97" s="81" t="n"/>
      <c r="BM97" s="56" t="n"/>
      <c r="BN97" s="52" t="n"/>
      <c r="BO97" s="47" t="n"/>
      <c r="BP97" s="47" t="n"/>
      <c r="BQ97" s="211" t="n"/>
      <c r="BR97" s="81" t="n"/>
      <c r="BS97" s="81" t="n"/>
      <c r="BT97" s="56" t="n"/>
      <c r="BU97" s="52" t="n"/>
      <c r="BV97" s="47" t="n"/>
      <c r="BW97" s="47" t="n"/>
      <c r="BX97" s="213" t="n"/>
      <c r="BY97" s="81" t="n"/>
      <c r="BZ97" s="81" t="n"/>
      <c r="CA97" s="56" t="n"/>
      <c r="CB97" s="52" t="n"/>
      <c r="CC97" s="47" t="n"/>
      <c r="CD97" s="47" t="n"/>
      <c r="CE97" s="213" t="n"/>
      <c r="CF97" s="81" t="n"/>
      <c r="CG97" s="81" t="n"/>
      <c r="CH97" s="56" t="n"/>
      <c r="CI97" s="52" t="n"/>
      <c r="CJ97" s="47" t="n"/>
      <c r="CK97" s="47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</row>
    <row r="98" ht="21" customFormat="1" customHeight="1" s="167">
      <c r="B98" s="48" t="n"/>
      <c r="C98" s="48" t="n"/>
      <c r="D98" s="48" t="n"/>
      <c r="E98" s="129" t="inlineStr">
        <is>
          <t>A6</t>
        </is>
      </c>
      <c r="F98" s="126">
        <f>VLOOKUP(E98,$E$115:$L$246,2,FALSE)</f>
        <v/>
      </c>
      <c r="G98" s="126">
        <f>VLOOKUP($E$98,$E$115:$L$246,3,FALSE)</f>
        <v/>
      </c>
      <c r="H98" s="374">
        <f>VLOOKUP($E$98,$E$115:$L$246,4,FALSE)</f>
        <v/>
      </c>
      <c r="I98" s="461" t="n"/>
      <c r="J98" s="46">
        <f>VLOOKUP(E98,$E$115:$L$246,5,FALSE)</f>
        <v/>
      </c>
      <c r="K98" s="46">
        <f>VLOOKUP($E$98,$E$115:$L$246,6,FALSE)</f>
        <v/>
      </c>
      <c r="L98" s="46">
        <f>VLOOKUP($E$98,$E$115:$L$246,7,FALSE)</f>
        <v/>
      </c>
      <c r="M98" s="46">
        <f>VLOOKUP($E$98,$E$115:$L$246,8,FALSE)</f>
        <v/>
      </c>
      <c r="N98" s="375">
        <f>$DE$11</f>
        <v/>
      </c>
      <c r="O98" s="375">
        <f>$DF$11</f>
        <v/>
      </c>
      <c r="P98" s="376">
        <f>IF(($DF$11-$DE$11)&lt;=2,(L99-((K99-L99)/4)*($DF$11-$DE$11-2)),(L99-((L99-M99)/8)*($DF$11-$DE$11-2)))</f>
        <v/>
      </c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286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219" t="n"/>
      <c r="AW98" s="81" t="n"/>
      <c r="AX98" s="81" t="n"/>
      <c r="AY98" s="56" t="n"/>
      <c r="AZ98" s="56" t="n"/>
      <c r="BA98" s="47" t="n"/>
      <c r="BB98" s="47" t="n"/>
      <c r="BC98" s="212" t="n"/>
      <c r="BD98" s="81" t="n"/>
      <c r="BE98" s="81" t="n"/>
      <c r="BF98" s="56" t="n"/>
      <c r="BG98" s="56" t="n"/>
      <c r="BH98" s="47" t="n"/>
      <c r="BI98" s="47" t="n"/>
      <c r="BJ98" s="212" t="n"/>
      <c r="BK98" s="81" t="n"/>
      <c r="BL98" s="81" t="n"/>
      <c r="BM98" s="56" t="n"/>
      <c r="BN98" s="56" t="n"/>
      <c r="BO98" s="47" t="n"/>
      <c r="BP98" s="47" t="n"/>
      <c r="BQ98" s="211" t="n"/>
      <c r="BR98" s="81" t="n"/>
      <c r="BS98" s="81" t="n"/>
      <c r="BT98" s="56" t="n"/>
      <c r="BU98" s="56" t="n"/>
      <c r="BV98" s="47" t="n"/>
      <c r="BW98" s="47" t="n"/>
      <c r="BX98" s="213" t="n"/>
      <c r="BY98" s="81" t="n"/>
      <c r="BZ98" s="81" t="n"/>
      <c r="CA98" s="56" t="n"/>
      <c r="CB98" s="56" t="n"/>
      <c r="CC98" s="47" t="n"/>
      <c r="CD98" s="47" t="n"/>
      <c r="CE98" s="213" t="n"/>
      <c r="CF98" s="81" t="n"/>
      <c r="CG98" s="81" t="n"/>
      <c r="CH98" s="56" t="n"/>
      <c r="CI98" s="56" t="n"/>
      <c r="CJ98" s="47" t="n"/>
      <c r="CK98" s="47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</row>
    <row r="99" ht="21" customFormat="1" customHeight="1" s="167">
      <c r="B99" s="48" t="n"/>
      <c r="C99" s="48" t="n"/>
      <c r="D99" s="48" t="n"/>
      <c r="E99" s="191" t="n"/>
      <c r="F99" s="127" t="n"/>
      <c r="G99" s="128" t="inlineStr">
        <is>
          <t xml:space="preserve">Coeffciente correttivo β = </t>
        </is>
      </c>
      <c r="H99" s="378" t="n">
        <v>0.85</v>
      </c>
      <c r="I99" s="461" t="n"/>
      <c r="J99" s="117">
        <f>H99*J98</f>
        <v/>
      </c>
      <c r="K99" s="118">
        <f>K98*$H$99</f>
        <v/>
      </c>
      <c r="L99" s="118">
        <f>L98*$H$99</f>
        <v/>
      </c>
      <c r="M99" s="118">
        <f>M98*$H$99</f>
        <v/>
      </c>
      <c r="N99" s="463" t="n"/>
      <c r="O99" s="463" t="n"/>
      <c r="P99" s="488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286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211" t="n"/>
      <c r="AW99" s="81" t="n"/>
      <c r="AX99" s="81" t="n"/>
      <c r="AY99" s="56" t="n"/>
      <c r="AZ99" s="56" t="n"/>
      <c r="BA99" s="47" t="n"/>
      <c r="BB99" s="47" t="n"/>
      <c r="BC99" s="212" t="n"/>
      <c r="BD99" s="81" t="n"/>
      <c r="BE99" s="81" t="n"/>
      <c r="BF99" s="56" t="n"/>
      <c r="BG99" s="56" t="n"/>
      <c r="BH99" s="47" t="n"/>
      <c r="BI99" s="47" t="n"/>
      <c r="BJ99" s="212" t="n"/>
      <c r="BK99" s="81" t="n"/>
      <c r="BL99" s="81" t="n"/>
      <c r="BM99" s="56" t="n"/>
      <c r="BN99" s="56" t="n"/>
      <c r="BO99" s="47" t="n"/>
      <c r="BP99" s="47" t="n"/>
      <c r="BQ99" s="211" t="n"/>
      <c r="BR99" s="81" t="n"/>
      <c r="BS99" s="81" t="n"/>
      <c r="BT99" s="56" t="n"/>
      <c r="BU99" s="56" t="n"/>
      <c r="BV99" s="47" t="n"/>
      <c r="BW99" s="47" t="n"/>
      <c r="BX99" s="213" t="n"/>
      <c r="BY99" s="81" t="n"/>
      <c r="BZ99" s="81" t="n"/>
      <c r="CA99" s="56" t="n"/>
      <c r="CB99" s="56" t="n"/>
      <c r="CC99" s="47" t="n"/>
      <c r="CD99" s="47" t="n"/>
      <c r="CE99" s="213" t="n"/>
      <c r="CF99" s="81" t="n"/>
      <c r="CG99" s="81" t="n"/>
      <c r="CH99" s="56" t="n"/>
      <c r="CI99" s="56" t="n"/>
      <c r="CJ99" s="47" t="n"/>
      <c r="CK99" s="47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</row>
    <row r="100" ht="9" customFormat="1" customHeight="1" s="167">
      <c r="B100" s="48" t="n"/>
      <c r="C100" s="48" t="n"/>
      <c r="D100" s="48" t="n"/>
      <c r="E100" s="489" t="n"/>
      <c r="F100" s="457" t="n"/>
      <c r="G100" s="457" t="n"/>
      <c r="H100" s="457" t="n"/>
      <c r="I100" s="457" t="n"/>
      <c r="J100" s="457" t="n"/>
      <c r="K100" s="457" t="n"/>
      <c r="L100" s="457" t="n"/>
      <c r="M100" s="457" t="n"/>
      <c r="N100" s="457" t="n"/>
      <c r="O100" s="457" t="n"/>
      <c r="P100" s="490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286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211" t="n"/>
      <c r="AW100" s="81" t="n"/>
      <c r="AX100" s="81" t="n"/>
      <c r="AY100" s="56" t="n"/>
      <c r="AZ100" s="56" t="n"/>
      <c r="BA100" s="47" t="n"/>
      <c r="BB100" s="47" t="n"/>
      <c r="BC100" s="212" t="n"/>
      <c r="BD100" s="81" t="n"/>
      <c r="BE100" s="81" t="n"/>
      <c r="BF100" s="56" t="n"/>
      <c r="BG100" s="56" t="n"/>
      <c r="BH100" s="47" t="n"/>
      <c r="BI100" s="47" t="n"/>
      <c r="BJ100" s="212" t="n"/>
      <c r="BK100" s="81" t="n"/>
      <c r="BL100" s="81" t="n"/>
      <c r="BM100" s="56" t="n"/>
      <c r="BN100" s="56" t="n"/>
      <c r="BO100" s="47" t="n"/>
      <c r="BP100" s="47" t="n"/>
      <c r="BQ100" s="211" t="n"/>
      <c r="BR100" s="81" t="n"/>
      <c r="BS100" s="81" t="n"/>
      <c r="BT100" s="56" t="n"/>
      <c r="BU100" s="56" t="n"/>
      <c r="BV100" s="47" t="n"/>
      <c r="BW100" s="47" t="n"/>
      <c r="BX100" s="213" t="n"/>
      <c r="BY100" s="81" t="n"/>
      <c r="BZ100" s="81" t="n"/>
      <c r="CA100" s="56" t="n"/>
      <c r="CB100" s="56" t="n"/>
      <c r="CC100" s="47" t="n"/>
      <c r="CD100" s="47" t="n"/>
      <c r="CE100" s="213" t="n"/>
      <c r="CF100" s="81" t="n"/>
      <c r="CG100" s="81" t="n"/>
      <c r="CH100" s="56" t="n"/>
      <c r="CI100" s="56" t="n"/>
      <c r="CJ100" s="47" t="n"/>
      <c r="CK100" s="47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</row>
    <row r="101" ht="21" customFormat="1" customHeight="1" s="167">
      <c r="B101" s="48" t="n"/>
      <c r="C101" s="48" t="n"/>
      <c r="D101" s="48" t="n"/>
      <c r="E101" s="361" t="inlineStr">
        <is>
          <t>STATO</t>
        </is>
      </c>
      <c r="F101" s="461" t="n"/>
      <c r="G101" s="363" t="inlineStr">
        <is>
          <t>Medoto HML</t>
        </is>
      </c>
      <c r="H101" s="130" t="inlineStr">
        <is>
          <t>LEQ</t>
        </is>
      </c>
      <c r="I101" s="131" t="inlineStr">
        <is>
          <t>Leq(A)'</t>
        </is>
      </c>
      <c r="J101" s="133">
        <f>$DE$11-P98</f>
        <v/>
      </c>
      <c r="K101" s="131" t="inlineStr">
        <is>
          <t xml:space="preserve">Lact </t>
        </is>
      </c>
      <c r="L101" s="131" t="n">
        <v>80</v>
      </c>
      <c r="M101" s="365">
        <f>IF(J101&lt;65,"IPERPROTEZIONE",IF(J101&lt;70,"ACCETTABILE",IF(J101&lt;75,"BUONA",IF(J101&lt;80,"ACCETTABILE","INSUFFICIENTE"))))</f>
        <v/>
      </c>
      <c r="N101" s="460" t="n"/>
      <c r="O101" s="460" t="n"/>
      <c r="P101" s="46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286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220" t="n"/>
      <c r="AW101" s="81" t="n"/>
      <c r="AX101" s="81" t="n"/>
      <c r="AY101" s="56" t="n"/>
      <c r="AZ101" s="56" t="n"/>
      <c r="BA101" s="47" t="n"/>
      <c r="BB101" s="47" t="n"/>
      <c r="BC101" s="212" t="n"/>
      <c r="BD101" s="81" t="n"/>
      <c r="BE101" s="81" t="n"/>
      <c r="BF101" s="56" t="n"/>
      <c r="BG101" s="56" t="n"/>
      <c r="BH101" s="47" t="n"/>
      <c r="BI101" s="47" t="n"/>
      <c r="BJ101" s="212" t="n"/>
      <c r="BK101" s="81" t="n"/>
      <c r="BL101" s="81" t="n"/>
      <c r="BM101" s="56" t="n"/>
      <c r="BN101" s="56" t="n"/>
      <c r="BO101" s="47" t="n"/>
      <c r="BP101" s="47" t="n"/>
      <c r="BQ101" s="211" t="n"/>
      <c r="BR101" s="81" t="n"/>
      <c r="BS101" s="81" t="n"/>
      <c r="BT101" s="56" t="n"/>
      <c r="BU101" s="56" t="n"/>
      <c r="BV101" s="47" t="n"/>
      <c r="BW101" s="47" t="n"/>
      <c r="BX101" s="213" t="n"/>
      <c r="BY101" s="81" t="n"/>
      <c r="BZ101" s="81" t="n"/>
      <c r="CA101" s="56" t="n"/>
      <c r="CB101" s="56" t="n"/>
      <c r="CC101" s="47" t="n"/>
      <c r="CD101" s="47" t="n"/>
      <c r="CE101" s="213" t="n"/>
      <c r="CF101" s="81" t="n"/>
      <c r="CG101" s="81" t="n"/>
      <c r="CH101" s="56" t="n"/>
      <c r="CI101" s="56" t="n"/>
      <c r="CJ101" s="47" t="n"/>
      <c r="CK101" s="47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</row>
    <row r="102" ht="29.25" customFormat="1" customHeight="1" s="167" thickBot="1">
      <c r="B102" s="48" t="n"/>
      <c r="C102" s="48" t="n"/>
      <c r="D102" s="48" t="n"/>
      <c r="E102" s="367" t="inlineStr">
        <is>
          <t>DA ACQUISTARE</t>
        </is>
      </c>
      <c r="F102" s="484" t="n"/>
      <c r="G102" s="463" t="n"/>
      <c r="H102" s="59" t="inlineStr">
        <is>
          <t>PPeak</t>
        </is>
      </c>
      <c r="I102" s="60" t="inlineStr">
        <is>
          <t>dm</t>
        </is>
      </c>
      <c r="J102" s="60">
        <f>M99-5</f>
        <v/>
      </c>
      <c r="K102" s="60" t="inlineStr">
        <is>
          <t xml:space="preserve">Lact </t>
        </is>
      </c>
      <c r="L102" s="60" t="n">
        <v>135</v>
      </c>
      <c r="M102" s="368">
        <f>IF($O$48&lt;135,"VERIFICA NON NECESSARIA",IF(($O$48-J102)&lt;135,"IDONEO","INSUFFICIENTE"))</f>
        <v/>
      </c>
      <c r="N102" s="485" t="n"/>
      <c r="O102" s="485" t="n"/>
      <c r="P102" s="484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286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220" t="n"/>
      <c r="AW102" s="81" t="n"/>
      <c r="AX102" s="81" t="n"/>
      <c r="AY102" s="56" t="n"/>
      <c r="AZ102" s="56" t="n"/>
      <c r="BA102" s="47" t="n"/>
      <c r="BB102" s="47" t="n"/>
      <c r="BC102" s="212" t="n"/>
      <c r="BD102" s="81" t="n"/>
      <c r="BE102" s="81" t="n"/>
      <c r="BF102" s="56" t="n"/>
      <c r="BG102" s="56" t="n"/>
      <c r="BH102" s="47" t="n"/>
      <c r="BI102" s="47" t="n"/>
      <c r="BJ102" s="212" t="n"/>
      <c r="BK102" s="81" t="n"/>
      <c r="BL102" s="81" t="n"/>
      <c r="BM102" s="56" t="n"/>
      <c r="BN102" s="56" t="n"/>
      <c r="BO102" s="47" t="n"/>
      <c r="BP102" s="47" t="n"/>
      <c r="BQ102" s="211" t="n"/>
      <c r="BR102" s="81" t="n"/>
      <c r="BS102" s="81" t="n"/>
      <c r="BT102" s="56" t="n"/>
      <c r="BU102" s="56" t="n"/>
      <c r="BV102" s="47" t="n"/>
      <c r="BW102" s="47" t="n"/>
      <c r="BX102" s="213" t="n"/>
      <c r="BY102" s="81" t="n"/>
      <c r="BZ102" s="81" t="n"/>
      <c r="CA102" s="56" t="n"/>
      <c r="CB102" s="56" t="n"/>
      <c r="CC102" s="47" t="n"/>
      <c r="CD102" s="47" t="n"/>
      <c r="CE102" s="213" t="n"/>
      <c r="CF102" s="81" t="n"/>
      <c r="CG102" s="81" t="n"/>
      <c r="CH102" s="56" t="n"/>
      <c r="CI102" s="56" t="n"/>
      <c r="CJ102" s="47" t="n"/>
      <c r="CK102" s="47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</row>
    <row r="103" ht="13.5" customFormat="1" customHeight="1" s="167" thickBot="1">
      <c r="B103" s="81" t="n"/>
      <c r="C103" s="81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286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213" t="n"/>
      <c r="AW103" s="81" t="n"/>
      <c r="AX103" s="81" t="n"/>
      <c r="AY103" s="81" t="n"/>
      <c r="BC103" s="211" t="n"/>
      <c r="BD103" s="81" t="n"/>
      <c r="BE103" s="81" t="n"/>
      <c r="BF103" s="81" t="n"/>
      <c r="BJ103" s="211" t="n"/>
      <c r="BK103" s="81" t="n"/>
      <c r="BL103" s="81" t="n"/>
      <c r="BM103" s="81" t="n"/>
      <c r="BQ103" s="211" t="n"/>
      <c r="BR103" s="81" t="n"/>
      <c r="BS103" s="81" t="n"/>
      <c r="BT103" s="81" t="n"/>
      <c r="BX103" s="213" t="n"/>
      <c r="BY103" s="81" t="n"/>
      <c r="BZ103" s="81" t="n"/>
      <c r="CA103" s="81" t="n"/>
      <c r="CE103" s="213" t="n"/>
      <c r="CF103" s="81" t="n"/>
      <c r="CG103" s="81" t="n"/>
      <c r="CH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</row>
    <row r="104" ht="27" customFormat="1" customHeight="1" s="167">
      <c r="B104" s="48" t="n"/>
      <c r="C104" s="48" t="n"/>
      <c r="D104" s="48" t="n"/>
      <c r="E104" s="486" t="inlineStr">
        <is>
          <t>VERIFICA E GIUDIZIO IDONEITA' DEL D.P.I. CON CALCOLO DEL PNR GLOBALE PER LAeq,F</t>
        </is>
      </c>
      <c r="F104" s="482" t="n"/>
      <c r="G104" s="482" t="n"/>
      <c r="H104" s="482" t="n"/>
      <c r="I104" s="482" t="n"/>
      <c r="J104" s="482" t="n"/>
      <c r="K104" s="482" t="n"/>
      <c r="L104" s="482" t="n"/>
      <c r="M104" s="482" t="n"/>
      <c r="N104" s="482" t="n"/>
      <c r="O104" s="482" t="n"/>
      <c r="P104" s="487" t="n"/>
      <c r="AJ104" s="291" t="n"/>
      <c r="AU104" s="53" t="n"/>
      <c r="AV104" s="221" t="n"/>
      <c r="AW104" s="81" t="n"/>
      <c r="AX104" s="81" t="n"/>
      <c r="AY104" s="56" t="n"/>
      <c r="AZ104" s="56" t="n"/>
      <c r="BA104" s="47" t="n"/>
      <c r="BB104" s="47" t="n"/>
      <c r="BC104" s="212" t="n"/>
      <c r="BD104" s="81" t="n"/>
      <c r="BE104" s="81" t="n"/>
      <c r="BF104" s="56" t="n"/>
      <c r="BG104" s="56" t="n"/>
      <c r="BH104" s="47" t="n"/>
      <c r="BI104" s="47" t="n"/>
      <c r="BJ104" s="212" t="n"/>
      <c r="BK104" s="81" t="n"/>
      <c r="BL104" s="81" t="n"/>
      <c r="BM104" s="56" t="n"/>
      <c r="BN104" s="56" t="n"/>
      <c r="BO104" s="47" t="n"/>
      <c r="BP104" s="47" t="n"/>
      <c r="BQ104" s="211" t="n"/>
      <c r="BR104" s="81" t="n"/>
      <c r="BS104" s="81" t="n"/>
      <c r="BT104" s="56" t="n"/>
      <c r="BU104" s="56" t="n"/>
      <c r="BV104" s="47" t="n"/>
      <c r="BW104" s="47" t="n"/>
      <c r="BX104" s="213" t="n"/>
      <c r="BY104" s="81" t="n"/>
      <c r="BZ104" s="81" t="n"/>
      <c r="CA104" s="56" t="n"/>
      <c r="CB104" s="56" t="n"/>
      <c r="CC104" s="47" t="n"/>
      <c r="CD104" s="47" t="n"/>
      <c r="CE104" s="213" t="n"/>
      <c r="CF104" s="81" t="n"/>
      <c r="CG104" s="81" t="n"/>
      <c r="CH104" s="56" t="n"/>
      <c r="CI104" s="56" t="n"/>
      <c r="CJ104" s="47" t="n"/>
      <c r="CK104" s="47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</row>
    <row r="105" ht="21" customFormat="1" customHeight="1" s="167">
      <c r="B105" s="48" t="n"/>
      <c r="C105" s="48" t="n"/>
      <c r="D105" s="48" t="n"/>
      <c r="E105" s="193" t="inlineStr">
        <is>
          <t>COD.</t>
        </is>
      </c>
      <c r="F105" s="373" t="inlineStr">
        <is>
          <t>Tipologia:</t>
        </is>
      </c>
      <c r="G105" s="373" t="inlineStr">
        <is>
          <t>Marca:</t>
        </is>
      </c>
      <c r="H105" s="373" t="inlineStr">
        <is>
          <t>Modello:</t>
        </is>
      </c>
      <c r="I105" s="461" t="n"/>
      <c r="J105" s="114" t="inlineStr">
        <is>
          <t>SNR</t>
        </is>
      </c>
      <c r="K105" s="115" t="inlineStr">
        <is>
          <t>H</t>
        </is>
      </c>
      <c r="L105" s="116" t="inlineStr">
        <is>
          <t>M</t>
        </is>
      </c>
      <c r="M105" s="116" t="inlineStr">
        <is>
          <t>L</t>
        </is>
      </c>
      <c r="N105" s="388" t="inlineStr">
        <is>
          <t>LEQ(A)F</t>
        </is>
      </c>
      <c r="O105" s="388" t="inlineStr">
        <is>
          <t>LEQ(C)F</t>
        </is>
      </c>
      <c r="P105" s="132" t="inlineStr">
        <is>
          <t>PNR</t>
        </is>
      </c>
      <c r="AJ105" s="291" t="n"/>
      <c r="AU105" s="54" t="n"/>
      <c r="AV105" s="218" t="n"/>
      <c r="AW105" s="81" t="n"/>
      <c r="AX105" s="81" t="n"/>
      <c r="AY105" s="56" t="n"/>
      <c r="AZ105" s="52" t="n"/>
      <c r="BA105" s="47" t="n"/>
      <c r="BB105" s="47" t="n"/>
      <c r="BC105" s="212" t="n"/>
      <c r="BD105" s="81" t="n"/>
      <c r="BE105" s="81" t="n"/>
      <c r="BF105" s="56" t="n"/>
      <c r="BG105" s="52" t="n"/>
      <c r="BH105" s="47" t="n"/>
      <c r="BI105" s="47" t="n"/>
      <c r="BJ105" s="212" t="n"/>
      <c r="BK105" s="81" t="n"/>
      <c r="BL105" s="81" t="n"/>
      <c r="BM105" s="56" t="n"/>
      <c r="BN105" s="52" t="n"/>
      <c r="BO105" s="47" t="n"/>
      <c r="BP105" s="47" t="n"/>
      <c r="BQ105" s="211" t="n"/>
      <c r="BR105" s="81" t="n"/>
      <c r="BS105" s="81" t="n"/>
      <c r="BT105" s="56" t="n"/>
      <c r="BU105" s="52" t="n"/>
      <c r="BV105" s="47" t="n"/>
      <c r="BW105" s="47" t="n"/>
      <c r="BX105" s="213" t="n"/>
      <c r="BY105" s="81" t="n"/>
      <c r="BZ105" s="81" t="n"/>
      <c r="CA105" s="56" t="n"/>
      <c r="CB105" s="52" t="n"/>
      <c r="CC105" s="47" t="n"/>
      <c r="CD105" s="47" t="n"/>
      <c r="CE105" s="213" t="n"/>
      <c r="CF105" s="81" t="n"/>
      <c r="CG105" s="81" t="n"/>
      <c r="CH105" s="56" t="n"/>
      <c r="CI105" s="52" t="n"/>
      <c r="CJ105" s="47" t="n"/>
      <c r="CK105" s="47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</row>
    <row r="106" ht="21" customFormat="1" customHeight="1" s="167">
      <c r="B106" s="48" t="n"/>
      <c r="C106" s="48" t="n"/>
      <c r="D106" s="48" t="n"/>
      <c r="E106" s="129" t="inlineStr">
        <is>
          <t>A7</t>
        </is>
      </c>
      <c r="F106" s="126">
        <f>VLOOKUP(E106,$E$115:$L$246,2,FALSE)</f>
        <v/>
      </c>
      <c r="G106" s="126">
        <f>VLOOKUP($E$106,$E$115:$L$246,3,FALSE)</f>
        <v/>
      </c>
      <c r="H106" s="374">
        <f>VLOOKUP($E$106,$E$115:$L$246,4,FALSE)</f>
        <v/>
      </c>
      <c r="I106" s="461" t="n"/>
      <c r="J106" s="46">
        <f>VLOOKUP(E106,$E$115:$L$246,5,FALSE)</f>
        <v/>
      </c>
      <c r="K106" s="46">
        <f>VLOOKUP($E$106,$E$115:$L$246,6,FALSE)</f>
        <v/>
      </c>
      <c r="L106" s="46">
        <f>VLOOKUP($E$106,$E$115:$L$246,7,FALSE)</f>
        <v/>
      </c>
      <c r="M106" s="46">
        <f>VLOOKUP($E$106,$E$115:$L$246,8,FALSE)</f>
        <v/>
      </c>
      <c r="N106" s="375">
        <f>$DE$11</f>
        <v/>
      </c>
      <c r="O106" s="375">
        <f>$DF$11</f>
        <v/>
      </c>
      <c r="P106" s="376">
        <f>IF(($DF$11-$DE$11)&lt;=2,(L107-((K107-L107)/4)*($DF$11-$DE$11-2)),(L107-((L107-M107)/8)*($DF$11-$DE$11-2)))</f>
        <v/>
      </c>
      <c r="AJ106" s="291" t="n"/>
      <c r="AU106" s="196" t="n"/>
      <c r="AV106" s="219" t="n"/>
      <c r="AW106" s="81" t="n"/>
      <c r="AX106" s="81" t="n"/>
      <c r="AY106" s="56" t="n"/>
      <c r="AZ106" s="56" t="n"/>
      <c r="BA106" s="47" t="n"/>
      <c r="BB106" s="47" t="n"/>
      <c r="BC106" s="212" t="n"/>
      <c r="BD106" s="81" t="n"/>
      <c r="BE106" s="81" t="n"/>
      <c r="BF106" s="56" t="n"/>
      <c r="BG106" s="56" t="n"/>
      <c r="BH106" s="47" t="n"/>
      <c r="BI106" s="47" t="n"/>
      <c r="BJ106" s="212" t="n"/>
      <c r="BK106" s="81" t="n"/>
      <c r="BL106" s="81" t="n"/>
      <c r="BM106" s="56" t="n"/>
      <c r="BN106" s="56" t="n"/>
      <c r="BO106" s="47" t="n"/>
      <c r="BP106" s="47" t="n"/>
      <c r="BQ106" s="211" t="n"/>
      <c r="BR106" s="81" t="n"/>
      <c r="BS106" s="81" t="n"/>
      <c r="BT106" s="56" t="n"/>
      <c r="BU106" s="56" t="n"/>
      <c r="BV106" s="47" t="n"/>
      <c r="BW106" s="47" t="n"/>
      <c r="BX106" s="213" t="n"/>
      <c r="BY106" s="81" t="n"/>
      <c r="BZ106" s="81" t="n"/>
      <c r="CA106" s="56" t="n"/>
      <c r="CB106" s="56" t="n"/>
      <c r="CC106" s="47" t="n"/>
      <c r="CD106" s="47" t="n"/>
      <c r="CE106" s="213" t="n"/>
      <c r="CF106" s="81" t="n"/>
      <c r="CG106" s="81" t="n"/>
      <c r="CH106" s="56" t="n"/>
      <c r="CI106" s="56" t="n"/>
      <c r="CJ106" s="47" t="n"/>
      <c r="CK106" s="47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</row>
    <row r="107" ht="21" customFormat="1" customHeight="1" s="167">
      <c r="B107" s="48" t="n"/>
      <c r="C107" s="48" t="n"/>
      <c r="D107" s="48" t="n"/>
      <c r="E107" s="191" t="n"/>
      <c r="F107" s="127" t="n"/>
      <c r="G107" s="128" t="inlineStr">
        <is>
          <t xml:space="preserve">Coeffciente correttivo β = </t>
        </is>
      </c>
      <c r="H107" s="378" t="n">
        <v>0.85</v>
      </c>
      <c r="I107" s="461" t="n"/>
      <c r="J107" s="117">
        <f>H107*J106</f>
        <v/>
      </c>
      <c r="K107" s="118">
        <f>K106*$H$107</f>
        <v/>
      </c>
      <c r="L107" s="118">
        <f>L106*$H$107</f>
        <v/>
      </c>
      <c r="M107" s="118">
        <f>M106*$H$107</f>
        <v/>
      </c>
      <c r="N107" s="463" t="n"/>
      <c r="O107" s="463" t="n"/>
      <c r="P107" s="488" t="n"/>
      <c r="AJ107" s="291" t="n"/>
      <c r="AV107" s="211" t="n"/>
      <c r="AW107" s="81" t="n"/>
      <c r="AX107" s="81" t="n"/>
      <c r="AY107" s="56" t="n"/>
      <c r="AZ107" s="56" t="n"/>
      <c r="BA107" s="47" t="n"/>
      <c r="BB107" s="47" t="n"/>
      <c r="BC107" s="212" t="n"/>
      <c r="BD107" s="81" t="n"/>
      <c r="BE107" s="81" t="n"/>
      <c r="BF107" s="56" t="n"/>
      <c r="BG107" s="56" t="n"/>
      <c r="BH107" s="47" t="n"/>
      <c r="BI107" s="47" t="n"/>
      <c r="BJ107" s="212" t="n"/>
      <c r="BK107" s="81" t="n"/>
      <c r="BL107" s="81" t="n"/>
      <c r="BM107" s="56" t="n"/>
      <c r="BN107" s="56" t="n"/>
      <c r="BO107" s="47" t="n"/>
      <c r="BP107" s="47" t="n"/>
      <c r="BQ107" s="211" t="n"/>
      <c r="BR107" s="81" t="n"/>
      <c r="BS107" s="81" t="n"/>
      <c r="BT107" s="56" t="n"/>
      <c r="BU107" s="56" t="n"/>
      <c r="BV107" s="47" t="n"/>
      <c r="BW107" s="47" t="n"/>
      <c r="BX107" s="213" t="n"/>
      <c r="BY107" s="81" t="n"/>
      <c r="BZ107" s="81" t="n"/>
      <c r="CA107" s="56" t="n"/>
      <c r="CB107" s="56" t="n"/>
      <c r="CC107" s="47" t="n"/>
      <c r="CD107" s="47" t="n"/>
      <c r="CE107" s="213" t="n"/>
      <c r="CF107" s="81" t="n"/>
      <c r="CG107" s="81" t="n"/>
      <c r="CH107" s="56" t="n"/>
      <c r="CI107" s="56" t="n"/>
      <c r="CJ107" s="47" t="n"/>
      <c r="CK107" s="47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</row>
    <row r="108" ht="9" customFormat="1" customHeight="1" s="167">
      <c r="B108" s="48" t="n"/>
      <c r="C108" s="48" t="n"/>
      <c r="D108" s="48" t="n"/>
      <c r="E108" s="489" t="n"/>
      <c r="F108" s="457" t="n"/>
      <c r="G108" s="457" t="n"/>
      <c r="H108" s="457" t="n"/>
      <c r="I108" s="457" t="n"/>
      <c r="J108" s="457" t="n"/>
      <c r="K108" s="457" t="n"/>
      <c r="L108" s="457" t="n"/>
      <c r="M108" s="457" t="n"/>
      <c r="N108" s="457" t="n"/>
      <c r="O108" s="457" t="n"/>
      <c r="P108" s="490" t="n"/>
      <c r="AJ108" s="291" t="n"/>
      <c r="AV108" s="211" t="n"/>
      <c r="AW108" s="81" t="n"/>
      <c r="AX108" s="81" t="n"/>
      <c r="AY108" s="56" t="n"/>
      <c r="AZ108" s="56" t="n"/>
      <c r="BA108" s="47" t="n"/>
      <c r="BB108" s="47" t="n"/>
      <c r="BC108" s="212" t="n"/>
      <c r="BD108" s="81" t="n"/>
      <c r="BE108" s="81" t="n"/>
      <c r="BF108" s="56" t="n"/>
      <c r="BG108" s="56" t="n"/>
      <c r="BH108" s="47" t="n"/>
      <c r="BI108" s="47" t="n"/>
      <c r="BJ108" s="212" t="n"/>
      <c r="BK108" s="81" t="n"/>
      <c r="BL108" s="81" t="n"/>
      <c r="BM108" s="56" t="n"/>
      <c r="BN108" s="56" t="n"/>
      <c r="BO108" s="47" t="n"/>
      <c r="BP108" s="47" t="n"/>
      <c r="BQ108" s="211" t="n"/>
      <c r="BR108" s="81" t="n"/>
      <c r="BS108" s="81" t="n"/>
      <c r="BT108" s="56" t="n"/>
      <c r="BU108" s="56" t="n"/>
      <c r="BV108" s="47" t="n"/>
      <c r="BW108" s="47" t="n"/>
      <c r="BX108" s="213" t="n"/>
      <c r="BY108" s="81" t="n"/>
      <c r="BZ108" s="81" t="n"/>
      <c r="CA108" s="56" t="n"/>
      <c r="CB108" s="56" t="n"/>
      <c r="CC108" s="47" t="n"/>
      <c r="CD108" s="47" t="n"/>
      <c r="CE108" s="213" t="n"/>
      <c r="CF108" s="81" t="n"/>
      <c r="CG108" s="81" t="n"/>
      <c r="CH108" s="56" t="n"/>
      <c r="CI108" s="56" t="n"/>
      <c r="CJ108" s="47" t="n"/>
      <c r="CK108" s="47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</row>
    <row r="109" ht="21" customFormat="1" customHeight="1" s="167">
      <c r="B109" s="48" t="n"/>
      <c r="C109" s="48" t="n"/>
      <c r="D109" s="48" t="n"/>
      <c r="E109" s="361" t="inlineStr">
        <is>
          <t>STATO</t>
        </is>
      </c>
      <c r="F109" s="461" t="n"/>
      <c r="G109" s="363" t="inlineStr">
        <is>
          <t>Medoto HML</t>
        </is>
      </c>
      <c r="H109" s="130" t="inlineStr">
        <is>
          <t>LEQ</t>
        </is>
      </c>
      <c r="I109" s="131" t="inlineStr">
        <is>
          <t>Leq(A)'</t>
        </is>
      </c>
      <c r="J109" s="133">
        <f>$DE$11-P106</f>
        <v/>
      </c>
      <c r="K109" s="131" t="inlineStr">
        <is>
          <t xml:space="preserve">Lact </t>
        </is>
      </c>
      <c r="L109" s="131" t="n">
        <v>80</v>
      </c>
      <c r="M109" s="365">
        <f>IF(J109&lt;65,"IPERPROTEZIONE",IF(J109&lt;70,"ACCETTABILE",IF(J109&lt;75,"BUONA",IF(J109&lt;80,"ACCETTABILE","INSUFFICIENTE"))))</f>
        <v/>
      </c>
      <c r="N109" s="460" t="n"/>
      <c r="O109" s="460" t="n"/>
      <c r="P109" s="461" t="n"/>
      <c r="AJ109" s="291" t="n"/>
      <c r="AU109" s="85" t="n"/>
      <c r="AV109" s="220" t="n"/>
      <c r="AW109" s="81" t="n"/>
      <c r="AX109" s="81" t="n"/>
      <c r="AY109" s="56" t="n"/>
      <c r="AZ109" s="56" t="n"/>
      <c r="BA109" s="47" t="n"/>
      <c r="BB109" s="47" t="n"/>
      <c r="BC109" s="212" t="n"/>
      <c r="BD109" s="81" t="n"/>
      <c r="BE109" s="81" t="n"/>
      <c r="BF109" s="56" t="n"/>
      <c r="BG109" s="56" t="n"/>
      <c r="BH109" s="47" t="n"/>
      <c r="BI109" s="47" t="n"/>
      <c r="BJ109" s="212" t="n"/>
      <c r="BK109" s="81" t="n"/>
      <c r="BL109" s="81" t="n"/>
      <c r="BM109" s="56" t="n"/>
      <c r="BN109" s="56" t="n"/>
      <c r="BO109" s="47" t="n"/>
      <c r="BP109" s="47" t="n"/>
      <c r="BQ109" s="211" t="n"/>
      <c r="BR109" s="81" t="n"/>
      <c r="BS109" s="81" t="n"/>
      <c r="BT109" s="56" t="n"/>
      <c r="BU109" s="56" t="n"/>
      <c r="BV109" s="47" t="n"/>
      <c r="BW109" s="47" t="n"/>
      <c r="BX109" s="213" t="n"/>
      <c r="BY109" s="81" t="n"/>
      <c r="BZ109" s="81" t="n"/>
      <c r="CA109" s="56" t="n"/>
      <c r="CB109" s="56" t="n"/>
      <c r="CC109" s="47" t="n"/>
      <c r="CD109" s="47" t="n"/>
      <c r="CE109" s="213" t="n"/>
      <c r="CF109" s="81" t="n"/>
      <c r="CG109" s="81" t="n"/>
      <c r="CH109" s="56" t="n"/>
      <c r="CI109" s="56" t="n"/>
      <c r="CJ109" s="47" t="n"/>
      <c r="CK109" s="47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</row>
    <row r="110" ht="29.25" customFormat="1" customHeight="1" s="167" thickBot="1">
      <c r="B110" s="48" t="n"/>
      <c r="C110" s="48" t="n"/>
      <c r="D110" s="48" t="n"/>
      <c r="E110" s="367" t="inlineStr">
        <is>
          <t>DA ACQUISTARE</t>
        </is>
      </c>
      <c r="F110" s="484" t="n"/>
      <c r="G110" s="463" t="n"/>
      <c r="H110" s="59" t="inlineStr">
        <is>
          <t>PPeak</t>
        </is>
      </c>
      <c r="I110" s="60" t="inlineStr">
        <is>
          <t>dm</t>
        </is>
      </c>
      <c r="J110" s="60">
        <f>M107-5</f>
        <v/>
      </c>
      <c r="K110" s="60" t="inlineStr">
        <is>
          <t xml:space="preserve">Lact </t>
        </is>
      </c>
      <c r="L110" s="60" t="n">
        <v>135</v>
      </c>
      <c r="M110" s="368">
        <f>IF($O$48&lt;135,"VERIFICA NON NECESSARIA",IF(($O$48-J110)&lt;135,"IDONEO","INSUFFICIENTE"))</f>
        <v/>
      </c>
      <c r="N110" s="485" t="n"/>
      <c r="O110" s="485" t="n"/>
      <c r="P110" s="484" t="n"/>
      <c r="AJ110" s="291" t="n"/>
      <c r="AU110" s="86" t="n"/>
      <c r="AV110" s="220" t="n"/>
      <c r="AW110" s="81" t="n"/>
      <c r="AX110" s="81" t="n"/>
      <c r="AY110" s="56" t="n"/>
      <c r="AZ110" s="56" t="n"/>
      <c r="BA110" s="47" t="n"/>
      <c r="BB110" s="47" t="n"/>
      <c r="BC110" s="212" t="n"/>
      <c r="BD110" s="81" t="n"/>
      <c r="BE110" s="81" t="n"/>
      <c r="BF110" s="56" t="n"/>
      <c r="BG110" s="56" t="n"/>
      <c r="BH110" s="47" t="n"/>
      <c r="BI110" s="47" t="n"/>
      <c r="BJ110" s="212" t="n"/>
      <c r="BK110" s="81" t="n"/>
      <c r="BL110" s="81" t="n"/>
      <c r="BM110" s="56" t="n"/>
      <c r="BN110" s="56" t="n"/>
      <c r="BO110" s="47" t="n"/>
      <c r="BP110" s="47" t="n"/>
      <c r="BQ110" s="211" t="n"/>
      <c r="BR110" s="81" t="n"/>
      <c r="BS110" s="81" t="n"/>
      <c r="BT110" s="56" t="n"/>
      <c r="BU110" s="56" t="n"/>
      <c r="BV110" s="47" t="n"/>
      <c r="BW110" s="47" t="n"/>
      <c r="BX110" s="213" t="n"/>
      <c r="BY110" s="81" t="n"/>
      <c r="BZ110" s="81" t="n"/>
      <c r="CA110" s="56" t="n"/>
      <c r="CB110" s="56" t="n"/>
      <c r="CC110" s="47" t="n"/>
      <c r="CD110" s="47" t="n"/>
      <c r="CE110" s="213" t="n"/>
      <c r="CF110" s="81" t="n"/>
      <c r="CG110" s="81" t="n"/>
      <c r="CH110" s="56" t="n"/>
      <c r="CI110" s="56" t="n"/>
      <c r="CJ110" s="47" t="n"/>
      <c r="CK110" s="47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</row>
    <row r="114" ht="35.25" customFormat="1" customHeight="1" s="167">
      <c r="B114" s="81" t="n"/>
      <c r="C114" s="81" t="n"/>
      <c r="D114" s="81" t="n"/>
      <c r="E114" s="388" t="inlineStr">
        <is>
          <t>ID</t>
        </is>
      </c>
      <c r="F114" s="388" t="inlineStr">
        <is>
          <t>Tipologia</t>
        </is>
      </c>
      <c r="G114" s="388" t="inlineStr">
        <is>
          <t>Marca</t>
        </is>
      </c>
      <c r="H114" s="388" t="inlineStr">
        <is>
          <t>Modello</t>
        </is>
      </c>
      <c r="I114" s="388" t="inlineStr">
        <is>
          <t>SNR</t>
        </is>
      </c>
      <c r="J114" s="388" t="inlineStr">
        <is>
          <t>H</t>
        </is>
      </c>
      <c r="K114" s="388" t="inlineStr">
        <is>
          <t>M</t>
        </is>
      </c>
      <c r="L114" s="388" t="inlineStr">
        <is>
          <t>L</t>
        </is>
      </c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286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213" t="n"/>
      <c r="AW114" s="81" t="n"/>
      <c r="AX114" s="81" t="n"/>
      <c r="AY114" s="81" t="n"/>
      <c r="BC114" s="211" t="n"/>
      <c r="BD114" s="81" t="n"/>
      <c r="BE114" s="81" t="n"/>
      <c r="BF114" s="81" t="n"/>
      <c r="BJ114" s="211" t="n"/>
      <c r="BK114" s="81" t="n"/>
      <c r="BL114" s="81" t="n"/>
      <c r="BM114" s="81" t="n"/>
      <c r="BQ114" s="211" t="n"/>
      <c r="BR114" s="81" t="n"/>
      <c r="BS114" s="81" t="n"/>
      <c r="BT114" s="81" t="n"/>
      <c r="BX114" s="213" t="n"/>
      <c r="BY114" s="81" t="n"/>
      <c r="BZ114" s="81" t="n"/>
      <c r="CA114" s="81" t="n"/>
      <c r="CE114" s="213" t="n"/>
      <c r="CF114" s="81" t="n"/>
      <c r="CG114" s="81" t="n"/>
      <c r="CH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</row>
    <row r="115" ht="20.25" customFormat="1" customHeight="1" s="167">
      <c r="B115" s="81" t="n"/>
      <c r="C115" s="81" t="n"/>
      <c r="D115" s="81" t="n"/>
      <c r="E115" s="45" t="inlineStr">
        <is>
          <t>A1</t>
        </is>
      </c>
      <c r="F115" s="45" t="inlineStr">
        <is>
          <t>Inserti espandibili</t>
        </is>
      </c>
      <c r="G115" s="45" t="inlineStr">
        <is>
          <t>3M</t>
        </is>
      </c>
      <c r="H115" s="45" t="n">
        <v>1271</v>
      </c>
      <c r="I115" s="46" t="n">
        <v>25</v>
      </c>
      <c r="J115" s="46" t="n">
        <v>27</v>
      </c>
      <c r="K115" s="46" t="n">
        <v>22</v>
      </c>
      <c r="L115" s="46" t="n">
        <v>20</v>
      </c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286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213" t="n"/>
      <c r="AW115" s="81" t="n"/>
      <c r="AX115" s="81" t="n"/>
      <c r="AY115" s="81" t="n"/>
      <c r="BC115" s="211" t="n"/>
      <c r="BD115" s="81" t="n"/>
      <c r="BE115" s="81" t="n"/>
      <c r="BF115" s="81" t="n"/>
      <c r="BJ115" s="211" t="n"/>
      <c r="BK115" s="81" t="n"/>
      <c r="BL115" s="81" t="n"/>
      <c r="BM115" s="81" t="n"/>
      <c r="BQ115" s="211" t="n"/>
      <c r="BR115" s="81" t="n"/>
      <c r="BS115" s="81" t="n"/>
      <c r="BT115" s="81" t="n"/>
      <c r="BX115" s="213" t="n"/>
      <c r="BY115" s="81" t="n"/>
      <c r="BZ115" s="81" t="n"/>
      <c r="CA115" s="81" t="n"/>
      <c r="CE115" s="213" t="n"/>
      <c r="CF115" s="81" t="n"/>
      <c r="CG115" s="81" t="n"/>
      <c r="CH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</row>
    <row r="116" ht="20.25" customHeight="1" s="444">
      <c r="E116" s="45" t="inlineStr">
        <is>
          <t>A2</t>
        </is>
      </c>
      <c r="F116" s="45" t="inlineStr">
        <is>
          <t>Inserti con archetto</t>
        </is>
      </c>
      <c r="G116" s="45" t="inlineStr">
        <is>
          <t>AEARO</t>
        </is>
      </c>
      <c r="H116" s="45" t="inlineStr">
        <is>
          <t>EAR CAPS</t>
        </is>
      </c>
      <c r="I116" s="46" t="n">
        <v>21</v>
      </c>
      <c r="J116" s="46" t="n">
        <v>25</v>
      </c>
      <c r="K116" s="46" t="n">
        <v>17</v>
      </c>
      <c r="L116" s="46" t="n">
        <v>14</v>
      </c>
    </row>
    <row r="117" ht="20.25" customHeight="1" s="444">
      <c r="E117" s="45" t="inlineStr">
        <is>
          <t>A3</t>
        </is>
      </c>
      <c r="F117" s="45" t="inlineStr">
        <is>
          <t>Cuffie auricolari</t>
        </is>
      </c>
      <c r="G117" s="45" t="inlineStr">
        <is>
          <t>3M</t>
        </is>
      </c>
      <c r="H117" s="45" t="n">
        <v>1435</v>
      </c>
      <c r="I117" s="46" t="n">
        <v>27</v>
      </c>
      <c r="J117" s="46" t="n">
        <v>22</v>
      </c>
      <c r="K117" s="46" t="n">
        <v>15</v>
      </c>
      <c r="L117" s="46" t="n">
        <v>25</v>
      </c>
    </row>
    <row r="118" ht="20.25" customHeight="1" s="444">
      <c r="E118" s="45" t="inlineStr">
        <is>
          <t>A4</t>
        </is>
      </c>
      <c r="F118" s="45" t="n"/>
      <c r="G118" s="45" t="n"/>
      <c r="H118" s="45" t="n"/>
      <c r="I118" s="46" t="n"/>
      <c r="J118" s="46" t="n"/>
      <c r="K118" s="46" t="n"/>
      <c r="L118" s="46" t="n"/>
    </row>
    <row r="119" ht="20.25" customHeight="1" s="444">
      <c r="E119" s="45" t="inlineStr">
        <is>
          <t>A5</t>
        </is>
      </c>
      <c r="F119" s="45" t="n"/>
      <c r="G119" s="45" t="n"/>
      <c r="H119" s="45" t="n"/>
      <c r="I119" s="46" t="n"/>
      <c r="J119" s="46" t="n"/>
      <c r="K119" s="46" t="n"/>
      <c r="L119" s="46" t="n"/>
    </row>
    <row r="120" ht="20.25" customHeight="1" s="444">
      <c r="E120" s="45" t="inlineStr">
        <is>
          <t>A6</t>
        </is>
      </c>
      <c r="F120" s="45" t="n"/>
      <c r="G120" s="45" t="n"/>
      <c r="H120" s="45" t="n"/>
      <c r="I120" s="46" t="n"/>
      <c r="J120" s="46" t="n"/>
      <c r="K120" s="46" t="n"/>
      <c r="L120" s="46" t="n"/>
    </row>
    <row r="121" ht="20.25" customHeight="1" s="444">
      <c r="E121" s="45" t="inlineStr">
        <is>
          <t>A7</t>
        </is>
      </c>
      <c r="F121" s="45" t="n"/>
      <c r="G121" s="45" t="n"/>
      <c r="H121" s="45" t="n"/>
      <c r="I121" s="46" t="n"/>
      <c r="J121" s="46" t="n"/>
      <c r="K121" s="46" t="n"/>
      <c r="L121" s="46" t="n"/>
    </row>
    <row r="122" ht="20.25" customHeight="1" s="444">
      <c r="E122" s="45" t="inlineStr">
        <is>
          <t>A8</t>
        </is>
      </c>
      <c r="F122" s="45" t="n"/>
      <c r="G122" s="45" t="n"/>
      <c r="H122" s="45" t="n"/>
      <c r="I122" s="46" t="n"/>
      <c r="J122" s="46" t="n"/>
      <c r="K122" s="46" t="n"/>
      <c r="L122" s="46" t="n"/>
    </row>
    <row r="123" ht="20.25" customHeight="1" s="444">
      <c r="E123" s="45" t="inlineStr">
        <is>
          <t>A9</t>
        </is>
      </c>
      <c r="F123" s="45" t="n"/>
      <c r="G123" s="45" t="n"/>
      <c r="H123" s="45" t="n"/>
      <c r="I123" s="46" t="n"/>
      <c r="J123" s="46" t="n"/>
      <c r="K123" s="46" t="n"/>
      <c r="L123" s="46" t="n"/>
    </row>
    <row r="124" ht="20.25" customHeight="1" s="444">
      <c r="E124" s="45" t="inlineStr">
        <is>
          <t>A10</t>
        </is>
      </c>
      <c r="F124" s="45" t="n"/>
      <c r="G124" s="45" t="n"/>
      <c r="H124" s="45" t="n"/>
      <c r="I124" s="46" t="n"/>
      <c r="J124" s="46" t="n"/>
      <c r="K124" s="46" t="n"/>
      <c r="L124" s="46" t="n"/>
    </row>
    <row r="125" ht="20.25" customHeight="1" s="444">
      <c r="E125" s="45" t="inlineStr">
        <is>
          <t>A11</t>
        </is>
      </c>
      <c r="F125" s="45" t="n"/>
      <c r="G125" s="45" t="n"/>
      <c r="H125" s="45" t="n"/>
      <c r="I125" s="46" t="n"/>
      <c r="J125" s="46" t="n"/>
      <c r="K125" s="46" t="n"/>
      <c r="L125" s="46" t="n"/>
    </row>
    <row r="126" ht="20.25" customHeight="1" s="444">
      <c r="E126" s="45" t="inlineStr">
        <is>
          <t>A12</t>
        </is>
      </c>
      <c r="F126" s="45" t="n"/>
      <c r="G126" s="45" t="n"/>
      <c r="H126" s="45" t="n"/>
      <c r="I126" s="46" t="n"/>
      <c r="J126" s="46" t="n"/>
      <c r="K126" s="46" t="n"/>
      <c r="L126" s="46" t="n"/>
    </row>
    <row r="127" ht="20.25" customHeight="1" s="444">
      <c r="E127" s="45" t="inlineStr">
        <is>
          <t>A13</t>
        </is>
      </c>
      <c r="F127" s="45" t="n"/>
      <c r="G127" s="45" t="n"/>
      <c r="H127" s="45" t="n"/>
      <c r="I127" s="46" t="n"/>
      <c r="J127" s="46" t="n"/>
      <c r="K127" s="46" t="n"/>
      <c r="L127" s="46" t="n"/>
    </row>
    <row r="128" ht="20.25" customHeight="1" s="444">
      <c r="E128" s="45" t="inlineStr">
        <is>
          <t>A14</t>
        </is>
      </c>
      <c r="F128" s="45" t="n"/>
      <c r="G128" s="45" t="n"/>
      <c r="H128" s="45" t="n"/>
      <c r="I128" s="46" t="n"/>
      <c r="J128" s="46" t="n"/>
      <c r="K128" s="46" t="n"/>
      <c r="L128" s="46" t="n"/>
    </row>
    <row r="129" ht="20.25" customHeight="1" s="444">
      <c r="E129" s="45" t="inlineStr">
        <is>
          <t>A15</t>
        </is>
      </c>
      <c r="F129" s="45" t="n"/>
      <c r="G129" s="45" t="n"/>
      <c r="H129" s="45" t="n"/>
      <c r="I129" s="46" t="n"/>
      <c r="J129" s="46" t="n"/>
      <c r="K129" s="46" t="n"/>
      <c r="L129" s="46" t="n"/>
    </row>
    <row r="130" ht="20.25" customHeight="1" s="444">
      <c r="E130" s="45" t="inlineStr">
        <is>
          <t>A16</t>
        </is>
      </c>
      <c r="F130" s="45" t="n"/>
      <c r="G130" s="45" t="n"/>
      <c r="H130" s="45" t="n"/>
      <c r="I130" s="46" t="n"/>
      <c r="J130" s="46" t="n"/>
      <c r="K130" s="46" t="n"/>
      <c r="L130" s="46" t="n"/>
    </row>
    <row r="131" ht="20.25" customHeight="1" s="444">
      <c r="E131" s="45" t="inlineStr">
        <is>
          <t>A17</t>
        </is>
      </c>
      <c r="F131" s="45" t="n"/>
      <c r="G131" s="45" t="n"/>
      <c r="H131" s="45" t="n"/>
      <c r="I131" s="46" t="n"/>
      <c r="J131" s="46" t="n"/>
      <c r="K131" s="46" t="n"/>
      <c r="L131" s="46" t="n"/>
    </row>
    <row r="132" ht="20.25" customHeight="1" s="444">
      <c r="E132" s="45" t="inlineStr">
        <is>
          <t>A18</t>
        </is>
      </c>
      <c r="F132" s="45" t="n"/>
      <c r="G132" s="45" t="n"/>
      <c r="H132" s="45" t="n"/>
      <c r="I132" s="46" t="n"/>
      <c r="J132" s="46" t="n"/>
      <c r="K132" s="46" t="n"/>
      <c r="L132" s="46" t="n"/>
    </row>
    <row r="133" ht="20.25" customHeight="1" s="444">
      <c r="E133" s="45" t="inlineStr">
        <is>
          <t>A19</t>
        </is>
      </c>
      <c r="F133" s="45" t="n"/>
      <c r="G133" s="45" t="n"/>
      <c r="H133" s="45" t="n"/>
      <c r="I133" s="46" t="n"/>
      <c r="J133" s="46" t="n"/>
      <c r="K133" s="46" t="n"/>
      <c r="L133" s="46" t="n"/>
    </row>
    <row r="134" ht="20.25" customHeight="1" s="444">
      <c r="E134" s="45" t="inlineStr">
        <is>
          <t>A20</t>
        </is>
      </c>
      <c r="F134" s="45" t="n"/>
      <c r="G134" s="45" t="n"/>
      <c r="H134" s="45" t="n"/>
      <c r="I134" s="46" t="n"/>
      <c r="J134" s="46" t="n"/>
      <c r="K134" s="46" t="n"/>
      <c r="L134" s="46" t="n"/>
    </row>
    <row r="135" ht="20.25" customHeight="1" s="444">
      <c r="E135" s="45" t="inlineStr">
        <is>
          <t>A21</t>
        </is>
      </c>
      <c r="F135" s="45" t="n"/>
      <c r="G135" s="45" t="n"/>
      <c r="H135" s="45" t="n"/>
      <c r="I135" s="46" t="n"/>
      <c r="J135" s="46" t="n"/>
      <c r="K135" s="46" t="n"/>
      <c r="L135" s="46" t="n"/>
    </row>
    <row r="136" ht="20.25" customHeight="1" s="444">
      <c r="E136" s="45" t="inlineStr">
        <is>
          <t>A22</t>
        </is>
      </c>
      <c r="F136" s="45" t="n"/>
      <c r="G136" s="45" t="n"/>
      <c r="H136" s="45" t="n"/>
      <c r="I136" s="46" t="n"/>
      <c r="J136" s="46" t="n"/>
      <c r="K136" s="46" t="n"/>
      <c r="L136" s="46" t="n"/>
    </row>
    <row r="137" ht="20.25" customHeight="1" s="444">
      <c r="E137" s="45" t="inlineStr">
        <is>
          <t>A23</t>
        </is>
      </c>
      <c r="F137" s="45" t="n"/>
      <c r="G137" s="45" t="n"/>
      <c r="H137" s="45" t="n"/>
      <c r="I137" s="46" t="n"/>
      <c r="J137" s="46" t="n"/>
      <c r="K137" s="46" t="n"/>
      <c r="L137" s="46" t="n"/>
    </row>
    <row r="138" ht="20.25" customHeight="1" s="444">
      <c r="E138" s="45" t="inlineStr">
        <is>
          <t>A24</t>
        </is>
      </c>
      <c r="F138" s="45" t="n"/>
      <c r="G138" s="45" t="n"/>
      <c r="H138" s="45" t="n"/>
      <c r="I138" s="46" t="n"/>
      <c r="J138" s="46" t="n"/>
      <c r="K138" s="46" t="n"/>
      <c r="L138" s="46" t="n"/>
    </row>
    <row r="139" ht="20.25" customHeight="1" s="444">
      <c r="E139" s="45" t="inlineStr">
        <is>
          <t>A25</t>
        </is>
      </c>
      <c r="F139" s="45" t="n"/>
      <c r="G139" s="45" t="n"/>
      <c r="H139" s="45" t="n"/>
      <c r="I139" s="46" t="n"/>
      <c r="J139" s="46" t="n"/>
      <c r="K139" s="46" t="n"/>
      <c r="L139" s="46" t="n"/>
    </row>
    <row r="140" ht="20.25" customHeight="1" s="444">
      <c r="E140" s="45" t="inlineStr">
        <is>
          <t>A26</t>
        </is>
      </c>
      <c r="F140" s="45" t="n"/>
      <c r="G140" s="45" t="n"/>
      <c r="H140" s="45" t="n"/>
      <c r="I140" s="46" t="n"/>
      <c r="J140" s="46" t="n"/>
      <c r="K140" s="46" t="n"/>
      <c r="L140" s="46" t="n"/>
    </row>
    <row r="141" ht="20.25" customHeight="1" s="444">
      <c r="E141" s="45" t="inlineStr">
        <is>
          <t>A27</t>
        </is>
      </c>
      <c r="F141" s="45" t="n"/>
      <c r="G141" s="45" t="n"/>
      <c r="H141" s="45" t="n"/>
      <c r="I141" s="46" t="n"/>
      <c r="J141" s="46" t="n"/>
      <c r="K141" s="46" t="n"/>
      <c r="L141" s="46" t="n"/>
    </row>
    <row r="142" ht="20.25" customHeight="1" s="444">
      <c r="E142" s="45" t="inlineStr">
        <is>
          <t>A28</t>
        </is>
      </c>
      <c r="F142" s="45" t="n"/>
      <c r="G142" s="45" t="n"/>
      <c r="H142" s="45" t="n"/>
      <c r="I142" s="46" t="n"/>
      <c r="J142" s="46" t="n"/>
      <c r="K142" s="46" t="n"/>
      <c r="L142" s="46" t="n"/>
    </row>
    <row r="143" ht="20.25" customHeight="1" s="444">
      <c r="E143" s="45" t="inlineStr">
        <is>
          <t>A29</t>
        </is>
      </c>
      <c r="F143" s="45" t="n"/>
      <c r="G143" s="45" t="n"/>
      <c r="H143" s="45" t="n"/>
      <c r="I143" s="46" t="n"/>
      <c r="J143" s="46" t="n"/>
      <c r="K143" s="46" t="n"/>
      <c r="L143" s="46" t="n"/>
    </row>
    <row r="144" ht="20.25" customHeight="1" s="444">
      <c r="E144" s="45" t="inlineStr">
        <is>
          <t>A30</t>
        </is>
      </c>
      <c r="F144" s="45" t="n"/>
      <c r="G144" s="45" t="n"/>
      <c r="H144" s="45" t="n"/>
      <c r="I144" s="46" t="n"/>
      <c r="J144" s="46" t="n"/>
      <c r="K144" s="46" t="n"/>
      <c r="L144" s="46" t="n"/>
    </row>
    <row r="145" ht="20.25" customHeight="1" s="444">
      <c r="E145" s="45" t="inlineStr">
        <is>
          <t>A31</t>
        </is>
      </c>
      <c r="F145" s="45" t="n"/>
      <c r="G145" s="45" t="n"/>
      <c r="H145" s="45" t="n"/>
      <c r="I145" s="46" t="n"/>
      <c r="J145" s="46" t="n"/>
      <c r="K145" s="46" t="n"/>
      <c r="L145" s="46" t="n"/>
    </row>
    <row r="146" ht="20.25" customHeight="1" s="444">
      <c r="E146" s="45" t="inlineStr">
        <is>
          <t>A32</t>
        </is>
      </c>
      <c r="F146" s="45" t="n"/>
      <c r="G146" s="45" t="n"/>
      <c r="H146" s="45" t="n"/>
      <c r="I146" s="46" t="n"/>
      <c r="J146" s="46" t="n"/>
      <c r="K146" s="46" t="n"/>
      <c r="L146" s="46" t="n"/>
    </row>
    <row r="147" ht="20.25" customHeight="1" s="444">
      <c r="E147" s="45" t="inlineStr">
        <is>
          <t>A33</t>
        </is>
      </c>
      <c r="F147" s="45" t="n"/>
      <c r="G147" s="45" t="n"/>
      <c r="H147" s="45" t="n"/>
      <c r="I147" s="46" t="n"/>
      <c r="J147" s="46" t="n"/>
      <c r="K147" s="46" t="n"/>
      <c r="L147" s="46" t="n"/>
    </row>
    <row r="148" ht="20.25" customHeight="1" s="444">
      <c r="E148" s="45" t="inlineStr">
        <is>
          <t>A34</t>
        </is>
      </c>
      <c r="F148" s="45" t="n"/>
      <c r="G148" s="45" t="n"/>
      <c r="H148" s="45" t="n"/>
      <c r="I148" s="46" t="n"/>
      <c r="J148" s="46" t="n"/>
      <c r="K148" s="46" t="n"/>
      <c r="L148" s="46" t="n"/>
    </row>
    <row r="149" ht="20.25" customHeight="1" s="444">
      <c r="E149" s="45" t="inlineStr">
        <is>
          <t>A35</t>
        </is>
      </c>
      <c r="F149" s="45" t="n"/>
      <c r="G149" s="45" t="n"/>
      <c r="H149" s="45" t="n"/>
      <c r="I149" s="46" t="n"/>
      <c r="J149" s="46" t="n"/>
      <c r="K149" s="46" t="n"/>
      <c r="L149" s="46" t="n"/>
    </row>
    <row r="150" ht="20.25" customHeight="1" s="444">
      <c r="E150" s="45" t="inlineStr">
        <is>
          <t>A36</t>
        </is>
      </c>
      <c r="F150" s="45" t="n"/>
      <c r="G150" s="45" t="n"/>
      <c r="H150" s="45" t="n"/>
      <c r="I150" s="46" t="n"/>
      <c r="J150" s="46" t="n"/>
      <c r="K150" s="46" t="n"/>
      <c r="L150" s="46" t="n"/>
    </row>
    <row r="151" ht="20.25" customHeight="1" s="444">
      <c r="E151" s="45" t="inlineStr">
        <is>
          <t>A37</t>
        </is>
      </c>
      <c r="F151" s="45" t="n"/>
      <c r="G151" s="45" t="n"/>
      <c r="H151" s="45" t="n"/>
      <c r="I151" s="46" t="n"/>
      <c r="J151" s="46" t="n"/>
      <c r="K151" s="46" t="n"/>
      <c r="L151" s="46" t="n"/>
    </row>
    <row r="152" ht="20.25" customHeight="1" s="444">
      <c r="E152" s="45" t="inlineStr">
        <is>
          <t>A38</t>
        </is>
      </c>
      <c r="F152" s="45" t="n"/>
      <c r="G152" s="45" t="n"/>
      <c r="H152" s="45" t="n"/>
      <c r="I152" s="46" t="n"/>
      <c r="J152" s="46" t="n"/>
      <c r="K152" s="46" t="n"/>
      <c r="L152" s="46" t="n"/>
    </row>
    <row r="153" ht="20.25" customHeight="1" s="444">
      <c r="E153" s="45" t="inlineStr">
        <is>
          <t>A39</t>
        </is>
      </c>
      <c r="F153" s="45" t="n"/>
      <c r="G153" s="45" t="n"/>
      <c r="H153" s="45" t="n"/>
      <c r="I153" s="46" t="n"/>
      <c r="J153" s="46" t="n"/>
      <c r="K153" s="46" t="n"/>
      <c r="L153" s="46" t="n"/>
    </row>
    <row r="154" ht="20.25" customHeight="1" s="444">
      <c r="E154" s="45" t="inlineStr">
        <is>
          <t>A40</t>
        </is>
      </c>
      <c r="F154" s="45" t="n"/>
      <c r="G154" s="45" t="n"/>
      <c r="H154" s="45" t="n"/>
      <c r="I154" s="46" t="n"/>
      <c r="J154" s="46" t="n"/>
      <c r="K154" s="46" t="n"/>
      <c r="L154" s="46" t="n"/>
    </row>
    <row r="155" ht="20.25" customHeight="1" s="444">
      <c r="E155" s="45" t="inlineStr">
        <is>
          <t>A41</t>
        </is>
      </c>
      <c r="F155" s="45" t="n"/>
      <c r="G155" s="45" t="n"/>
      <c r="H155" s="45" t="n"/>
      <c r="I155" s="46" t="n"/>
      <c r="J155" s="46" t="n"/>
      <c r="K155" s="46" t="n"/>
      <c r="L155" s="46" t="n"/>
    </row>
    <row r="156" ht="20.25" customHeight="1" s="444">
      <c r="E156" s="45" t="inlineStr">
        <is>
          <t>A42</t>
        </is>
      </c>
      <c r="F156" s="45" t="n"/>
      <c r="G156" s="45" t="n"/>
      <c r="H156" s="45" t="n"/>
      <c r="I156" s="46" t="n"/>
      <c r="J156" s="46" t="n"/>
      <c r="K156" s="46" t="n"/>
      <c r="L156" s="46" t="n"/>
    </row>
    <row r="157" ht="20.25" customHeight="1" s="444">
      <c r="E157" s="45" t="inlineStr">
        <is>
          <t>A43</t>
        </is>
      </c>
      <c r="F157" s="45" t="n"/>
      <c r="G157" s="45" t="n"/>
      <c r="H157" s="45" t="n"/>
      <c r="I157" s="46" t="n"/>
      <c r="J157" s="46" t="n"/>
      <c r="K157" s="46" t="n"/>
      <c r="L157" s="46" t="n"/>
    </row>
    <row r="158" ht="20.25" customHeight="1" s="444">
      <c r="E158" s="45" t="inlineStr">
        <is>
          <t>A44</t>
        </is>
      </c>
      <c r="F158" s="45" t="n"/>
      <c r="G158" s="45" t="n"/>
      <c r="H158" s="45" t="n"/>
      <c r="I158" s="46" t="n"/>
      <c r="J158" s="46" t="n"/>
      <c r="K158" s="46" t="n"/>
      <c r="L158" s="46" t="n"/>
    </row>
    <row r="159" ht="20.25" customHeight="1" s="444">
      <c r="E159" s="45" t="inlineStr">
        <is>
          <t>A45</t>
        </is>
      </c>
      <c r="F159" s="45" t="n"/>
      <c r="G159" s="45" t="n"/>
      <c r="H159" s="45" t="n"/>
      <c r="I159" s="46" t="n"/>
      <c r="J159" s="46" t="n"/>
      <c r="K159" s="46" t="n"/>
      <c r="L159" s="46" t="n"/>
    </row>
    <row r="160" ht="20.25" customHeight="1" s="444">
      <c r="E160" s="45" t="inlineStr">
        <is>
          <t>A46</t>
        </is>
      </c>
      <c r="F160" s="45" t="n"/>
      <c r="G160" s="45" t="n"/>
      <c r="H160" s="45" t="n"/>
      <c r="I160" s="46" t="n"/>
      <c r="J160" s="46" t="n"/>
      <c r="K160" s="46" t="n"/>
      <c r="L160" s="46" t="n"/>
    </row>
    <row r="161" ht="20.25" customHeight="1" s="444">
      <c r="E161" s="45" t="inlineStr">
        <is>
          <t>A47</t>
        </is>
      </c>
      <c r="F161" s="45" t="n"/>
      <c r="G161" s="45" t="n"/>
      <c r="H161" s="45" t="n"/>
      <c r="I161" s="46" t="n"/>
      <c r="J161" s="46" t="n"/>
      <c r="K161" s="46" t="n"/>
      <c r="L161" s="46" t="n"/>
    </row>
    <row r="162" ht="20.25" customHeight="1" s="444">
      <c r="E162" s="45" t="inlineStr">
        <is>
          <t>A48</t>
        </is>
      </c>
      <c r="F162" s="45" t="n"/>
      <c r="G162" s="45" t="n"/>
      <c r="H162" s="45" t="n"/>
      <c r="I162" s="46" t="n"/>
      <c r="J162" s="46" t="n"/>
      <c r="K162" s="46" t="n"/>
      <c r="L162" s="46" t="n"/>
    </row>
    <row r="163" ht="20.25" customHeight="1" s="444">
      <c r="E163" s="45" t="inlineStr">
        <is>
          <t>A49</t>
        </is>
      </c>
      <c r="F163" s="45" t="n"/>
      <c r="G163" s="45" t="n"/>
      <c r="H163" s="45" t="n"/>
      <c r="I163" s="46" t="n"/>
      <c r="J163" s="46" t="n"/>
      <c r="K163" s="46" t="n"/>
      <c r="L163" s="46" t="n"/>
    </row>
    <row r="164" ht="20.25" customHeight="1" s="444">
      <c r="E164" s="45" t="inlineStr">
        <is>
          <t>A50</t>
        </is>
      </c>
      <c r="F164" s="45" t="n"/>
      <c r="G164" s="45" t="n"/>
      <c r="H164" s="45" t="n"/>
      <c r="I164" s="46" t="n"/>
      <c r="J164" s="46" t="n"/>
      <c r="K164" s="46" t="n"/>
      <c r="L164" s="46" t="n"/>
    </row>
    <row r="165" ht="20.25" customHeight="1" s="444">
      <c r="E165" s="45" t="inlineStr">
        <is>
          <t>A51</t>
        </is>
      </c>
      <c r="F165" s="45" t="n"/>
      <c r="G165" s="45" t="n"/>
      <c r="H165" s="45" t="n"/>
      <c r="I165" s="46" t="n"/>
      <c r="J165" s="46" t="n"/>
      <c r="K165" s="46" t="n"/>
      <c r="L165" s="46" t="n"/>
    </row>
    <row r="166" ht="20.25" customHeight="1" s="444">
      <c r="E166" s="45" t="inlineStr">
        <is>
          <t>A52</t>
        </is>
      </c>
      <c r="F166" s="45" t="n"/>
      <c r="G166" s="45" t="n"/>
      <c r="H166" s="45" t="n"/>
      <c r="I166" s="46" t="n"/>
      <c r="J166" s="46" t="n"/>
      <c r="K166" s="46" t="n"/>
      <c r="L166" s="46" t="n"/>
    </row>
    <row r="167" ht="20.25" customHeight="1" s="444">
      <c r="E167" s="45" t="inlineStr">
        <is>
          <t>A53</t>
        </is>
      </c>
      <c r="F167" s="45" t="n"/>
      <c r="G167" s="45" t="n"/>
      <c r="H167" s="45" t="n"/>
      <c r="I167" s="46" t="n"/>
      <c r="J167" s="46" t="n"/>
      <c r="K167" s="46" t="n"/>
      <c r="L167" s="46" t="n"/>
    </row>
    <row r="168" ht="20.25" customHeight="1" s="444">
      <c r="E168" s="45" t="inlineStr">
        <is>
          <t>A54</t>
        </is>
      </c>
      <c r="F168" s="45" t="n"/>
      <c r="G168" s="45" t="n"/>
      <c r="H168" s="45" t="n"/>
      <c r="I168" s="46" t="n"/>
      <c r="J168" s="46" t="n"/>
      <c r="K168" s="46" t="n"/>
      <c r="L168" s="46" t="n"/>
    </row>
    <row r="169" ht="20.25" customHeight="1" s="444">
      <c r="E169" s="45" t="inlineStr">
        <is>
          <t>A55</t>
        </is>
      </c>
      <c r="F169" s="45" t="n"/>
      <c r="G169" s="45" t="n"/>
      <c r="H169" s="45" t="n"/>
      <c r="I169" s="46" t="n"/>
      <c r="J169" s="46" t="n"/>
      <c r="K169" s="46" t="n"/>
      <c r="L169" s="46" t="n"/>
    </row>
    <row r="170" ht="20.25" customHeight="1" s="444">
      <c r="E170" s="45" t="inlineStr">
        <is>
          <t>A56</t>
        </is>
      </c>
      <c r="F170" s="45" t="n"/>
      <c r="G170" s="45" t="n"/>
      <c r="H170" s="45" t="n"/>
      <c r="I170" s="46" t="n"/>
      <c r="J170" s="46" t="n"/>
      <c r="K170" s="46" t="n"/>
      <c r="L170" s="46" t="n"/>
    </row>
    <row r="171" ht="20.25" customHeight="1" s="444">
      <c r="E171" s="45" t="inlineStr">
        <is>
          <t>A57</t>
        </is>
      </c>
      <c r="F171" s="45" t="n"/>
      <c r="G171" s="45" t="n"/>
      <c r="H171" s="45" t="n"/>
      <c r="I171" s="46" t="n"/>
      <c r="J171" s="46" t="n"/>
      <c r="K171" s="46" t="n"/>
      <c r="L171" s="46" t="n"/>
    </row>
    <row r="172" ht="20.25" customHeight="1" s="444">
      <c r="E172" s="45" t="inlineStr">
        <is>
          <t>A58</t>
        </is>
      </c>
      <c r="F172" s="45" t="n"/>
      <c r="G172" s="45" t="n"/>
      <c r="H172" s="45" t="n"/>
      <c r="I172" s="46" t="n"/>
      <c r="J172" s="46" t="n"/>
      <c r="K172" s="46" t="n"/>
      <c r="L172" s="46" t="n"/>
    </row>
    <row r="173" ht="20.25" customHeight="1" s="444">
      <c r="E173" s="45" t="inlineStr">
        <is>
          <t>A59</t>
        </is>
      </c>
      <c r="F173" s="45" t="n"/>
      <c r="G173" s="45" t="n"/>
      <c r="H173" s="45" t="n"/>
      <c r="I173" s="46" t="n"/>
      <c r="J173" s="46" t="n"/>
      <c r="K173" s="46" t="n"/>
      <c r="L173" s="46" t="n"/>
    </row>
    <row r="174" ht="20.25" customHeight="1" s="444">
      <c r="E174" s="45" t="inlineStr">
        <is>
          <t>A60</t>
        </is>
      </c>
      <c r="F174" s="45" t="n"/>
      <c r="G174" s="45" t="n"/>
      <c r="H174" s="45" t="n"/>
      <c r="I174" s="46" t="n"/>
      <c r="J174" s="46" t="n"/>
      <c r="K174" s="46" t="n"/>
      <c r="L174" s="46" t="n"/>
    </row>
    <row r="175" ht="20.25" customHeight="1" s="444">
      <c r="E175" s="45" t="inlineStr">
        <is>
          <t>A61</t>
        </is>
      </c>
      <c r="F175" s="45" t="n"/>
      <c r="G175" s="45" t="n"/>
      <c r="H175" s="45" t="n"/>
      <c r="I175" s="46" t="n"/>
      <c r="J175" s="46" t="n"/>
      <c r="K175" s="46" t="n"/>
      <c r="L175" s="46" t="n"/>
    </row>
    <row r="176" ht="20.25" customHeight="1" s="444">
      <c r="E176" s="45" t="inlineStr">
        <is>
          <t>A62</t>
        </is>
      </c>
      <c r="F176" s="45" t="n"/>
      <c r="G176" s="45" t="n"/>
      <c r="H176" s="45" t="n"/>
      <c r="I176" s="46" t="n"/>
      <c r="J176" s="46" t="n"/>
      <c r="K176" s="46" t="n"/>
      <c r="L176" s="46" t="n"/>
    </row>
    <row r="177" ht="20.25" customHeight="1" s="444">
      <c r="E177" s="45" t="inlineStr">
        <is>
          <t>A63</t>
        </is>
      </c>
      <c r="F177" s="45" t="n"/>
      <c r="G177" s="45" t="n"/>
      <c r="H177" s="45" t="n"/>
      <c r="I177" s="46" t="n"/>
      <c r="J177" s="46" t="n"/>
      <c r="K177" s="46" t="n"/>
      <c r="L177" s="46" t="n"/>
    </row>
    <row r="178" ht="20.25" customHeight="1" s="444">
      <c r="E178" s="45" t="inlineStr">
        <is>
          <t>A64</t>
        </is>
      </c>
      <c r="F178" s="45" t="n"/>
      <c r="G178" s="45" t="n"/>
      <c r="H178" s="45" t="n"/>
      <c r="I178" s="46" t="n"/>
      <c r="J178" s="46" t="n"/>
      <c r="K178" s="46" t="n"/>
      <c r="L178" s="46" t="n"/>
    </row>
    <row r="179" ht="20.25" customHeight="1" s="444">
      <c r="E179" s="45" t="inlineStr">
        <is>
          <t>A65</t>
        </is>
      </c>
      <c r="F179" s="45" t="n"/>
      <c r="G179" s="45" t="n"/>
      <c r="H179" s="45" t="n"/>
      <c r="I179" s="46" t="n"/>
      <c r="J179" s="46" t="n"/>
      <c r="K179" s="46" t="n"/>
      <c r="L179" s="46" t="n"/>
    </row>
    <row r="180" ht="20.25" customHeight="1" s="444">
      <c r="E180" s="45" t="inlineStr">
        <is>
          <t>A66</t>
        </is>
      </c>
      <c r="F180" s="45" t="n"/>
      <c r="G180" s="45" t="n"/>
      <c r="H180" s="45" t="n"/>
      <c r="I180" s="46" t="n"/>
      <c r="J180" s="46" t="n"/>
      <c r="K180" s="46" t="n"/>
      <c r="L180" s="46" t="n"/>
    </row>
    <row r="181" ht="20.25" customHeight="1" s="444">
      <c r="E181" s="45" t="inlineStr">
        <is>
          <t>A67</t>
        </is>
      </c>
      <c r="F181" s="45" t="n"/>
      <c r="G181" s="45" t="n"/>
      <c r="H181" s="45" t="n"/>
      <c r="I181" s="46" t="n"/>
      <c r="J181" s="46" t="n"/>
      <c r="K181" s="46" t="n"/>
      <c r="L181" s="46" t="n"/>
    </row>
    <row r="182" ht="20.25" customHeight="1" s="444">
      <c r="E182" s="45" t="inlineStr">
        <is>
          <t>A68</t>
        </is>
      </c>
      <c r="F182" s="45" t="n"/>
      <c r="G182" s="45" t="n"/>
      <c r="H182" s="45" t="n"/>
      <c r="I182" s="46" t="n"/>
      <c r="J182" s="46" t="n"/>
      <c r="K182" s="46" t="n"/>
      <c r="L182" s="46" t="n"/>
    </row>
    <row r="183" ht="20.25" customHeight="1" s="444">
      <c r="E183" s="45" t="inlineStr">
        <is>
          <t>A69</t>
        </is>
      </c>
      <c r="F183" s="45" t="n"/>
      <c r="G183" s="45" t="n"/>
      <c r="H183" s="45" t="n"/>
      <c r="I183" s="46" t="n"/>
      <c r="J183" s="46" t="n"/>
      <c r="K183" s="46" t="n"/>
      <c r="L183" s="46" t="n"/>
    </row>
    <row r="184" ht="20.25" customHeight="1" s="444">
      <c r="E184" s="45" t="inlineStr">
        <is>
          <t>A70</t>
        </is>
      </c>
      <c r="F184" s="45" t="n"/>
      <c r="G184" s="45" t="n"/>
      <c r="H184" s="45" t="n"/>
      <c r="I184" s="46" t="n"/>
      <c r="J184" s="46" t="n"/>
      <c r="K184" s="46" t="n"/>
      <c r="L184" s="46" t="n"/>
    </row>
    <row r="185" ht="20.25" customHeight="1" s="444">
      <c r="E185" s="45" t="inlineStr">
        <is>
          <t>A71</t>
        </is>
      </c>
      <c r="F185" s="45" t="n"/>
      <c r="G185" s="45" t="n"/>
      <c r="H185" s="45" t="n"/>
      <c r="I185" s="46" t="n"/>
      <c r="J185" s="46" t="n"/>
      <c r="K185" s="46" t="n"/>
      <c r="L185" s="46" t="n"/>
    </row>
    <row r="186" ht="20.25" customHeight="1" s="444">
      <c r="E186" s="45" t="inlineStr">
        <is>
          <t>A72</t>
        </is>
      </c>
      <c r="F186" s="45" t="n"/>
      <c r="G186" s="45" t="n"/>
      <c r="H186" s="45" t="n"/>
      <c r="I186" s="46" t="n"/>
      <c r="J186" s="46" t="n"/>
      <c r="K186" s="46" t="n"/>
      <c r="L186" s="46" t="n"/>
    </row>
    <row r="187" ht="20.25" customHeight="1" s="444">
      <c r="E187" s="45" t="inlineStr">
        <is>
          <t>A73</t>
        </is>
      </c>
      <c r="F187" s="45" t="n"/>
      <c r="G187" s="45" t="n"/>
      <c r="H187" s="45" t="n"/>
      <c r="I187" s="46" t="n"/>
      <c r="J187" s="46" t="n"/>
      <c r="K187" s="46" t="n"/>
      <c r="L187" s="46" t="n"/>
    </row>
    <row r="188" ht="20.25" customHeight="1" s="444">
      <c r="E188" s="45" t="inlineStr">
        <is>
          <t>A74</t>
        </is>
      </c>
      <c r="F188" s="45" t="n"/>
      <c r="G188" s="45" t="n"/>
      <c r="H188" s="45" t="n"/>
      <c r="I188" s="46" t="n"/>
      <c r="J188" s="46" t="n"/>
      <c r="K188" s="46" t="n"/>
      <c r="L188" s="46" t="n"/>
    </row>
    <row r="189" ht="20.25" customHeight="1" s="444">
      <c r="E189" s="45" t="inlineStr">
        <is>
          <t>A75</t>
        </is>
      </c>
      <c r="F189" s="45" t="n"/>
      <c r="G189" s="45" t="n"/>
      <c r="H189" s="45" t="n"/>
      <c r="I189" s="46" t="n"/>
      <c r="J189" s="46" t="n"/>
      <c r="K189" s="46" t="n"/>
      <c r="L189" s="46" t="n"/>
    </row>
    <row r="190" ht="20.25" customHeight="1" s="444">
      <c r="E190" s="45" t="inlineStr">
        <is>
          <t>A76</t>
        </is>
      </c>
      <c r="F190" s="45" t="n"/>
      <c r="G190" s="45" t="n"/>
      <c r="H190" s="45" t="n"/>
      <c r="I190" s="46" t="n"/>
      <c r="J190" s="46" t="n"/>
      <c r="K190" s="46" t="n"/>
      <c r="L190" s="46" t="n"/>
    </row>
    <row r="191" ht="20.25" customHeight="1" s="444">
      <c r="E191" s="45" t="inlineStr">
        <is>
          <t>A77</t>
        </is>
      </c>
      <c r="F191" s="45" t="n"/>
      <c r="G191" s="45" t="n"/>
      <c r="H191" s="45" t="n"/>
      <c r="I191" s="46" t="n"/>
      <c r="J191" s="46" t="n"/>
      <c r="K191" s="46" t="n"/>
      <c r="L191" s="46" t="n"/>
    </row>
    <row r="192" ht="20.25" customHeight="1" s="444">
      <c r="E192" s="45" t="inlineStr">
        <is>
          <t>A78</t>
        </is>
      </c>
      <c r="F192" s="45" t="n"/>
      <c r="G192" s="45" t="n"/>
      <c r="H192" s="45" t="n"/>
      <c r="I192" s="46" t="n"/>
      <c r="J192" s="46" t="n"/>
      <c r="K192" s="46" t="n"/>
      <c r="L192" s="46" t="n"/>
    </row>
    <row r="193" ht="20.25" customHeight="1" s="444">
      <c r="E193" s="45" t="inlineStr">
        <is>
          <t>A79</t>
        </is>
      </c>
      <c r="F193" s="45" t="n"/>
      <c r="G193" s="45" t="n"/>
      <c r="H193" s="45" t="n"/>
      <c r="I193" s="46" t="n"/>
      <c r="J193" s="46" t="n"/>
      <c r="K193" s="46" t="n"/>
      <c r="L193" s="46" t="n"/>
    </row>
    <row r="194" ht="20.25" customHeight="1" s="444">
      <c r="E194" s="45" t="inlineStr">
        <is>
          <t>A80</t>
        </is>
      </c>
      <c r="F194" s="45" t="n"/>
      <c r="G194" s="45" t="n"/>
      <c r="H194" s="45" t="n"/>
      <c r="I194" s="46" t="n"/>
      <c r="J194" s="46" t="n"/>
      <c r="K194" s="46" t="n"/>
      <c r="L194" s="46" t="n"/>
    </row>
    <row r="195" ht="20.25" customHeight="1" s="444">
      <c r="E195" s="45" t="inlineStr">
        <is>
          <t>A81</t>
        </is>
      </c>
      <c r="F195" s="45" t="n"/>
      <c r="G195" s="45" t="n"/>
      <c r="H195" s="45" t="n"/>
      <c r="I195" s="46" t="n"/>
      <c r="J195" s="46" t="n"/>
      <c r="K195" s="46" t="n"/>
      <c r="L195" s="46" t="n"/>
    </row>
    <row r="196" ht="20.25" customHeight="1" s="444">
      <c r="E196" s="45" t="inlineStr">
        <is>
          <t>A82</t>
        </is>
      </c>
      <c r="F196" s="45" t="n"/>
      <c r="G196" s="45" t="n"/>
      <c r="H196" s="45" t="n"/>
      <c r="I196" s="46" t="n"/>
      <c r="J196" s="46" t="n"/>
      <c r="K196" s="46" t="n"/>
      <c r="L196" s="46" t="n"/>
    </row>
    <row r="197" ht="20.25" customHeight="1" s="444">
      <c r="E197" s="45" t="inlineStr">
        <is>
          <t>A83</t>
        </is>
      </c>
      <c r="F197" s="45" t="n"/>
      <c r="G197" s="45" t="n"/>
      <c r="H197" s="45" t="n"/>
      <c r="I197" s="46" t="n"/>
      <c r="J197" s="46" t="n"/>
      <c r="K197" s="46" t="n"/>
      <c r="L197" s="46" t="n"/>
    </row>
    <row r="198" ht="20.25" customHeight="1" s="444">
      <c r="E198" s="45" t="inlineStr">
        <is>
          <t>A84</t>
        </is>
      </c>
      <c r="F198" s="45" t="n"/>
      <c r="G198" s="45" t="n"/>
      <c r="H198" s="45" t="n"/>
      <c r="I198" s="46" t="n"/>
      <c r="J198" s="46" t="n"/>
      <c r="K198" s="46" t="n"/>
      <c r="L198" s="46" t="n"/>
    </row>
    <row r="199" ht="20.25" customHeight="1" s="444">
      <c r="E199" s="45" t="inlineStr">
        <is>
          <t>A85</t>
        </is>
      </c>
      <c r="F199" s="45" t="n"/>
      <c r="G199" s="45" t="n"/>
      <c r="H199" s="45" t="n"/>
      <c r="I199" s="46" t="n"/>
      <c r="J199" s="46" t="n"/>
      <c r="K199" s="46" t="n"/>
      <c r="L199" s="46" t="n"/>
    </row>
    <row r="200" ht="20.25" customHeight="1" s="444">
      <c r="E200" s="45" t="inlineStr">
        <is>
          <t>A86</t>
        </is>
      </c>
      <c r="F200" s="45" t="n"/>
      <c r="G200" s="45" t="n"/>
      <c r="H200" s="45" t="n"/>
      <c r="I200" s="46" t="n"/>
      <c r="J200" s="46" t="n"/>
      <c r="K200" s="46" t="n"/>
      <c r="L200" s="46" t="n"/>
    </row>
    <row r="201" ht="20.25" customHeight="1" s="444">
      <c r="E201" s="45" t="inlineStr">
        <is>
          <t>A87</t>
        </is>
      </c>
      <c r="F201" s="45" t="n"/>
      <c r="G201" s="45" t="n"/>
      <c r="H201" s="45" t="n"/>
      <c r="I201" s="46" t="n"/>
      <c r="J201" s="46" t="n"/>
      <c r="K201" s="46" t="n"/>
      <c r="L201" s="46" t="n"/>
    </row>
    <row r="202" ht="20.25" customHeight="1" s="444">
      <c r="E202" s="45" t="inlineStr">
        <is>
          <t>A88</t>
        </is>
      </c>
      <c r="F202" s="45" t="n"/>
      <c r="G202" s="45" t="n"/>
      <c r="H202" s="45" t="n"/>
      <c r="I202" s="46" t="n"/>
      <c r="J202" s="46" t="n"/>
      <c r="K202" s="46" t="n"/>
      <c r="L202" s="46" t="n"/>
    </row>
    <row r="203" ht="20.25" customHeight="1" s="444">
      <c r="E203" s="45" t="inlineStr">
        <is>
          <t>A89</t>
        </is>
      </c>
      <c r="F203" s="45" t="n"/>
      <c r="G203" s="45" t="n"/>
      <c r="H203" s="45" t="n"/>
      <c r="I203" s="46" t="n"/>
      <c r="J203" s="46" t="n"/>
      <c r="K203" s="46" t="n"/>
      <c r="L203" s="46" t="n"/>
    </row>
    <row r="204" ht="20.25" customHeight="1" s="444">
      <c r="E204" s="45" t="inlineStr">
        <is>
          <t>A90</t>
        </is>
      </c>
      <c r="F204" s="45" t="n"/>
      <c r="G204" s="45" t="n"/>
      <c r="H204" s="45" t="n"/>
      <c r="I204" s="46" t="n"/>
      <c r="J204" s="46" t="n"/>
      <c r="K204" s="46" t="n"/>
      <c r="L204" s="46" t="n"/>
    </row>
    <row r="205" ht="20.25" customHeight="1" s="444">
      <c r="E205" s="45" t="inlineStr">
        <is>
          <t>A91</t>
        </is>
      </c>
      <c r="F205" s="45" t="n"/>
      <c r="G205" s="45" t="n"/>
      <c r="H205" s="45" t="n"/>
      <c r="I205" s="46" t="n"/>
      <c r="J205" s="46" t="n"/>
      <c r="K205" s="46" t="n"/>
      <c r="L205" s="46" t="n"/>
    </row>
    <row r="206" ht="20.25" customHeight="1" s="444">
      <c r="E206" s="45" t="inlineStr">
        <is>
          <t>A92</t>
        </is>
      </c>
      <c r="F206" s="45" t="n"/>
      <c r="G206" s="45" t="n"/>
      <c r="H206" s="45" t="n"/>
      <c r="I206" s="46" t="n"/>
      <c r="J206" s="46" t="n"/>
      <c r="K206" s="46" t="n"/>
      <c r="L206" s="46" t="n"/>
    </row>
    <row r="207" ht="20.25" customHeight="1" s="444">
      <c r="E207" s="45" t="inlineStr">
        <is>
          <t>A93</t>
        </is>
      </c>
      <c r="F207" s="45" t="n"/>
      <c r="G207" s="45" t="n"/>
      <c r="H207" s="45" t="n"/>
      <c r="I207" s="46" t="n"/>
      <c r="J207" s="46" t="n"/>
      <c r="K207" s="46" t="n"/>
      <c r="L207" s="46" t="n"/>
    </row>
    <row r="208" ht="20.25" customHeight="1" s="444">
      <c r="E208" s="45" t="inlineStr">
        <is>
          <t>A94</t>
        </is>
      </c>
      <c r="F208" s="45" t="n"/>
      <c r="G208" s="45" t="n"/>
      <c r="H208" s="45" t="n"/>
      <c r="I208" s="46" t="n"/>
      <c r="J208" s="46" t="n"/>
      <c r="K208" s="46" t="n"/>
      <c r="L208" s="46" t="n"/>
    </row>
    <row r="209" ht="20.25" customHeight="1" s="444">
      <c r="E209" s="45" t="inlineStr">
        <is>
          <t>A95</t>
        </is>
      </c>
      <c r="F209" s="45" t="n"/>
      <c r="G209" s="45" t="n"/>
      <c r="H209" s="45" t="n"/>
      <c r="I209" s="46" t="n"/>
      <c r="J209" s="46" t="n"/>
      <c r="K209" s="46" t="n"/>
      <c r="L209" s="46" t="n"/>
    </row>
    <row r="210" ht="20.25" customHeight="1" s="444">
      <c r="E210" s="45" t="inlineStr">
        <is>
          <t>A96</t>
        </is>
      </c>
      <c r="F210" s="45" t="n"/>
      <c r="G210" s="45" t="n"/>
      <c r="H210" s="45" t="n"/>
      <c r="I210" s="46" t="n"/>
      <c r="J210" s="46" t="n"/>
      <c r="K210" s="46" t="n"/>
      <c r="L210" s="46" t="n"/>
    </row>
    <row r="211" ht="20.25" customHeight="1" s="444">
      <c r="E211" s="45" t="inlineStr">
        <is>
          <t>A97</t>
        </is>
      </c>
      <c r="F211" s="45" t="n"/>
      <c r="G211" s="45" t="n"/>
      <c r="H211" s="45" t="n"/>
      <c r="I211" s="46" t="n"/>
      <c r="J211" s="46" t="n"/>
      <c r="K211" s="46" t="n"/>
      <c r="L211" s="46" t="n"/>
    </row>
    <row r="212" ht="20.25" customHeight="1" s="444">
      <c r="E212" s="45" t="inlineStr">
        <is>
          <t>A98</t>
        </is>
      </c>
      <c r="F212" s="45" t="n"/>
      <c r="G212" s="45" t="n"/>
      <c r="H212" s="45" t="n"/>
      <c r="I212" s="46" t="n"/>
      <c r="J212" s="46" t="n"/>
      <c r="K212" s="46" t="n"/>
      <c r="L212" s="46" t="n"/>
    </row>
    <row r="213" ht="20.25" customHeight="1" s="444">
      <c r="E213" s="45" t="inlineStr">
        <is>
          <t>A99</t>
        </is>
      </c>
      <c r="F213" s="45" t="n"/>
      <c r="G213" s="45" t="n"/>
      <c r="H213" s="45" t="n"/>
      <c r="I213" s="46" t="n"/>
      <c r="J213" s="46" t="n"/>
      <c r="K213" s="46" t="n"/>
      <c r="L213" s="46" t="n"/>
    </row>
    <row r="214" ht="20.25" customHeight="1" s="444">
      <c r="E214" s="45" t="inlineStr">
        <is>
          <t>A100</t>
        </is>
      </c>
      <c r="F214" s="45" t="n"/>
      <c r="G214" s="45" t="n"/>
      <c r="H214" s="45" t="n"/>
      <c r="I214" s="46" t="n"/>
      <c r="J214" s="46" t="n"/>
      <c r="K214" s="46" t="n"/>
      <c r="L214" s="46" t="n"/>
    </row>
    <row r="215" ht="20.25" customHeight="1" s="444">
      <c r="E215" s="45" t="inlineStr">
        <is>
          <t>A101</t>
        </is>
      </c>
      <c r="F215" s="45" t="n"/>
      <c r="G215" s="45" t="n"/>
      <c r="H215" s="45" t="n"/>
      <c r="I215" s="46" t="n"/>
      <c r="J215" s="46" t="n"/>
      <c r="K215" s="46" t="n"/>
      <c r="L215" s="46" t="n"/>
    </row>
    <row r="216" ht="20.25" customHeight="1" s="444">
      <c r="E216" s="45" t="inlineStr">
        <is>
          <t>A102</t>
        </is>
      </c>
      <c r="F216" s="45" t="n"/>
      <c r="G216" s="45" t="n"/>
      <c r="H216" s="45" t="n"/>
      <c r="I216" s="46" t="n"/>
      <c r="J216" s="46" t="n"/>
      <c r="K216" s="46" t="n"/>
      <c r="L216" s="46" t="n"/>
    </row>
    <row r="217" ht="20.25" customHeight="1" s="444">
      <c r="E217" s="45" t="inlineStr">
        <is>
          <t>A103</t>
        </is>
      </c>
      <c r="F217" s="45" t="n"/>
      <c r="G217" s="45" t="n"/>
      <c r="H217" s="45" t="n"/>
      <c r="I217" s="46" t="n"/>
      <c r="J217" s="46" t="n"/>
      <c r="K217" s="46" t="n"/>
      <c r="L217" s="46" t="n"/>
    </row>
    <row r="218" ht="20.25" customHeight="1" s="444">
      <c r="E218" s="45" t="inlineStr">
        <is>
          <t>A104</t>
        </is>
      </c>
      <c r="F218" s="45" t="n"/>
      <c r="G218" s="45" t="n"/>
      <c r="H218" s="45" t="n"/>
      <c r="I218" s="46" t="n"/>
      <c r="J218" s="46" t="n"/>
      <c r="K218" s="46" t="n"/>
      <c r="L218" s="46" t="n"/>
    </row>
    <row r="219" ht="20.25" customHeight="1" s="444">
      <c r="E219" s="45" t="inlineStr">
        <is>
          <t>A105</t>
        </is>
      </c>
      <c r="F219" s="45" t="n"/>
      <c r="G219" s="45" t="n"/>
      <c r="H219" s="45" t="n"/>
      <c r="I219" s="46" t="n"/>
      <c r="J219" s="46" t="n"/>
      <c r="K219" s="46" t="n"/>
      <c r="L219" s="46" t="n"/>
    </row>
    <row r="220" ht="20.25" customHeight="1" s="444">
      <c r="E220" s="45" t="inlineStr">
        <is>
          <t>A106</t>
        </is>
      </c>
      <c r="F220" s="45" t="n"/>
      <c r="G220" s="45" t="n"/>
      <c r="H220" s="45" t="n"/>
      <c r="I220" s="46" t="n"/>
      <c r="J220" s="46" t="n"/>
      <c r="K220" s="46" t="n"/>
      <c r="L220" s="46" t="n"/>
    </row>
    <row r="221" ht="20.25" customHeight="1" s="444">
      <c r="E221" s="45" t="inlineStr">
        <is>
          <t>A107</t>
        </is>
      </c>
      <c r="F221" s="45" t="n"/>
      <c r="G221" s="45" t="n"/>
      <c r="H221" s="45" t="n"/>
      <c r="I221" s="46" t="n"/>
      <c r="J221" s="46" t="n"/>
      <c r="K221" s="46" t="n"/>
      <c r="L221" s="46" t="n"/>
    </row>
    <row r="222" ht="20.25" customHeight="1" s="444">
      <c r="E222" s="45" t="inlineStr">
        <is>
          <t>A108</t>
        </is>
      </c>
      <c r="F222" s="45" t="n"/>
      <c r="G222" s="45" t="n"/>
      <c r="H222" s="45" t="n"/>
      <c r="I222" s="46" t="n"/>
      <c r="J222" s="46" t="n"/>
      <c r="K222" s="46" t="n"/>
      <c r="L222" s="46" t="n"/>
    </row>
    <row r="223" ht="20.25" customHeight="1" s="444">
      <c r="E223" s="45" t="inlineStr">
        <is>
          <t>A109</t>
        </is>
      </c>
      <c r="F223" s="45" t="n"/>
      <c r="G223" s="45" t="n"/>
      <c r="H223" s="45" t="n"/>
      <c r="I223" s="46" t="n"/>
      <c r="J223" s="46" t="n"/>
      <c r="K223" s="46" t="n"/>
      <c r="L223" s="46" t="n"/>
    </row>
    <row r="224" ht="20.25" customHeight="1" s="444">
      <c r="E224" s="45" t="inlineStr">
        <is>
          <t>A110</t>
        </is>
      </c>
      <c r="F224" s="45" t="n"/>
      <c r="G224" s="45" t="n"/>
      <c r="H224" s="45" t="n"/>
      <c r="I224" s="46" t="n"/>
      <c r="J224" s="46" t="n"/>
      <c r="K224" s="46" t="n"/>
      <c r="L224" s="46" t="n"/>
    </row>
    <row r="225" ht="20.25" customHeight="1" s="444">
      <c r="E225" s="45" t="inlineStr">
        <is>
          <t>A111</t>
        </is>
      </c>
      <c r="F225" s="45" t="n"/>
      <c r="G225" s="45" t="n"/>
      <c r="H225" s="45" t="n"/>
      <c r="I225" s="46" t="n"/>
      <c r="J225" s="46" t="n"/>
      <c r="K225" s="46" t="n"/>
      <c r="L225" s="46" t="n"/>
    </row>
    <row r="226" ht="20.25" customHeight="1" s="444">
      <c r="E226" s="45" t="inlineStr">
        <is>
          <t>A112</t>
        </is>
      </c>
      <c r="F226" s="45" t="n"/>
      <c r="G226" s="45" t="n"/>
      <c r="H226" s="45" t="n"/>
      <c r="I226" s="46" t="n"/>
      <c r="J226" s="46" t="n"/>
      <c r="K226" s="46" t="n"/>
      <c r="L226" s="46" t="n"/>
    </row>
    <row r="227" ht="20.25" customHeight="1" s="444">
      <c r="E227" s="45" t="inlineStr">
        <is>
          <t>A113</t>
        </is>
      </c>
      <c r="F227" s="45" t="n"/>
      <c r="G227" s="45" t="n"/>
      <c r="H227" s="45" t="n"/>
      <c r="I227" s="46" t="n"/>
      <c r="J227" s="46" t="n"/>
      <c r="K227" s="46" t="n"/>
      <c r="L227" s="46" t="n"/>
    </row>
    <row r="228" ht="20.25" customHeight="1" s="444">
      <c r="E228" s="45" t="inlineStr">
        <is>
          <t>A114</t>
        </is>
      </c>
      <c r="F228" s="45" t="n"/>
      <c r="G228" s="45" t="n"/>
      <c r="H228" s="45" t="n"/>
      <c r="I228" s="46" t="n"/>
      <c r="J228" s="46" t="n"/>
      <c r="K228" s="46" t="n"/>
      <c r="L228" s="46" t="n"/>
    </row>
    <row r="229" ht="20.25" customHeight="1" s="444">
      <c r="E229" s="45" t="inlineStr">
        <is>
          <t>A115</t>
        </is>
      </c>
      <c r="F229" s="45" t="n"/>
      <c r="G229" s="45" t="n"/>
      <c r="H229" s="45" t="n"/>
      <c r="I229" s="46" t="n"/>
      <c r="J229" s="46" t="n"/>
      <c r="K229" s="46" t="n"/>
      <c r="L229" s="46" t="n"/>
    </row>
    <row r="230" ht="20.25" customHeight="1" s="444">
      <c r="E230" s="45" t="inlineStr">
        <is>
          <t>A116</t>
        </is>
      </c>
      <c r="F230" s="45" t="n"/>
      <c r="G230" s="45" t="n"/>
      <c r="H230" s="45" t="n"/>
      <c r="I230" s="46" t="n"/>
      <c r="J230" s="46" t="n"/>
      <c r="K230" s="46" t="n"/>
      <c r="L230" s="46" t="n"/>
    </row>
    <row r="231" ht="20.25" customHeight="1" s="444">
      <c r="E231" s="45" t="inlineStr">
        <is>
          <t>A117</t>
        </is>
      </c>
      <c r="F231" s="45" t="n"/>
      <c r="G231" s="45" t="n"/>
      <c r="H231" s="45" t="n"/>
      <c r="I231" s="46" t="n"/>
      <c r="J231" s="46" t="n"/>
      <c r="K231" s="46" t="n"/>
      <c r="L231" s="46" t="n"/>
    </row>
    <row r="232" ht="20.25" customHeight="1" s="444">
      <c r="E232" s="45" t="inlineStr">
        <is>
          <t>A118</t>
        </is>
      </c>
      <c r="F232" s="45" t="n"/>
      <c r="G232" s="45" t="n"/>
      <c r="H232" s="45" t="n"/>
      <c r="I232" s="46" t="n"/>
      <c r="J232" s="46" t="n"/>
      <c r="K232" s="46" t="n"/>
      <c r="L232" s="46" t="n"/>
    </row>
    <row r="233" ht="20.25" customHeight="1" s="444">
      <c r="E233" s="45" t="inlineStr">
        <is>
          <t>A119</t>
        </is>
      </c>
      <c r="F233" s="45" t="n"/>
      <c r="G233" s="45" t="n"/>
      <c r="H233" s="45" t="n"/>
      <c r="I233" s="46" t="n"/>
      <c r="J233" s="46" t="n"/>
      <c r="K233" s="46" t="n"/>
      <c r="L233" s="46" t="n"/>
    </row>
    <row r="234" ht="20.25" customHeight="1" s="444">
      <c r="E234" s="45" t="inlineStr">
        <is>
          <t>A120</t>
        </is>
      </c>
      <c r="F234" s="45" t="n"/>
      <c r="G234" s="45" t="n"/>
      <c r="H234" s="45" t="n"/>
      <c r="I234" s="46" t="n"/>
      <c r="J234" s="46" t="n"/>
      <c r="K234" s="46" t="n"/>
      <c r="L234" s="46" t="n"/>
    </row>
    <row r="235" ht="20.25" customHeight="1" s="444">
      <c r="E235" s="45" t="inlineStr">
        <is>
          <t>A121</t>
        </is>
      </c>
      <c r="F235" s="45" t="n"/>
      <c r="G235" s="45" t="n"/>
      <c r="H235" s="45" t="n"/>
      <c r="I235" s="46" t="n"/>
      <c r="J235" s="46" t="n"/>
      <c r="K235" s="46" t="n"/>
      <c r="L235" s="46" t="n"/>
    </row>
    <row r="236" ht="20.25" customHeight="1" s="444">
      <c r="E236" s="45" t="inlineStr">
        <is>
          <t>A122</t>
        </is>
      </c>
      <c r="F236" s="45" t="n"/>
      <c r="G236" s="45" t="n"/>
      <c r="H236" s="45" t="n"/>
      <c r="I236" s="46" t="n"/>
      <c r="J236" s="46" t="n"/>
      <c r="K236" s="46" t="n"/>
      <c r="L236" s="46" t="n"/>
    </row>
    <row r="237" ht="20.25" customHeight="1" s="444">
      <c r="E237" s="45" t="inlineStr">
        <is>
          <t>A123</t>
        </is>
      </c>
      <c r="F237" s="45" t="n"/>
      <c r="G237" s="45" t="n"/>
      <c r="H237" s="45" t="n"/>
      <c r="I237" s="46" t="n"/>
      <c r="J237" s="46" t="n"/>
      <c r="K237" s="46" t="n"/>
      <c r="L237" s="46" t="n"/>
    </row>
    <row r="238" ht="20.25" customHeight="1" s="444">
      <c r="E238" s="45" t="inlineStr">
        <is>
          <t>A124</t>
        </is>
      </c>
      <c r="F238" s="45" t="n"/>
      <c r="G238" s="45" t="n"/>
      <c r="H238" s="45" t="n"/>
      <c r="I238" s="46" t="n"/>
      <c r="J238" s="46" t="n"/>
      <c r="K238" s="46" t="n"/>
      <c r="L238" s="46" t="n"/>
    </row>
    <row r="239" ht="20.25" customHeight="1" s="444">
      <c r="E239" s="45" t="inlineStr">
        <is>
          <t>A125</t>
        </is>
      </c>
      <c r="F239" s="45" t="n"/>
      <c r="G239" s="45" t="n"/>
      <c r="H239" s="45" t="n"/>
      <c r="I239" s="46" t="n"/>
      <c r="J239" s="46" t="n"/>
      <c r="K239" s="46" t="n"/>
      <c r="L239" s="46" t="n"/>
    </row>
    <row r="240" ht="20.25" customHeight="1" s="444">
      <c r="E240" s="45" t="inlineStr">
        <is>
          <t>A126</t>
        </is>
      </c>
      <c r="F240" s="45" t="n"/>
      <c r="G240" s="45" t="n"/>
      <c r="H240" s="45" t="n"/>
      <c r="I240" s="46" t="n"/>
      <c r="J240" s="46" t="n"/>
      <c r="K240" s="46" t="n"/>
      <c r="L240" s="46" t="n"/>
    </row>
    <row r="241" ht="20.25" customHeight="1" s="444">
      <c r="E241" s="45" t="inlineStr">
        <is>
          <t>A127</t>
        </is>
      </c>
      <c r="F241" s="45" t="n"/>
      <c r="G241" s="45" t="n"/>
      <c r="H241" s="45" t="n"/>
      <c r="I241" s="46" t="n"/>
      <c r="J241" s="46" t="n"/>
      <c r="K241" s="46" t="n"/>
      <c r="L241" s="46" t="n"/>
    </row>
    <row r="242" ht="20.25" customHeight="1" s="444">
      <c r="E242" s="45" t="inlineStr">
        <is>
          <t>A128</t>
        </is>
      </c>
      <c r="F242" s="45" t="n"/>
      <c r="G242" s="45" t="n"/>
      <c r="H242" s="45" t="n"/>
      <c r="I242" s="46" t="n"/>
      <c r="J242" s="46" t="n"/>
      <c r="K242" s="46" t="n"/>
      <c r="L242" s="46" t="n"/>
    </row>
    <row r="243" ht="20.25" customHeight="1" s="444">
      <c r="E243" s="45" t="inlineStr">
        <is>
          <t>A129</t>
        </is>
      </c>
      <c r="F243" s="45" t="n"/>
      <c r="G243" s="45" t="n"/>
      <c r="H243" s="45" t="n"/>
      <c r="I243" s="46" t="n"/>
      <c r="J243" s="46" t="n"/>
      <c r="K243" s="46" t="n"/>
      <c r="L243" s="46" t="n"/>
    </row>
    <row r="244" ht="20.25" customHeight="1" s="444">
      <c r="E244" s="45" t="inlineStr">
        <is>
          <t>A130</t>
        </is>
      </c>
      <c r="F244" s="45" t="n"/>
      <c r="G244" s="45" t="n"/>
      <c r="H244" s="45" t="n"/>
      <c r="I244" s="46" t="n"/>
      <c r="J244" s="46" t="n"/>
      <c r="K244" s="46" t="n"/>
      <c r="L244" s="46" t="n"/>
    </row>
    <row r="245" ht="20.25" customHeight="1" s="444">
      <c r="E245" s="45" t="inlineStr">
        <is>
          <t>A131</t>
        </is>
      </c>
      <c r="F245" s="45" t="n"/>
      <c r="G245" s="45" t="n"/>
      <c r="H245" s="45" t="n"/>
      <c r="I245" s="46" t="n"/>
      <c r="J245" s="46" t="n"/>
      <c r="K245" s="46" t="n"/>
      <c r="L245" s="46" t="n"/>
    </row>
    <row r="246" ht="20.25" customHeight="1" s="444">
      <c r="E246" s="45" t="inlineStr">
        <is>
          <t>A132</t>
        </is>
      </c>
      <c r="F246" s="45" t="n"/>
      <c r="G246" s="45" t="n"/>
      <c r="H246" s="45" t="n"/>
      <c r="I246" s="46" t="n"/>
      <c r="J246" s="46" t="n"/>
      <c r="K246" s="46" t="n"/>
      <c r="L246" s="46" t="n"/>
    </row>
  </sheetData>
  <mergeCells count="118">
    <mergeCell ref="H82:I82"/>
    <mergeCell ref="AK8:AN8"/>
    <mergeCell ref="AP9:AQ9"/>
    <mergeCell ref="E108:P108"/>
    <mergeCell ref="E104:P104"/>
    <mergeCell ref="G68:G69"/>
    <mergeCell ref="H89:I89"/>
    <mergeCell ref="Y10:Z10"/>
    <mergeCell ref="CF8:CK8"/>
    <mergeCell ref="S10:T10"/>
    <mergeCell ref="AE10:AF10"/>
    <mergeCell ref="H81:I81"/>
    <mergeCell ref="E58:P58"/>
    <mergeCell ref="N90:N91"/>
    <mergeCell ref="E101:F101"/>
    <mergeCell ref="H65:I65"/>
    <mergeCell ref="H105:I105"/>
    <mergeCell ref="E85:F85"/>
    <mergeCell ref="M55:O55"/>
    <mergeCell ref="BR8:BW8"/>
    <mergeCell ref="O82:O83"/>
    <mergeCell ref="F55:J56"/>
    <mergeCell ref="E52:P52"/>
    <mergeCell ref="H49:O50"/>
    <mergeCell ref="H107:I107"/>
    <mergeCell ref="E93:F93"/>
    <mergeCell ref="E92:P92"/>
    <mergeCell ref="E102:F102"/>
    <mergeCell ref="G101:G102"/>
    <mergeCell ref="H91:I91"/>
    <mergeCell ref="M85:P85"/>
    <mergeCell ref="E84:P84"/>
    <mergeCell ref="P90:P91"/>
    <mergeCell ref="K55:L55"/>
    <mergeCell ref="BY8:CD8"/>
    <mergeCell ref="H74:I74"/>
    <mergeCell ref="H83:I83"/>
    <mergeCell ref="V10:W10"/>
    <mergeCell ref="E80:P80"/>
    <mergeCell ref="AH10:AI10"/>
    <mergeCell ref="O74:O75"/>
    <mergeCell ref="H46:O46"/>
    <mergeCell ref="E61:P61"/>
    <mergeCell ref="K56:L56"/>
    <mergeCell ref="E72:P72"/>
    <mergeCell ref="M56:O56"/>
    <mergeCell ref="H75:I75"/>
    <mergeCell ref="CU9:DA9"/>
    <mergeCell ref="E96:P96"/>
    <mergeCell ref="E110:F110"/>
    <mergeCell ref="O106:O107"/>
    <mergeCell ref="G77:G78"/>
    <mergeCell ref="E88:P88"/>
    <mergeCell ref="H97:I97"/>
    <mergeCell ref="H106:I106"/>
    <mergeCell ref="M101:P101"/>
    <mergeCell ref="E68:F68"/>
    <mergeCell ref="E60:P60"/>
    <mergeCell ref="N106:N107"/>
    <mergeCell ref="N64:P64"/>
    <mergeCell ref="P98:P99"/>
    <mergeCell ref="M93:P93"/>
    <mergeCell ref="H73:I73"/>
    <mergeCell ref="BK8:BP8"/>
    <mergeCell ref="M102:P102"/>
    <mergeCell ref="E94:F94"/>
    <mergeCell ref="M68:P68"/>
    <mergeCell ref="CN9:CT9"/>
    <mergeCell ref="E69:F69"/>
    <mergeCell ref="N98:N99"/>
    <mergeCell ref="E78:F78"/>
    <mergeCell ref="AW9:AX9"/>
    <mergeCell ref="P106:P107"/>
    <mergeCell ref="F2:G2"/>
    <mergeCell ref="H2:I2"/>
    <mergeCell ref="E77:F77"/>
    <mergeCell ref="N82:N83"/>
    <mergeCell ref="BK9:BL9"/>
    <mergeCell ref="E86:F86"/>
    <mergeCell ref="M69:P69"/>
    <mergeCell ref="M109:P109"/>
    <mergeCell ref="M78:P78"/>
    <mergeCell ref="H66:I66"/>
    <mergeCell ref="J2:K2"/>
    <mergeCell ref="O90:O91"/>
    <mergeCell ref="AP8:AU8"/>
    <mergeCell ref="BR9:BS9"/>
    <mergeCell ref="BD8:BI8"/>
    <mergeCell ref="CF9:CG9"/>
    <mergeCell ref="E63:P63"/>
    <mergeCell ref="BD9:BE9"/>
    <mergeCell ref="H64:I64"/>
    <mergeCell ref="H98:I98"/>
    <mergeCell ref="G93:G94"/>
    <mergeCell ref="C9:D9"/>
    <mergeCell ref="P82:P83"/>
    <mergeCell ref="E76:P76"/>
    <mergeCell ref="E100:P100"/>
    <mergeCell ref="E66:G66"/>
    <mergeCell ref="M110:P110"/>
    <mergeCell ref="H90:I90"/>
    <mergeCell ref="H99:I99"/>
    <mergeCell ref="N74:N75"/>
    <mergeCell ref="E53:P53"/>
    <mergeCell ref="P74:P75"/>
    <mergeCell ref="G85:G86"/>
    <mergeCell ref="M94:P94"/>
    <mergeCell ref="AW8:BB8"/>
    <mergeCell ref="F10:H10"/>
    <mergeCell ref="BY9:BZ9"/>
    <mergeCell ref="G109:G110"/>
    <mergeCell ref="E67:P67"/>
    <mergeCell ref="AB10:AC10"/>
    <mergeCell ref="M77:P77"/>
    <mergeCell ref="M86:P86"/>
    <mergeCell ref="N65:P66"/>
    <mergeCell ref="E109:F109"/>
    <mergeCell ref="O98:O99"/>
  </mergeCells>
  <conditionalFormatting sqref="C11:C40">
    <cfRule type="containsText" priority="1" operator="containsText" dxfId="10" text="I">
      <formula>NOT(ISERROR(SEARCH("I",C11)))</formula>
    </cfRule>
    <cfRule type="containsText" priority="2" operator="containsText" dxfId="9" text="K">
      <formula>NOT(ISERROR(SEARCH("K",C11)))</formula>
    </cfRule>
  </conditionalFormatting>
  <conditionalFormatting sqref="C11:D40">
    <cfRule type="containsText" priority="3" operator="containsText" dxfId="8" text="T">
      <formula>NOT(ISERROR(SEARCH("T",C11)))</formula>
    </cfRule>
    <cfRule type="containsText" priority="10" operator="containsText" dxfId="3" text="J">
      <formula>NOT(ISERROR(SEARCH("J",C11)))</formula>
    </cfRule>
    <cfRule type="containsText" priority="11" operator="containsText" dxfId="2" text="L">
      <formula>NOT(ISERROR(SEARCH("L",C11)))</formula>
    </cfRule>
  </conditionalFormatting>
  <conditionalFormatting sqref="N11:N40">
    <cfRule type="cellIs" priority="4" operator="between" dxfId="5">
      <formula>75.0000001</formula>
      <formula>79.99999999999</formula>
    </cfRule>
    <cfRule type="cellIs" priority="5" operator="between" dxfId="4">
      <formula>65.00000001</formula>
      <formula>69.999999</formula>
    </cfRule>
    <cfRule type="cellIs" priority="6" operator="between" dxfId="3">
      <formula>70</formula>
      <formula>75</formula>
    </cfRule>
    <cfRule type="cellIs" priority="7" operator="greaterThan" dxfId="2">
      <formula>80</formula>
    </cfRule>
    <cfRule type="containsBlanks" priority="8" dxfId="1">
      <formula>LEN(TRIM(N11))=0</formula>
    </cfRule>
    <cfRule type="cellIs" priority="9" operator="lessThan" dxfId="0">
      <formula>65</formula>
    </cfRule>
  </conditionalFormatting>
  <dataValidations count="6">
    <dataValidation sqref="H66:I66 H75:I75 H83:I83 H91:I91 H99:I99 H107:I107" showDropDown="0" showInputMessage="1" showErrorMessage="1" allowBlank="1" type="list">
      <formula1>$I$3:$I$5</formula1>
    </dataValidation>
    <dataValidation sqref="E65 E74 E76 E82 E84 E90 E92 E98 E100 E106 E108" showDropDown="0" showInputMessage="1" showErrorMessage="1" allowBlank="1" type="list">
      <formula1>$E$115:$E$246</formula1>
    </dataValidation>
    <dataValidation sqref="O70:P71 AU104:AV104 AV70:AV72 AV80 AV88 AV96" showDropDown="0" showInputMessage="1" showErrorMessage="1" allowBlank="1" type="list">
      <formula1>$BJ$5:$BJ$7</formula1>
    </dataValidation>
    <dataValidation sqref="E69:F69 E78 E86 E94 E102 E110" showDropDown="0" showInputMessage="1" showErrorMessage="1" allowBlank="1" type="list">
      <formula1>$K$3:$K$4</formula1>
    </dataValidation>
    <dataValidation sqref="F115:F246" showDropDown="0" showInputMessage="1" showErrorMessage="1" allowBlank="1" type="list">
      <formula1>$L$3:$L$7</formula1>
    </dataValidation>
    <dataValidation sqref="E11:E39" showDropDown="0" showInputMessage="1" showErrorMessage="1" allowBlank="1" type="list">
      <formula1>Elenco_Misure</formula1>
    </dataValidation>
  </dataValidations>
  <printOptions horizontalCentered="1" verticalCentered="1"/>
  <pageMargins left="0.7480314960629921" right="0.7480314960629921" top="0.984251968503937" bottom="0.984251968503937" header="0.5118110236220472" footer="0.5118110236220472"/>
  <pageSetup orientation="portrait" paperSize="9" scale="1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4"/>
  <sheetViews>
    <sheetView zoomScale="85" zoomScaleNormal="85" workbookViewId="0">
      <selection activeCell="E3" sqref="E3"/>
    </sheetView>
  </sheetViews>
  <sheetFormatPr baseColWidth="8" defaultRowHeight="12.75"/>
  <cols>
    <col width="24.5703125" customWidth="1" style="444" min="2" max="2"/>
    <col width="28.28515625" bestFit="1" customWidth="1" style="444" min="3" max="3"/>
    <col width="16.140625" customWidth="1" style="444" min="4" max="4"/>
    <col width="12.5703125" bestFit="1" customWidth="1" style="444" min="5" max="5"/>
  </cols>
  <sheetData>
    <row r="1" ht="18.75" customHeight="1" s="444">
      <c r="A1" s="140" t="inlineStr">
        <is>
          <t>ID</t>
        </is>
      </c>
      <c r="B1" s="140" t="inlineStr">
        <is>
          <t>Tipologia</t>
        </is>
      </c>
      <c r="C1" s="140" t="inlineStr">
        <is>
          <t>Marca</t>
        </is>
      </c>
      <c r="D1" s="140" t="inlineStr">
        <is>
          <t>Modello</t>
        </is>
      </c>
      <c r="E1" s="140" t="inlineStr">
        <is>
          <t>SNR</t>
        </is>
      </c>
      <c r="F1" s="140" t="inlineStr">
        <is>
          <t>H</t>
        </is>
      </c>
      <c r="G1" s="140" t="inlineStr">
        <is>
          <t>M</t>
        </is>
      </c>
      <c r="H1" s="140" t="inlineStr">
        <is>
          <t>L</t>
        </is>
      </c>
      <c r="I1" s="140" t="inlineStr">
        <is>
          <t>dm</t>
        </is>
      </c>
      <c r="L1" s="451" t="inlineStr">
        <is>
          <t>Legenda DPI</t>
        </is>
      </c>
      <c r="N1" s="17" t="n"/>
    </row>
    <row r="2" ht="15" customHeight="1" s="444">
      <c r="A2" s="141" t="inlineStr">
        <is>
          <t>A1</t>
        </is>
      </c>
      <c r="B2" s="141" t="inlineStr">
        <is>
          <t>Cuffie auricolari</t>
        </is>
      </c>
      <c r="C2" s="141" t="inlineStr">
        <is>
          <t>3M PELTOR</t>
        </is>
      </c>
      <c r="D2" s="141" t="inlineStr">
        <is>
          <t>Optime I H510P3</t>
        </is>
      </c>
      <c r="E2" s="142" t="n">
        <v>26</v>
      </c>
      <c r="F2" s="142" t="n">
        <v>32</v>
      </c>
      <c r="G2" s="142" t="n">
        <v>23</v>
      </c>
      <c r="H2" s="142" t="n">
        <v>15</v>
      </c>
      <c r="J2" s="17" t="n"/>
      <c r="K2" s="120" t="n"/>
      <c r="L2" s="57" t="inlineStr">
        <is>
          <t>Inserti con archetto</t>
        </is>
      </c>
      <c r="M2" s="120" t="n"/>
      <c r="N2" s="17" t="n"/>
    </row>
    <row r="3" ht="15" customHeight="1" s="444">
      <c r="A3" s="143" t="n"/>
      <c r="B3" s="141" t="n"/>
      <c r="C3" s="144" t="inlineStr">
        <is>
          <t xml:space="preserve">Coeffciente correttivo β = </t>
        </is>
      </c>
      <c r="D3" s="145" t="n">
        <v>0.75</v>
      </c>
      <c r="E3" s="146">
        <f>$D$3*E2</f>
        <v/>
      </c>
      <c r="F3" s="146">
        <f>$D$3*F2</f>
        <v/>
      </c>
      <c r="G3" s="146">
        <f>$D$3*G2</f>
        <v/>
      </c>
      <c r="H3" s="146">
        <f>$D$3*H2</f>
        <v/>
      </c>
      <c r="I3" s="147">
        <f>H3-5</f>
        <v/>
      </c>
      <c r="J3" s="17" t="n"/>
      <c r="K3" s="120" t="n"/>
      <c r="L3" s="57" t="inlineStr">
        <is>
          <t>Inserti espandibili</t>
        </is>
      </c>
      <c r="M3" s="120" t="n"/>
      <c r="N3" s="17" t="n"/>
    </row>
    <row r="4" ht="15" customHeight="1" s="444">
      <c r="A4" s="141" t="inlineStr">
        <is>
          <t>A2</t>
        </is>
      </c>
      <c r="B4" s="141" t="inlineStr">
        <is>
          <t>Cuffie auricolari</t>
        </is>
      </c>
      <c r="C4" s="141" t="inlineStr">
        <is>
          <t>3M PELTOR</t>
        </is>
      </c>
      <c r="D4" s="141" t="inlineStr">
        <is>
          <t>H505B</t>
        </is>
      </c>
      <c r="E4" s="142" t="n">
        <v>24</v>
      </c>
      <c r="F4" s="142" t="n">
        <v>29</v>
      </c>
      <c r="G4" s="142" t="n">
        <v>20</v>
      </c>
      <c r="H4" s="142" t="n">
        <v>13</v>
      </c>
      <c r="I4" s="148" t="n"/>
      <c r="L4" s="57" t="inlineStr">
        <is>
          <t>Inserti su calco dell'orecchio</t>
        </is>
      </c>
      <c r="M4" s="120" t="n"/>
      <c r="N4" s="17" t="n"/>
    </row>
    <row r="5" ht="15" customHeight="1" s="444">
      <c r="A5" s="143" t="n"/>
      <c r="B5" s="141" t="n"/>
      <c r="C5" s="149" t="inlineStr">
        <is>
          <t xml:space="preserve">Coeffciente correttivo β = </t>
        </is>
      </c>
      <c r="D5" s="145" t="n">
        <v>0.75</v>
      </c>
      <c r="E5" s="146">
        <f>$D$5*E4</f>
        <v/>
      </c>
      <c r="F5" s="146">
        <f>$D$5*F4</f>
        <v/>
      </c>
      <c r="G5" s="146">
        <f>$D$5*G4</f>
        <v/>
      </c>
      <c r="H5" s="146">
        <f>$D$5*H4</f>
        <v/>
      </c>
      <c r="I5" s="147">
        <f>H5-5</f>
        <v/>
      </c>
      <c r="L5" s="57" t="inlineStr">
        <is>
          <t>Cuffie auricolari</t>
        </is>
      </c>
      <c r="M5" s="120" t="n"/>
      <c r="N5" s="17" t="n"/>
    </row>
    <row r="6" ht="15" customHeight="1" s="444">
      <c r="A6" s="141" t="inlineStr">
        <is>
          <t>A3</t>
        </is>
      </c>
      <c r="B6" s="141" t="inlineStr">
        <is>
          <t>Inserti espandibili</t>
        </is>
      </c>
      <c r="C6" s="141" t="inlineStr">
        <is>
          <t>3M EAR</t>
        </is>
      </c>
      <c r="D6" s="141" t="inlineStr">
        <is>
          <t>CLASSIC</t>
        </is>
      </c>
      <c r="E6" s="142" t="n">
        <v>31</v>
      </c>
      <c r="F6" s="142" t="n">
        <v>31</v>
      </c>
      <c r="G6" s="142" t="n">
        <v>27</v>
      </c>
      <c r="H6" s="142" t="n">
        <v>26</v>
      </c>
      <c r="I6" s="148" t="n"/>
      <c r="J6" s="17" t="n"/>
      <c r="K6" s="17" t="n"/>
      <c r="L6" s="57" t="inlineStr">
        <is>
          <t>Cuffie ANR</t>
        </is>
      </c>
      <c r="M6" s="28" t="n"/>
      <c r="N6" s="17" t="n"/>
    </row>
    <row r="7" ht="14.25" customHeight="1" s="444">
      <c r="A7" s="143" t="n"/>
      <c r="B7" s="141" t="n"/>
      <c r="C7" s="144" t="inlineStr">
        <is>
          <t xml:space="preserve">Coeffciente correttivo β = </t>
        </is>
      </c>
      <c r="D7" s="145" t="n">
        <v>0.5</v>
      </c>
      <c r="E7" s="146">
        <f>$D$7*E6</f>
        <v/>
      </c>
      <c r="F7" s="146">
        <f>$D$7*F6</f>
        <v/>
      </c>
      <c r="G7" s="146">
        <f>$D$7*G6</f>
        <v/>
      </c>
      <c r="H7" s="146">
        <f>$D$7*H6</f>
        <v/>
      </c>
      <c r="I7" s="147">
        <f>H7-5</f>
        <v/>
      </c>
    </row>
    <row r="8" ht="15" customHeight="1" s="444">
      <c r="A8" s="141" t="inlineStr">
        <is>
          <t>A4</t>
        </is>
      </c>
      <c r="B8" s="141" t="inlineStr">
        <is>
          <t>Inserti espandibili</t>
        </is>
      </c>
      <c r="C8" s="141" t="inlineStr">
        <is>
          <t>UVEX</t>
        </is>
      </c>
      <c r="D8" s="141" t="inlineStr">
        <is>
          <t>X-fit</t>
        </is>
      </c>
      <c r="E8" s="142" t="n">
        <v>37</v>
      </c>
      <c r="F8" s="142" t="n">
        <v>36</v>
      </c>
      <c r="G8" s="142" t="n">
        <v>35</v>
      </c>
      <c r="H8" s="142" t="n">
        <v>34</v>
      </c>
      <c r="I8" s="148" t="n"/>
      <c r="J8" s="17" t="n"/>
      <c r="K8" s="17" t="n"/>
      <c r="L8" s="57" t="inlineStr">
        <is>
          <t>Cuffie ANR</t>
        </is>
      </c>
      <c r="M8" s="28" t="n"/>
      <c r="N8" s="17" t="n"/>
    </row>
    <row r="9" ht="14.25" customHeight="1" s="444">
      <c r="A9" s="143" t="n"/>
      <c r="B9" s="141" t="n"/>
      <c r="C9" s="144" t="inlineStr">
        <is>
          <t xml:space="preserve">Coeffciente correttivo β = </t>
        </is>
      </c>
      <c r="D9" s="145" t="n">
        <v>0.5</v>
      </c>
      <c r="E9" s="146">
        <f>$D$9*E8</f>
        <v/>
      </c>
      <c r="F9" s="146">
        <f>$D$9*F8</f>
        <v/>
      </c>
      <c r="G9" s="146">
        <f>$D$9*G8</f>
        <v/>
      </c>
      <c r="H9" s="146">
        <f>$D$9*H8</f>
        <v/>
      </c>
      <c r="I9" s="147">
        <f>H9-5</f>
        <v/>
      </c>
    </row>
    <row r="10" ht="18.75" customHeight="1" s="444">
      <c r="A10" s="141" t="inlineStr">
        <is>
          <t>A5</t>
        </is>
      </c>
      <c r="B10" s="141" t="inlineStr">
        <is>
          <t>Cuffie auricolari</t>
        </is>
      </c>
      <c r="C10" s="141" t="inlineStr">
        <is>
          <t>3M EAR</t>
        </is>
      </c>
      <c r="D10" s="141" t="inlineStr">
        <is>
          <t>Ultrafit</t>
        </is>
      </c>
      <c r="E10" s="142" t="n">
        <v>29</v>
      </c>
      <c r="F10" s="142" t="n">
        <v>30</v>
      </c>
      <c r="G10" s="142" t="n">
        <v>35</v>
      </c>
      <c r="H10" s="142" t="n">
        <v>24</v>
      </c>
      <c r="I10" s="148" t="n"/>
      <c r="L10" s="465" t="inlineStr">
        <is>
          <t>Coffifciente β dei DPI</t>
        </is>
      </c>
      <c r="M10" s="456" t="n"/>
    </row>
    <row r="11" ht="15.75" customHeight="1" s="444">
      <c r="A11" s="143" t="n"/>
      <c r="B11" s="141" t="n"/>
      <c r="C11" s="149" t="inlineStr">
        <is>
          <t xml:space="preserve">Coeffciente correttivo β = </t>
        </is>
      </c>
      <c r="D11" s="145" t="n">
        <v>0.3</v>
      </c>
      <c r="E11" s="146">
        <f>$D$11*E10</f>
        <v/>
      </c>
      <c r="F11" s="146">
        <f>$D$11*F10</f>
        <v/>
      </c>
      <c r="G11" s="146">
        <f>$D$11*G10</f>
        <v/>
      </c>
      <c r="H11" s="146">
        <f>$D$11*H10</f>
        <v/>
      </c>
      <c r="I11" s="147">
        <f>H11-5</f>
        <v/>
      </c>
      <c r="L11" s="102" t="inlineStr">
        <is>
          <t>Inserti auricolari =</t>
        </is>
      </c>
      <c r="M11" s="103" t="n">
        <v>0.5</v>
      </c>
    </row>
    <row r="12" ht="15.75" customHeight="1" s="444">
      <c r="A12" s="141" t="inlineStr">
        <is>
          <t>A6</t>
        </is>
      </c>
      <c r="B12" s="141" t="inlineStr">
        <is>
          <t>Inserti su calco dell'orecchio</t>
        </is>
      </c>
      <c r="C12" s="141" t="inlineStr">
        <is>
          <t>COTRAL</t>
        </is>
      </c>
      <c r="D12" s="141" t="inlineStr">
        <is>
          <t>Qeos green</t>
        </is>
      </c>
      <c r="E12" s="142" t="n">
        <v>28</v>
      </c>
      <c r="F12" s="142" t="n">
        <v>27</v>
      </c>
      <c r="G12" s="142" t="n">
        <v>26</v>
      </c>
      <c r="H12" s="142" t="n">
        <v>25</v>
      </c>
      <c r="I12" s="148" t="n"/>
      <c r="L12" s="102" t="inlineStr">
        <is>
          <t>Cuffie =</t>
        </is>
      </c>
      <c r="M12" s="103" t="n">
        <v>0.75</v>
      </c>
    </row>
    <row r="13" ht="15.75" customHeight="1" s="444">
      <c r="A13" s="143" t="n"/>
      <c r="B13" s="141" t="n"/>
      <c r="C13" s="144" t="inlineStr">
        <is>
          <t xml:space="preserve">Coeffciente correttivo β = </t>
        </is>
      </c>
      <c r="D13" s="145" t="n">
        <v>0.5</v>
      </c>
      <c r="E13" s="146">
        <f>$D$13*E12</f>
        <v/>
      </c>
      <c r="F13" s="146">
        <f>$D$13*F12</f>
        <v/>
      </c>
      <c r="G13" s="146">
        <f>$D$13*G12</f>
        <v/>
      </c>
      <c r="H13" s="146">
        <f>$D$13*H12</f>
        <v/>
      </c>
      <c r="I13" s="147">
        <f>H13-5</f>
        <v/>
      </c>
      <c r="L13" s="104" t="inlineStr">
        <is>
          <t>Altro =</t>
        </is>
      </c>
      <c r="M13" s="105" t="n">
        <v>0.3</v>
      </c>
    </row>
    <row r="14" ht="15" customHeight="1" s="444">
      <c r="A14" s="141" t="inlineStr">
        <is>
          <t>A7</t>
        </is>
      </c>
      <c r="B14" s="141" t="inlineStr">
        <is>
          <t>Inserti espandibili</t>
        </is>
      </c>
      <c r="C14" s="141" t="inlineStr">
        <is>
          <t>3M EAR</t>
        </is>
      </c>
      <c r="D14" s="141" t="inlineStr">
        <is>
          <t>soft FX</t>
        </is>
      </c>
      <c r="E14" s="142" t="n">
        <v>37</v>
      </c>
      <c r="F14" s="142" t="n">
        <v>36</v>
      </c>
      <c r="G14" s="142" t="n">
        <v>35</v>
      </c>
      <c r="H14" s="142" t="n">
        <v>33</v>
      </c>
      <c r="I14" s="148" t="n"/>
    </row>
    <row r="15" ht="14.25" customHeight="1" s="444">
      <c r="A15" s="143" t="n"/>
      <c r="B15" s="141" t="n"/>
      <c r="C15" s="144" t="inlineStr">
        <is>
          <t xml:space="preserve">Coeffciente correttivo β = </t>
        </is>
      </c>
      <c r="D15" s="145" t="n">
        <v>0.5</v>
      </c>
      <c r="E15" s="146">
        <f>$D$15*E14</f>
        <v/>
      </c>
      <c r="F15" s="146">
        <f>$D$15*F14</f>
        <v/>
      </c>
      <c r="G15" s="146">
        <f>$D$15*G14</f>
        <v/>
      </c>
      <c r="H15" s="146">
        <f>$D$15*H14</f>
        <v/>
      </c>
      <c r="I15" s="147">
        <f>H15-5</f>
        <v/>
      </c>
    </row>
    <row r="21" ht="15" customHeight="1" s="444">
      <c r="C21" s="141" t="n"/>
      <c r="D21" s="141" t="n"/>
      <c r="E21" s="142" t="n"/>
      <c r="F21" s="142" t="n"/>
      <c r="G21" s="142" t="n"/>
      <c r="H21" s="142" t="n"/>
    </row>
    <row r="24">
      <c r="B24" t="inlineStr">
        <is>
          <t>Cuffie auricolari</t>
        </is>
      </c>
      <c r="C24" t="inlineStr">
        <is>
          <t>3M PELTOR</t>
        </is>
      </c>
      <c r="D24" t="inlineStr">
        <is>
          <t>Optime I H510P3</t>
        </is>
      </c>
      <c r="E24" t="n">
        <v>26</v>
      </c>
      <c r="F24" t="n">
        <v>32</v>
      </c>
      <c r="G24" t="n">
        <v>23</v>
      </c>
      <c r="H24" t="n">
        <v>15</v>
      </c>
    </row>
    <row r="25">
      <c r="B25" t="inlineStr">
        <is>
          <t>Cuffie auricolari</t>
        </is>
      </c>
      <c r="C25" t="inlineStr">
        <is>
          <t>3M PELTOR</t>
        </is>
      </c>
      <c r="D25" t="inlineStr">
        <is>
          <t>H505B</t>
        </is>
      </c>
      <c r="E25" t="n">
        <v>24</v>
      </c>
      <c r="F25" t="n">
        <v>29</v>
      </c>
      <c r="G25" t="n">
        <v>20</v>
      </c>
      <c r="H25" t="n">
        <v>13</v>
      </c>
    </row>
    <row r="26">
      <c r="B26" t="inlineStr">
        <is>
          <t>Inserti espandibili</t>
        </is>
      </c>
      <c r="C26" t="inlineStr">
        <is>
          <t>3M EAR</t>
        </is>
      </c>
      <c r="D26" t="inlineStr">
        <is>
          <t>CLASSIC</t>
        </is>
      </c>
      <c r="E26" t="n">
        <v>31</v>
      </c>
      <c r="F26" t="n">
        <v>31</v>
      </c>
      <c r="G26" t="n">
        <v>27</v>
      </c>
      <c r="H26" t="n">
        <v>26</v>
      </c>
    </row>
    <row r="27">
      <c r="B27" t="inlineStr">
        <is>
          <t>Inserti espandibili</t>
        </is>
      </c>
      <c r="C27" t="inlineStr">
        <is>
          <t>UVEX</t>
        </is>
      </c>
      <c r="D27" t="inlineStr">
        <is>
          <t>X-fit</t>
        </is>
      </c>
      <c r="E27" t="n">
        <v>37</v>
      </c>
      <c r="F27" t="n">
        <v>36</v>
      </c>
      <c r="G27" t="n">
        <v>35</v>
      </c>
      <c r="H27" t="n">
        <v>34</v>
      </c>
    </row>
    <row r="28">
      <c r="B28" t="inlineStr">
        <is>
          <t>Inserti espandibili</t>
        </is>
      </c>
      <c r="C28" t="inlineStr">
        <is>
          <t>3M EAR</t>
        </is>
      </c>
      <c r="D28" t="inlineStr">
        <is>
          <t>Ultrafit</t>
        </is>
      </c>
      <c r="E28" t="n">
        <v>29</v>
      </c>
      <c r="F28" t="n">
        <v>30</v>
      </c>
      <c r="G28" t="n">
        <v>35</v>
      </c>
      <c r="H28" t="n">
        <v>24</v>
      </c>
    </row>
    <row r="29">
      <c r="B29" t="inlineStr">
        <is>
          <t>Inserti su calco dell'orecchio</t>
        </is>
      </c>
      <c r="C29" t="inlineStr">
        <is>
          <t>COTRAL</t>
        </is>
      </c>
      <c r="D29" t="inlineStr">
        <is>
          <t>Qeos green</t>
        </is>
      </c>
      <c r="E29" t="n">
        <v>28</v>
      </c>
      <c r="F29" t="n">
        <v>27</v>
      </c>
      <c r="G29" t="n">
        <v>26</v>
      </c>
      <c r="H29" t="n">
        <v>25</v>
      </c>
    </row>
    <row r="30">
      <c r="B30" t="inlineStr">
        <is>
          <t>Inserti espandibili</t>
        </is>
      </c>
      <c r="C30" t="inlineStr">
        <is>
          <t>3M EAR</t>
        </is>
      </c>
      <c r="D30" t="inlineStr">
        <is>
          <t>soft FX</t>
        </is>
      </c>
      <c r="E30" t="n">
        <v>37</v>
      </c>
      <c r="F30" t="n">
        <v>36</v>
      </c>
      <c r="G30" t="n">
        <v>35</v>
      </c>
      <c r="H30" t="n">
        <v>33</v>
      </c>
    </row>
    <row r="34">
      <c r="C34" t="inlineStr">
        <is>
          <t>COTRAL</t>
        </is>
      </c>
      <c r="D34" t="inlineStr">
        <is>
          <t>Qeos green</t>
        </is>
      </c>
      <c r="E34" t="n">
        <v>20</v>
      </c>
      <c r="F34" t="n">
        <v>18</v>
      </c>
      <c r="G34" t="n">
        <v>19</v>
      </c>
      <c r="H34" t="n">
        <v>19</v>
      </c>
    </row>
  </sheetData>
  <mergeCells count="2">
    <mergeCell ref="L1:M1"/>
    <mergeCell ref="L10:M10"/>
  </mergeCells>
  <dataValidations count="2">
    <dataValidation sqref="B2 B4 B6 B8 B10 B12 B14" showDropDown="0" showInputMessage="1" showErrorMessage="1" allowBlank="1" type="list">
      <formula1>$L$2:$L$6</formula1>
    </dataValidation>
    <dataValidation sqref="D3 D5 D7 D9 D11 D13 D15" showDropDown="0" showInputMessage="1" showErrorMessage="1" allowBlank="1" type="list">
      <formula1>$M$11:$M$13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26" sqref="F26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Polistudio SpA</dc:creator>
  <dcterms:created xmlns:dcterms="http://purl.org/dc/terms/" xmlns:xsi="http://www.w3.org/2001/XMLSchema-instance" xsi:type="dcterms:W3CDTF">2005-08-08T07:42:36Z</dcterms:created>
  <dcterms:modified xmlns:dcterms="http://purl.org/dc/terms/" xmlns:xsi="http://www.w3.org/2001/XMLSchema-instance" xsi:type="dcterms:W3CDTF">2026-05-22T04:32:52Z</dcterms:modified>
  <cp:lastModifiedBy>Ermes Missiroli</cp:lastModifiedBy>
  <cp:lastPrinted>2026-02-16T14:12:46Z</cp:lastPrinted>
</cp:coreProperties>
</file>